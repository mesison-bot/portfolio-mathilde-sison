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mathildesison/Desktop/"/>
    </mc:Choice>
  </mc:AlternateContent>
  <xr:revisionPtr revIDLastSave="0" documentId="8_{EA400749-3215-464E-897D-778D39E2B593}" xr6:coauthVersionLast="47" xr6:coauthVersionMax="47" xr10:uidLastSave="{00000000-0000-0000-0000-000000000000}"/>
  <bookViews>
    <workbookView xWindow="820" yWindow="580" windowWidth="24900" windowHeight="16300" xr2:uid="{794DD9B6-8F3B-BD43-BBC4-0C5078F205E0}"/>
  </bookViews>
  <sheets>
    <sheet name="Q1" sheetId="1" r:id="rId1"/>
    <sheet name="Q2" sheetId="2" r:id="rId2"/>
    <sheet name="Q 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3" l="1"/>
  <c r="G24" i="3"/>
  <c r="F23" i="3"/>
  <c r="E22" i="3"/>
  <c r="E27" i="3" s="1"/>
  <c r="D21" i="3"/>
  <c r="D27" i="3" s="1"/>
  <c r="G18" i="3"/>
  <c r="G19" i="3" s="1"/>
  <c r="F18" i="3"/>
  <c r="F19" i="3" s="1"/>
  <c r="H6" i="3"/>
  <c r="H5" i="3"/>
  <c r="H4" i="3"/>
  <c r="E18" i="3" s="1"/>
  <c r="E19" i="3" s="1"/>
  <c r="H3" i="3"/>
  <c r="D18" i="3" s="1"/>
  <c r="D19" i="3" s="1"/>
  <c r="F27" i="3" l="1"/>
  <c r="G27" i="3"/>
  <c r="C29" i="3" s="1"/>
  <c r="F26" i="2" l="1"/>
  <c r="F30" i="2" s="1"/>
  <c r="N26" i="2"/>
  <c r="N30" i="2" s="1"/>
  <c r="V26" i="2"/>
  <c r="V30" i="2" s="1"/>
  <c r="AA25" i="2"/>
  <c r="E24" i="2"/>
  <c r="E26" i="2" s="1"/>
  <c r="E30" i="2" s="1"/>
  <c r="F24" i="2"/>
  <c r="G24" i="2"/>
  <c r="G26" i="2" s="1"/>
  <c r="G30" i="2" s="1"/>
  <c r="H24" i="2"/>
  <c r="H26" i="2" s="1"/>
  <c r="H30" i="2" s="1"/>
  <c r="I24" i="2"/>
  <c r="I26" i="2" s="1"/>
  <c r="I30" i="2" s="1"/>
  <c r="J24" i="2"/>
  <c r="J26" i="2" s="1"/>
  <c r="J30" i="2" s="1"/>
  <c r="K24" i="2"/>
  <c r="K26" i="2" s="1"/>
  <c r="K30" i="2" s="1"/>
  <c r="L24" i="2"/>
  <c r="L26" i="2" s="1"/>
  <c r="L30" i="2" s="1"/>
  <c r="M24" i="2"/>
  <c r="M26" i="2" s="1"/>
  <c r="M30" i="2" s="1"/>
  <c r="N24" i="2"/>
  <c r="O24" i="2"/>
  <c r="O26" i="2" s="1"/>
  <c r="O30" i="2" s="1"/>
  <c r="P24" i="2"/>
  <c r="P26" i="2" s="1"/>
  <c r="P30" i="2" s="1"/>
  <c r="Q24" i="2"/>
  <c r="Q26" i="2" s="1"/>
  <c r="R24" i="2"/>
  <c r="R26" i="2" s="1"/>
  <c r="R30" i="2" s="1"/>
  <c r="S24" i="2"/>
  <c r="S26" i="2" s="1"/>
  <c r="S30" i="2" s="1"/>
  <c r="T24" i="2"/>
  <c r="T26" i="2" s="1"/>
  <c r="T30" i="2" s="1"/>
  <c r="U24" i="2"/>
  <c r="U26" i="2" s="1"/>
  <c r="U30" i="2" s="1"/>
  <c r="V24" i="2"/>
  <c r="W24" i="2"/>
  <c r="W26" i="2" s="1"/>
  <c r="W30" i="2" s="1"/>
  <c r="X24" i="2"/>
  <c r="X26" i="2" s="1"/>
  <c r="X30" i="2" s="1"/>
  <c r="Y24" i="2"/>
  <c r="Y26" i="2" s="1"/>
  <c r="Z24" i="2"/>
  <c r="Z26" i="2" s="1"/>
  <c r="Z30" i="2" s="1"/>
  <c r="AA24" i="2"/>
  <c r="AA26" i="2" s="1"/>
  <c r="AA30" i="2" s="1"/>
  <c r="D24" i="2"/>
  <c r="C23" i="2"/>
  <c r="C26" i="2" s="1"/>
  <c r="D19" i="2"/>
  <c r="E19" i="2"/>
  <c r="F19" i="2"/>
  <c r="G19" i="2"/>
  <c r="H19" i="2"/>
  <c r="I19" i="2"/>
  <c r="J19" i="2"/>
  <c r="K19" i="2"/>
  <c r="L19" i="2"/>
  <c r="M19" i="2"/>
  <c r="N19" i="2"/>
  <c r="O19" i="2"/>
  <c r="P19" i="2"/>
  <c r="R19" i="2"/>
  <c r="U19" i="2"/>
  <c r="V19" i="2"/>
  <c r="W19" i="2"/>
  <c r="X19" i="2"/>
  <c r="Z19" i="2"/>
  <c r="C19" i="2"/>
  <c r="AA18" i="2"/>
  <c r="O17" i="2"/>
  <c r="P17" i="2"/>
  <c r="Q17" i="2"/>
  <c r="Q19" i="2" s="1"/>
  <c r="R17" i="2"/>
  <c r="S17" i="2"/>
  <c r="S19" i="2" s="1"/>
  <c r="T17" i="2"/>
  <c r="T19" i="2" s="1"/>
  <c r="U17" i="2"/>
  <c r="V17" i="2"/>
  <c r="W17" i="2"/>
  <c r="X17" i="2"/>
  <c r="Y17" i="2"/>
  <c r="Y19" i="2" s="1"/>
  <c r="Z17" i="2"/>
  <c r="AA17" i="2"/>
  <c r="AA19" i="2" s="1"/>
  <c r="N17" i="2"/>
  <c r="M16" i="2"/>
  <c r="H9" i="2" s="1"/>
  <c r="E62" i="2" s="1"/>
  <c r="K3" i="1"/>
  <c r="I72" i="1" s="1"/>
  <c r="I73" i="1"/>
  <c r="J68" i="1"/>
  <c r="J47" i="1"/>
  <c r="J48" i="1"/>
  <c r="J49" i="1"/>
  <c r="J50" i="1"/>
  <c r="J51" i="1"/>
  <c r="J52" i="1"/>
  <c r="J53" i="1"/>
  <c r="J54" i="1"/>
  <c r="J55" i="1"/>
  <c r="J56" i="1"/>
  <c r="J57" i="1"/>
  <c r="J58" i="1"/>
  <c r="J59" i="1"/>
  <c r="J60" i="1"/>
  <c r="J61" i="1"/>
  <c r="J62" i="1"/>
  <c r="J63" i="1"/>
  <c r="J64" i="1"/>
  <c r="J65" i="1"/>
  <c r="J66" i="1"/>
  <c r="J46" i="1"/>
  <c r="H66" i="1"/>
  <c r="I66" i="1"/>
  <c r="I49" i="1"/>
  <c r="I50" i="1"/>
  <c r="I51" i="1"/>
  <c r="I52" i="1"/>
  <c r="I53" i="1"/>
  <c r="I54" i="1"/>
  <c r="I55" i="1"/>
  <c r="I56" i="1"/>
  <c r="I57" i="1"/>
  <c r="I58" i="1"/>
  <c r="I59" i="1"/>
  <c r="I60" i="1"/>
  <c r="I61" i="1"/>
  <c r="I62" i="1"/>
  <c r="I63" i="1"/>
  <c r="I64" i="1"/>
  <c r="I65" i="1"/>
  <c r="I48" i="1"/>
  <c r="I47" i="1"/>
  <c r="I46" i="1"/>
  <c r="H47" i="1"/>
  <c r="H48" i="1"/>
  <c r="H49" i="1"/>
  <c r="H50" i="1"/>
  <c r="H51" i="1"/>
  <c r="H52" i="1"/>
  <c r="H53" i="1"/>
  <c r="H54" i="1"/>
  <c r="H55" i="1"/>
  <c r="H56" i="1"/>
  <c r="H57" i="1"/>
  <c r="H58" i="1"/>
  <c r="H59" i="1"/>
  <c r="H60" i="1"/>
  <c r="H61" i="1"/>
  <c r="H62" i="1"/>
  <c r="H63" i="1"/>
  <c r="H64" i="1"/>
  <c r="H65" i="1"/>
  <c r="H46" i="1"/>
  <c r="D65" i="1"/>
  <c r="D64" i="1"/>
  <c r="D63" i="1"/>
  <c r="D62" i="1"/>
  <c r="D61" i="1"/>
  <c r="D59" i="1"/>
  <c r="D57" i="1"/>
  <c r="D55" i="1"/>
  <c r="D54" i="1"/>
  <c r="D53" i="1"/>
  <c r="D51" i="1"/>
  <c r="D49" i="1"/>
  <c r="D46" i="1"/>
  <c r="C46" i="1"/>
  <c r="C47" i="1"/>
  <c r="C48" i="1"/>
  <c r="C49" i="1"/>
  <c r="C50" i="1"/>
  <c r="C51" i="1"/>
  <c r="C52" i="1"/>
  <c r="C53" i="1"/>
  <c r="C54" i="1"/>
  <c r="C55" i="1"/>
  <c r="C56" i="1"/>
  <c r="C57" i="1"/>
  <c r="C58" i="1"/>
  <c r="C59" i="1"/>
  <c r="C60" i="1"/>
  <c r="C61" i="1"/>
  <c r="C62" i="1"/>
  <c r="C63" i="1"/>
  <c r="C64" i="1"/>
  <c r="C65" i="1"/>
  <c r="C66" i="1"/>
  <c r="C67" i="1"/>
  <c r="C68" i="1"/>
  <c r="C45" i="1"/>
  <c r="H8" i="2" l="1"/>
  <c r="Q30" i="2"/>
  <c r="AA21" i="2"/>
  <c r="E43" i="2" s="1"/>
  <c r="Y30" i="2"/>
  <c r="I8" i="2"/>
  <c r="C30" i="2"/>
  <c r="I9" i="2"/>
  <c r="E63" i="2" s="1"/>
  <c r="F53" i="2"/>
  <c r="D26" i="2"/>
  <c r="E53" i="2"/>
  <c r="E56" i="2" l="1"/>
  <c r="D30" i="2"/>
  <c r="C34" i="2" s="1"/>
  <c r="AA28" i="2"/>
  <c r="C35" i="2" l="1"/>
  <c r="E50" i="2"/>
  <c r="D34" i="2"/>
  <c r="AA32" i="2"/>
  <c r="E44" i="2"/>
  <c r="AA33" i="2" l="1"/>
  <c r="E46" i="2"/>
  <c r="E51" i="2"/>
  <c r="D36" i="2"/>
  <c r="C36" i="2" s="1"/>
  <c r="K4" i="1" l="1"/>
  <c r="K6" i="1"/>
  <c r="K5" i="1"/>
</calcChain>
</file>

<file path=xl/sharedStrings.xml><?xml version="1.0" encoding="utf-8"?>
<sst xmlns="http://schemas.openxmlformats.org/spreadsheetml/2006/main" count="132" uniqueCount="110">
  <si>
    <t xml:space="preserve">1) </t>
  </si>
  <si>
    <t>CUSIP 91282CLF6:</t>
  </si>
  <si>
    <t xml:space="preserve">Price </t>
  </si>
  <si>
    <t xml:space="preserve">Yield </t>
  </si>
  <si>
    <t xml:space="preserve">Maturity Date </t>
  </si>
  <si>
    <t xml:space="preserve">Coupon Rate </t>
  </si>
  <si>
    <t xml:space="preserve">10 Year Yield Curve: </t>
  </si>
  <si>
    <t xml:space="preserve">1.1) </t>
  </si>
  <si>
    <t xml:space="preserve">Months </t>
  </si>
  <si>
    <t xml:space="preserve">Years </t>
  </si>
  <si>
    <t xml:space="preserve">Intermediate Rate Estimates: </t>
  </si>
  <si>
    <t xml:space="preserve">Pricing Bond Using Zero Coupon Rates: </t>
  </si>
  <si>
    <t xml:space="preserve">Maturity (YRS) </t>
  </si>
  <si>
    <t xml:space="preserve">Coupon PMT </t>
  </si>
  <si>
    <t>Zero Rate</t>
  </si>
  <si>
    <t>PV</t>
  </si>
  <si>
    <t xml:space="preserve">Face </t>
  </si>
  <si>
    <t xml:space="preserve">PRICE </t>
  </si>
  <si>
    <t>1.2)</t>
  </si>
  <si>
    <t>1.3)</t>
  </si>
  <si>
    <t xml:space="preserve">Fact Set Price </t>
  </si>
  <si>
    <t>Zero-Coupon Price</t>
  </si>
  <si>
    <t xml:space="preserve">The zero-coupon bond price is higher than the FactSet bond price. The discrepency in prices might have been caused by the estimation of zero-coupon rates using the interpolation method. This method creates room for error because the yield data points are not 100% accurate, and may not fully capture the shape of the yield curve accurately. The differences in zero-rate estimates and the real-time market rates impact the differences in price. </t>
  </si>
  <si>
    <t>Questions:</t>
  </si>
  <si>
    <t>1)</t>
  </si>
  <si>
    <t xml:space="preserve">Why are bond prices quoted in percentages instead of actual currency amounts? What does this imply about the bond’s value? </t>
  </si>
  <si>
    <t xml:space="preserve">Bond prices are quoted in precentages rather than actual currency amounts to create a standardized way to express bond value. Using a percentage simplifies comparing  bonds with different face values, maturities, and coupons. It also allows investors to determine if the bond is trading at a discount or a premium. </t>
  </si>
  <si>
    <t xml:space="preserve">2) </t>
  </si>
  <si>
    <t xml:space="preserve">How do zero rates differ from coupon rates, and why do they matter when pricing bonds? </t>
  </si>
  <si>
    <t xml:space="preserve">Zero rates are yields on zero-coupon bonds that do not pay periodic interest, and return their entire value at maturity. Coupon-rates are the stated rates paid by bonds with periodic coupon payments. Zero-rates ensure bond prices reflect the true time value of money and market conditions, resulting in more accurate valuations. </t>
  </si>
  <si>
    <t xml:space="preserve">3) </t>
  </si>
  <si>
    <t xml:space="preserve">When interpolating rates from the yield curve, what assumptions do you make, and why is interpolation necessary for bond pricing? </t>
  </si>
  <si>
    <t xml:space="preserve">When interpolating rates assumptions include the rates change smoothly between observed points, market conditions are relatively stable, credit and default risk are consistent between observed points, and the best method is used to capture the true shape of the yield between points. Interpolation is necessary for bond pricing by tailoring discount rates to the exact maturity, give a complete view of the term structure, and accounts for short term fluctuations in the market. </t>
  </si>
  <si>
    <t xml:space="preserve">4) </t>
  </si>
  <si>
    <t xml:space="preserve">Why might there be a difference between the price you calculated using zero rates and the market price retrieved from FactSet? Discuss potential reasons for these discrepancies. </t>
  </si>
  <si>
    <t xml:space="preserve">How do changing interest rates influence the price of Treasury bonds, particularly in relation to the zero rate? </t>
  </si>
  <si>
    <t xml:space="preserve">5) </t>
  </si>
  <si>
    <t>The zero-rate calculations provide a good estimate of  theoretical price. However, real-world factors like credit risk, liquidity, economic expectations, yield curve nuances, market sentiment, bond features, and transaction costs all contribute to discrepancies between the zero-rate calculated and actual market prices.</t>
  </si>
  <si>
    <t>Changing interest rates influence Treasury bond prices through shifts in the yield curve, which directly impact the zero rates used to discount future cash flows. Higher interest rates increase zero rates, leading to lower Treasury bond prices, while lower rates decrease zero rates, raising bond prices. Treasury bonds are highly sensitive to interest rate movements and yield curve changes.</t>
  </si>
  <si>
    <t>Bond 1</t>
  </si>
  <si>
    <t xml:space="preserve">Bond 2 </t>
  </si>
  <si>
    <t xml:space="preserve">YR 0 </t>
  </si>
  <si>
    <t>YR 5</t>
  </si>
  <si>
    <t>Issue</t>
  </si>
  <si>
    <t xml:space="preserve">Face Value </t>
  </si>
  <si>
    <t xml:space="preserve">Coupon </t>
  </si>
  <si>
    <t xml:space="preserve">Maturity (yrs) </t>
  </si>
  <si>
    <t xml:space="preserve">IRR </t>
  </si>
  <si>
    <t>Weights</t>
  </si>
  <si>
    <t xml:space="preserve">Year </t>
  </si>
  <si>
    <t xml:space="preserve">Period </t>
  </si>
  <si>
    <t xml:space="preserve">Principal </t>
  </si>
  <si>
    <t xml:space="preserve">CF </t>
  </si>
  <si>
    <t>CF</t>
  </si>
  <si>
    <t>Bond 2</t>
  </si>
  <si>
    <t>Total CFs (1+2)</t>
  </si>
  <si>
    <t xml:space="preserve">Cumulative CF </t>
  </si>
  <si>
    <t>IRR</t>
  </si>
  <si>
    <t>NPV</t>
  </si>
  <si>
    <t>Yield</t>
  </si>
  <si>
    <t>SEMI</t>
  </si>
  <si>
    <t>ANNUAL</t>
  </si>
  <si>
    <t xml:space="preserve">What are the individual and combined cash flows of the two bonds over the 24 periods? How do the cash flows differ between the two bonds? </t>
  </si>
  <si>
    <t xml:space="preserve">Individual CFs: </t>
  </si>
  <si>
    <t xml:space="preserve">Bond 1 </t>
  </si>
  <si>
    <t xml:space="preserve">Combined CFs </t>
  </si>
  <si>
    <t>Smaller coupons, starting later in the timeline at Yr 5.</t>
  </si>
  <si>
    <t xml:space="preserve">Larger coupons, starting at period 1. </t>
  </si>
  <si>
    <t xml:space="preserve">What is the internal rate of return (IRR) of the portfolio? How does it compare to the simple interest of the portfolio? </t>
  </si>
  <si>
    <t xml:space="preserve">Portfolio IRR </t>
  </si>
  <si>
    <t xml:space="preserve">Annually </t>
  </si>
  <si>
    <t xml:space="preserve">Semi-annually </t>
  </si>
  <si>
    <t>Simple Interest</t>
  </si>
  <si>
    <t>Semi-annual</t>
  </si>
  <si>
    <t>IRR is higher than simple interest as Bond 1 was bought at a discount.</t>
  </si>
  <si>
    <t>3)</t>
  </si>
  <si>
    <t xml:space="preserve">Calculate the weights of Bond 1 and Bond 2 in the portfolio based on the investment amounts. How do the weights impact the overall return of the portfolio? </t>
  </si>
  <si>
    <t>Bond 2 has a larger weight, a higher coupon, and IRR, resulting in an overall larger return than if it were flipped to Bond 1 having a larger weight.</t>
  </si>
  <si>
    <t>4)</t>
  </si>
  <si>
    <t xml:space="preserve">How does the timing of purchasing Bond 2 (at Period 14) impact the overall portfolio performance? </t>
  </si>
  <si>
    <t>Purchasing Bond 2 at period 14 would likely reduce overall portfolio performance. This is because the bond would need to be bought at a higher price relative to the remaining cash flows, as these cash flows are now lower risk and therefore require a lower yield to appeal to investors in the open market</t>
  </si>
  <si>
    <t>5)</t>
  </si>
  <si>
    <t xml:space="preserve">Using Goal Seek, adjust the portfolio’s yield so that the NPV equals zero. How does this yield compare to the IRR you calculated? What insights do you gain from the comparison? </t>
  </si>
  <si>
    <t xml:space="preserve">The adjusted yield so that NPV = 0 is 5.49%, which is the same as the IRR calculated. This yield represents the discount rate for all future bond cash flows to their present value, determining the equivalent price. If investors have differing views on this rate, arbitrage opportunities may emerge. </t>
  </si>
  <si>
    <t>N</t>
  </si>
  <si>
    <t>Maturity (yrs)</t>
  </si>
  <si>
    <t>Annual rate</t>
  </si>
  <si>
    <t>Economic:</t>
  </si>
  <si>
    <t>Bond:</t>
  </si>
  <si>
    <t xml:space="preserve">Rate </t>
  </si>
  <si>
    <t xml:space="preserve">Maturity </t>
  </si>
  <si>
    <t xml:space="preserve">Periods </t>
  </si>
  <si>
    <t>Period</t>
  </si>
  <si>
    <t xml:space="preserve">Semi Rate </t>
  </si>
  <si>
    <t>CF1</t>
  </si>
  <si>
    <t>CF2</t>
  </si>
  <si>
    <t>CF3</t>
  </si>
  <si>
    <t>CF4</t>
  </si>
  <si>
    <t>CF5</t>
  </si>
  <si>
    <t xml:space="preserve">Price Zero Coupon </t>
  </si>
  <si>
    <t xml:space="preserve">Bond Price </t>
  </si>
  <si>
    <t xml:space="preserve">Calculate the present value of each zero-coupon bond in the portfolio and the overall price of the bond. </t>
  </si>
  <si>
    <t>The PVs of each zero-coupon bond are $29.36, $28.84, $28.34, $957.93</t>
  </si>
  <si>
    <t xml:space="preserve">The overall price of the bond is $1044.47. </t>
  </si>
  <si>
    <r>
      <t xml:space="preserve">If the bond’s market price is </t>
    </r>
    <r>
      <rPr>
        <sz val="11"/>
        <color theme="1"/>
        <rFont val="SFRM1095"/>
      </rPr>
      <t>$</t>
    </r>
    <r>
      <rPr>
        <sz val="11"/>
        <color theme="1"/>
        <rFont val="CMR10"/>
      </rPr>
      <t xml:space="preserve">1,010, describe the arbitrage strategy you would employ. What would the cash flows look like for this strategy? </t>
    </r>
  </si>
  <si>
    <r>
      <t xml:space="preserve">If the bond’s market price is </t>
    </r>
    <r>
      <rPr>
        <sz val="11"/>
        <color theme="1"/>
        <rFont val="SFRM1095"/>
      </rPr>
      <t>$</t>
    </r>
    <r>
      <rPr>
        <sz val="11"/>
        <color theme="1"/>
        <rFont val="CMR10"/>
      </rPr>
      <t xml:space="preserve">1,150, describe the arbitrage strategy you would employ. What would the cash flows look like for this strategy? </t>
    </r>
  </si>
  <si>
    <t>I would buy the bond at the market price of $1010, sell each zero-coupon bond with PVs summing to $1044.47, and profit $34.47.</t>
  </si>
  <si>
    <t>I would sell a bond at the current market price of $1150, use the cash flow to buy bonds back at a price of $1044.47, and profit $105.53.</t>
  </si>
  <si>
    <t xml:space="preserve">Explain why the arbitrage strategy works in both scenarios and how it would result in a non-risk-free environment. What factors could lead to uncertainty or risk? </t>
  </si>
  <si>
    <t xml:space="preserve">In scenario 1, the bond’s market price is below its intrinsic value, buying the bond and selling its individual cash flows results in a profit. In scenario 2, selling the bond at the higher market price and replicating it by buying the individual zero-coupon bonds at a lower cost provides a risk-free profit. The total cost of replicating the bond’s cash flows is less than the proceeds from selling the bond at the inflated market price. Factors including transaction fees, market liquidity, execution risk, and interest rate and credit risk can lead to uncertainty.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</si>
</sst>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43" formatCode="_(* #,##0.00_);_(* \(#,##0.00\);_(* &quot;-&quot;??_);_(@_)"/>
    <numFmt numFmtId="164" formatCode="0.000%"/>
    <numFmt numFmtId="165" formatCode="_(* #,##0.000_);_(* \(#,##0.000\);_(* &quot;-&quot;??_);_(@_)"/>
  </numFmts>
  <fonts count="7">
    <font>
      <sz val="12"/>
      <color theme="1"/>
      <name val="Aptos Narrow"/>
      <family val="2"/>
      <scheme val="minor"/>
    </font>
    <font>
      <sz val="12"/>
      <color theme="1"/>
      <name val="Aptos Narrow"/>
      <family val="2"/>
      <scheme val="minor"/>
    </font>
    <font>
      <b/>
      <sz val="11"/>
      <color theme="1"/>
      <name val="CMBX10"/>
    </font>
    <font>
      <b/>
      <sz val="12"/>
      <color theme="1"/>
      <name val="Aptos Narrow"/>
      <scheme val="minor"/>
    </font>
    <font>
      <b/>
      <sz val="12"/>
      <name val="Aptos Narrow"/>
      <scheme val="minor"/>
    </font>
    <font>
      <sz val="11"/>
      <color theme="1"/>
      <name val="CMR10"/>
    </font>
    <font>
      <sz val="11"/>
      <color theme="1"/>
      <name val="SFRM1095"/>
    </font>
  </fonts>
  <fills count="3">
    <fill>
      <patternFill patternType="none"/>
    </fill>
    <fill>
      <patternFill patternType="gray125"/>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84">
    <xf numFmtId="0" fontId="0" fillId="0" borderId="0" xfId="0"/>
    <xf numFmtId="0" fontId="2" fillId="0" borderId="0" xfId="0" applyFont="1"/>
    <xf numFmtId="0" fontId="3" fillId="2" borderId="0" xfId="0" applyFont="1" applyFill="1"/>
    <xf numFmtId="164" fontId="3" fillId="2" borderId="0" xfId="2" applyNumberFormat="1" applyFont="1" applyFill="1"/>
    <xf numFmtId="14" fontId="3" fillId="2" borderId="0" xfId="0" applyNumberFormat="1" applyFont="1" applyFill="1"/>
    <xf numFmtId="0" fontId="3" fillId="0" borderId="0" xfId="0" applyFont="1"/>
    <xf numFmtId="43" fontId="0" fillId="0" borderId="0" xfId="1" applyFont="1"/>
    <xf numFmtId="10" fontId="0" fillId="0" borderId="0" xfId="2" applyNumberFormat="1" applyFont="1"/>
    <xf numFmtId="10" fontId="3" fillId="0" borderId="0" xfId="2" applyNumberFormat="1" applyFont="1"/>
    <xf numFmtId="164" fontId="0" fillId="0" borderId="0" xfId="2" applyNumberFormat="1" applyFont="1"/>
    <xf numFmtId="164" fontId="3" fillId="0" borderId="0" xfId="2" applyNumberFormat="1" applyFont="1"/>
    <xf numFmtId="0" fontId="4" fillId="2" borderId="0" xfId="0" applyFont="1" applyFill="1"/>
    <xf numFmtId="164" fontId="0" fillId="0" borderId="0" xfId="0" applyNumberFormat="1"/>
    <xf numFmtId="8" fontId="0" fillId="0" borderId="0" xfId="0" applyNumberFormat="1"/>
    <xf numFmtId="8" fontId="3" fillId="0" borderId="0" xfId="0" applyNumberFormat="1" applyFont="1"/>
    <xf numFmtId="44" fontId="0" fillId="0" borderId="0" xfId="3" applyFont="1"/>
    <xf numFmtId="165" fontId="3" fillId="2" borderId="0" xfId="1" applyNumberFormat="1" applyFont="1" applyFill="1"/>
    <xf numFmtId="0" fontId="0" fillId="0" borderId="0" xfId="0" applyAlignment="1">
      <alignment horizontal="center"/>
    </xf>
    <xf numFmtId="0" fontId="0" fillId="0" borderId="0" xfId="0" applyAlignment="1">
      <alignment wrapText="1"/>
    </xf>
    <xf numFmtId="0" fontId="5" fillId="0" borderId="0" xfId="0" applyFont="1"/>
    <xf numFmtId="0" fontId="0" fillId="0" borderId="8" xfId="0" applyBorder="1"/>
    <xf numFmtId="0" fontId="0" fillId="0" borderId="10" xfId="0" applyBorder="1"/>
    <xf numFmtId="0" fontId="0" fillId="0" borderId="11" xfId="0" applyBorder="1"/>
    <xf numFmtId="0" fontId="0" fillId="0" borderId="1" xfId="0" applyBorder="1"/>
    <xf numFmtId="0" fontId="3" fillId="0" borderId="1" xfId="0" applyFont="1" applyBorder="1"/>
    <xf numFmtId="44" fontId="0" fillId="0" borderId="11" xfId="3" applyFont="1" applyBorder="1"/>
    <xf numFmtId="9" fontId="0" fillId="0" borderId="11" xfId="2" applyFont="1" applyBorder="1"/>
    <xf numFmtId="43" fontId="0" fillId="0" borderId="11" xfId="1" applyFont="1" applyBorder="1"/>
    <xf numFmtId="44" fontId="0" fillId="0" borderId="1" xfId="3" applyFont="1" applyBorder="1"/>
    <xf numFmtId="9" fontId="0" fillId="0" borderId="1" xfId="2" applyFont="1" applyBorder="1"/>
    <xf numFmtId="43" fontId="0" fillId="0" borderId="1" xfId="1" applyFont="1" applyBorder="1"/>
    <xf numFmtId="0" fontId="0" fillId="0" borderId="3" xfId="0" applyBorder="1"/>
    <xf numFmtId="0" fontId="0" fillId="0" borderId="4" xfId="0" applyBorder="1"/>
    <xf numFmtId="0" fontId="0" fillId="0" borderId="9" xfId="0" applyBorder="1"/>
    <xf numFmtId="0" fontId="0" fillId="0" borderId="13" xfId="0" applyBorder="1"/>
    <xf numFmtId="44" fontId="0" fillId="0" borderId="0" xfId="0" applyNumberFormat="1"/>
    <xf numFmtId="44" fontId="3" fillId="0" borderId="0" xfId="0" applyNumberFormat="1" applyFont="1"/>
    <xf numFmtId="44" fontId="0" fillId="0" borderId="0" xfId="0" applyNumberFormat="1" applyAlignment="1">
      <alignment horizontal="right"/>
    </xf>
    <xf numFmtId="0" fontId="0" fillId="0" borderId="14" xfId="0" applyBorder="1"/>
    <xf numFmtId="0" fontId="0" fillId="0" borderId="15" xfId="0" applyBorder="1"/>
    <xf numFmtId="44" fontId="0" fillId="0" borderId="15" xfId="0" applyNumberFormat="1" applyBorder="1"/>
    <xf numFmtId="0" fontId="0" fillId="0" borderId="16" xfId="0" applyBorder="1"/>
    <xf numFmtId="0" fontId="0" fillId="0" borderId="17" xfId="0" applyBorder="1"/>
    <xf numFmtId="44" fontId="0" fillId="0" borderId="18" xfId="0" applyNumberFormat="1" applyBorder="1" applyAlignment="1">
      <alignment horizontal="right"/>
    </xf>
    <xf numFmtId="44" fontId="0" fillId="0" borderId="18" xfId="0" applyNumberFormat="1" applyBorder="1"/>
    <xf numFmtId="0" fontId="0" fillId="0" borderId="19" xfId="0" applyBorder="1"/>
    <xf numFmtId="44" fontId="0" fillId="0" borderId="20" xfId="3" applyFont="1" applyBorder="1"/>
    <xf numFmtId="44" fontId="0" fillId="0" borderId="21" xfId="3" applyFont="1" applyBorder="1"/>
    <xf numFmtId="44" fontId="0" fillId="0" borderId="20" xfId="0" applyNumberFormat="1" applyBorder="1"/>
    <xf numFmtId="44" fontId="0" fillId="0" borderId="21" xfId="0" applyNumberFormat="1" applyBorder="1"/>
    <xf numFmtId="0" fontId="3" fillId="2" borderId="22" xfId="0" applyFont="1" applyFill="1" applyBorder="1"/>
    <xf numFmtId="44" fontId="3" fillId="2" borderId="23" xfId="0" applyNumberFormat="1" applyFont="1" applyFill="1" applyBorder="1"/>
    <xf numFmtId="0" fontId="3" fillId="2" borderId="24" xfId="0" applyFont="1" applyFill="1" applyBorder="1"/>
    <xf numFmtId="0" fontId="0" fillId="0" borderId="25" xfId="0" applyBorder="1"/>
    <xf numFmtId="44" fontId="0" fillId="0" borderId="26" xfId="0" applyNumberFormat="1" applyBorder="1"/>
    <xf numFmtId="44" fontId="0" fillId="0" borderId="27" xfId="0" applyNumberFormat="1" applyBorder="1"/>
    <xf numFmtId="9" fontId="0" fillId="0" borderId="0" xfId="0" applyNumberFormat="1"/>
    <xf numFmtId="0" fontId="0" fillId="0" borderId="28" xfId="0" applyBorder="1"/>
    <xf numFmtId="0" fontId="0" fillId="0" borderId="12" xfId="0" applyBorder="1"/>
    <xf numFmtId="164" fontId="0" fillId="0" borderId="11" xfId="2" applyNumberFormat="1" applyFont="1" applyBorder="1"/>
    <xf numFmtId="164" fontId="0" fillId="0" borderId="1" xfId="0" applyNumberFormat="1" applyBorder="1"/>
    <xf numFmtId="8" fontId="0" fillId="0" borderId="1" xfId="0" applyNumberFormat="1" applyBorder="1"/>
    <xf numFmtId="164" fontId="0" fillId="0" borderId="1" xfId="2" applyNumberFormat="1" applyFont="1" applyBorder="1"/>
    <xf numFmtId="10" fontId="0" fillId="0" borderId="1" xfId="0" applyNumberFormat="1" applyBorder="1"/>
    <xf numFmtId="10" fontId="0" fillId="0" borderId="11" xfId="0" applyNumberFormat="1" applyBorder="1"/>
    <xf numFmtId="10" fontId="0" fillId="0" borderId="1" xfId="2" applyNumberFormat="1" applyFont="1" applyBorder="1"/>
    <xf numFmtId="10" fontId="0" fillId="0" borderId="11" xfId="2" applyNumberFormat="1" applyFont="1" applyBorder="1"/>
    <xf numFmtId="164" fontId="3" fillId="0" borderId="0" xfId="0" applyNumberFormat="1" applyFont="1"/>
    <xf numFmtId="10" fontId="3" fillId="0" borderId="0" xfId="0" applyNumberFormat="1" applyFont="1"/>
    <xf numFmtId="0" fontId="0" fillId="0" borderId="6" xfId="0" applyBorder="1"/>
    <xf numFmtId="44" fontId="0" fillId="0" borderId="6" xfId="0" applyNumberFormat="1" applyBorder="1"/>
    <xf numFmtId="44" fontId="0" fillId="0" borderId="3" xfId="0" applyNumberFormat="1" applyBorder="1"/>
    <xf numFmtId="44" fontId="0" fillId="0" borderId="9" xfId="0" applyNumberFormat="1" applyBorder="1"/>
    <xf numFmtId="0" fontId="3" fillId="0" borderId="0" xfId="0" applyFont="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right"/>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812800</xdr:colOff>
      <xdr:row>1</xdr:row>
      <xdr:rowOff>165100</xdr:rowOff>
    </xdr:from>
    <xdr:to>
      <xdr:col>8</xdr:col>
      <xdr:colOff>193176</xdr:colOff>
      <xdr:row>41</xdr:row>
      <xdr:rowOff>12700</xdr:rowOff>
    </xdr:to>
    <xdr:pic>
      <xdr:nvPicPr>
        <xdr:cNvPr id="2" name="Picture 1">
          <a:extLst>
            <a:ext uri="{FF2B5EF4-FFF2-40B4-BE49-F238E27FC236}">
              <a16:creationId xmlns:a16="http://schemas.microsoft.com/office/drawing/2014/main" id="{99475D98-27F4-4D14-4A11-D29096F608DF}"/>
            </a:ext>
          </a:extLst>
        </xdr:cNvPr>
        <xdr:cNvPicPr>
          <a:picLocks noChangeAspect="1"/>
        </xdr:cNvPicPr>
      </xdr:nvPicPr>
      <xdr:blipFill>
        <a:blip xmlns:r="http://schemas.openxmlformats.org/officeDocument/2006/relationships" r:embed="rId1"/>
        <a:stretch>
          <a:fillRect/>
        </a:stretch>
      </xdr:blipFill>
      <xdr:spPr>
        <a:xfrm>
          <a:off x="812800" y="368300"/>
          <a:ext cx="6489700" cy="7975600"/>
        </a:xfrm>
        <a:prstGeom prst="rect">
          <a:avLst/>
        </a:prstGeom>
      </xdr:spPr>
    </xdr:pic>
    <xdr:clientData/>
  </xdr:twoCellAnchor>
  <xdr:twoCellAnchor editAs="oneCell">
    <xdr:from>
      <xdr:col>8</xdr:col>
      <xdr:colOff>787400</xdr:colOff>
      <xdr:row>10</xdr:row>
      <xdr:rowOff>25400</xdr:rowOff>
    </xdr:from>
    <xdr:to>
      <xdr:col>16</xdr:col>
      <xdr:colOff>28372</xdr:colOff>
      <xdr:row>27</xdr:row>
      <xdr:rowOff>139700</xdr:rowOff>
    </xdr:to>
    <xdr:pic>
      <xdr:nvPicPr>
        <xdr:cNvPr id="4" name="Picture 3">
          <a:extLst>
            <a:ext uri="{FF2B5EF4-FFF2-40B4-BE49-F238E27FC236}">
              <a16:creationId xmlns:a16="http://schemas.microsoft.com/office/drawing/2014/main" id="{713424BA-79D9-66A0-65C0-901902596FBB}"/>
            </a:ext>
          </a:extLst>
        </xdr:cNvPr>
        <xdr:cNvPicPr>
          <a:picLocks noChangeAspect="1"/>
        </xdr:cNvPicPr>
      </xdr:nvPicPr>
      <xdr:blipFill>
        <a:blip xmlns:r="http://schemas.openxmlformats.org/officeDocument/2006/relationships" r:embed="rId2"/>
        <a:stretch>
          <a:fillRect/>
        </a:stretch>
      </xdr:blipFill>
      <xdr:spPr>
        <a:xfrm>
          <a:off x="7391400" y="2057400"/>
          <a:ext cx="6146800" cy="3568700"/>
        </a:xfrm>
        <a:prstGeom prst="rect">
          <a:avLst/>
        </a:prstGeom>
      </xdr:spPr>
    </xdr:pic>
    <xdr:clientData/>
  </xdr:twoCellAnchor>
  <xdr:twoCellAnchor editAs="oneCell">
    <xdr:from>
      <xdr:col>9</xdr:col>
      <xdr:colOff>50800</xdr:colOff>
      <xdr:row>27</xdr:row>
      <xdr:rowOff>177800</xdr:rowOff>
    </xdr:from>
    <xdr:to>
      <xdr:col>15</xdr:col>
      <xdr:colOff>673100</xdr:colOff>
      <xdr:row>42</xdr:row>
      <xdr:rowOff>63500</xdr:rowOff>
    </xdr:to>
    <xdr:pic>
      <xdr:nvPicPr>
        <xdr:cNvPr id="5" name="Picture 4">
          <a:extLst>
            <a:ext uri="{FF2B5EF4-FFF2-40B4-BE49-F238E27FC236}">
              <a16:creationId xmlns:a16="http://schemas.microsoft.com/office/drawing/2014/main" id="{5A2CDE34-1B7A-1C31-05D9-F1B7B510C31D}"/>
            </a:ext>
          </a:extLst>
        </xdr:cNvPr>
        <xdr:cNvPicPr>
          <a:picLocks noChangeAspect="1"/>
        </xdr:cNvPicPr>
      </xdr:nvPicPr>
      <xdr:blipFill>
        <a:blip xmlns:r="http://schemas.openxmlformats.org/officeDocument/2006/relationships" r:embed="rId3"/>
        <a:stretch>
          <a:fillRect/>
        </a:stretch>
      </xdr:blipFill>
      <xdr:spPr>
        <a:xfrm>
          <a:off x="7480300" y="5664200"/>
          <a:ext cx="5715000" cy="2933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228600</xdr:colOff>
      <xdr:row>1</xdr:row>
      <xdr:rowOff>12700</xdr:rowOff>
    </xdr:from>
    <xdr:to>
      <xdr:col>3</xdr:col>
      <xdr:colOff>848346</xdr:colOff>
      <xdr:row>9</xdr:row>
      <xdr:rowOff>50800</xdr:rowOff>
    </xdr:to>
    <xdr:pic>
      <xdr:nvPicPr>
        <xdr:cNvPr id="2" name="Picture 1">
          <a:extLst>
            <a:ext uri="{FF2B5EF4-FFF2-40B4-BE49-F238E27FC236}">
              <a16:creationId xmlns:a16="http://schemas.microsoft.com/office/drawing/2014/main" id="{DAFC385E-5BC5-A4B8-0DFA-A24D7CC4A5E7}"/>
            </a:ext>
          </a:extLst>
        </xdr:cNvPr>
        <xdr:cNvPicPr>
          <a:picLocks noChangeAspect="1"/>
        </xdr:cNvPicPr>
      </xdr:nvPicPr>
      <xdr:blipFill>
        <a:blip xmlns:r="http://schemas.openxmlformats.org/officeDocument/2006/relationships" r:embed="rId1"/>
        <a:stretch>
          <a:fillRect/>
        </a:stretch>
      </xdr:blipFill>
      <xdr:spPr>
        <a:xfrm>
          <a:off x="228600" y="215900"/>
          <a:ext cx="3561066" cy="1663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330201</xdr:colOff>
      <xdr:row>0</xdr:row>
      <xdr:rowOff>151275</xdr:rowOff>
    </xdr:from>
    <xdr:to>
      <xdr:col>4</xdr:col>
      <xdr:colOff>177800</xdr:colOff>
      <xdr:row>13</xdr:row>
      <xdr:rowOff>101599</xdr:rowOff>
    </xdr:to>
    <xdr:pic>
      <xdr:nvPicPr>
        <xdr:cNvPr id="2" name="Picture 1">
          <a:extLst>
            <a:ext uri="{FF2B5EF4-FFF2-40B4-BE49-F238E27FC236}">
              <a16:creationId xmlns:a16="http://schemas.microsoft.com/office/drawing/2014/main" id="{261E51F7-36DF-5656-7CDF-8CA262FC6E7C}"/>
            </a:ext>
          </a:extLst>
        </xdr:cNvPr>
        <xdr:cNvPicPr>
          <a:picLocks noChangeAspect="1"/>
        </xdr:cNvPicPr>
      </xdr:nvPicPr>
      <xdr:blipFill>
        <a:blip xmlns:r="http://schemas.openxmlformats.org/officeDocument/2006/relationships" r:embed="rId1"/>
        <a:stretch>
          <a:fillRect/>
        </a:stretch>
      </xdr:blipFill>
      <xdr:spPr>
        <a:xfrm>
          <a:off x="330201" y="151275"/>
          <a:ext cx="3149599" cy="25919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9E57-E2E5-9E4B-8A4A-E526CF81C3DE}">
  <dimension ref="A1:M127"/>
  <sheetViews>
    <sheetView showGridLines="0" tabSelected="1" zoomScale="84" workbookViewId="0">
      <selection activeCell="F132" sqref="F132"/>
    </sheetView>
  </sheetViews>
  <sheetFormatPr baseColWidth="10" defaultRowHeight="16"/>
  <cols>
    <col min="7" max="7" width="12.5" customWidth="1"/>
    <col min="8" max="8" width="15.83203125" customWidth="1"/>
    <col min="9" max="9" width="13" customWidth="1"/>
    <col min="10" max="10" width="12.6640625" bestFit="1" customWidth="1"/>
  </cols>
  <sheetData>
    <row r="1" spans="1:11">
      <c r="A1" t="s">
        <v>7</v>
      </c>
      <c r="B1" s="1" t="s">
        <v>1</v>
      </c>
    </row>
    <row r="3" spans="1:11">
      <c r="J3" s="2" t="s">
        <v>2</v>
      </c>
      <c r="K3" s="16">
        <f>97.359</f>
        <v>97.358999999999995</v>
      </c>
    </row>
    <row r="4" spans="1:11">
      <c r="J4" s="2" t="s">
        <v>3</v>
      </c>
      <c r="K4" s="3">
        <f>4.205%</f>
        <v>4.2050000000000004E-2</v>
      </c>
    </row>
    <row r="5" spans="1:11">
      <c r="J5" s="2" t="s">
        <v>4</v>
      </c>
      <c r="K5" s="4">
        <f>DATE(2034,8,15)</f>
        <v>49171</v>
      </c>
    </row>
    <row r="6" spans="1:11">
      <c r="J6" s="2" t="s">
        <v>5</v>
      </c>
      <c r="K6" s="3">
        <f>3.875%</f>
        <v>3.875E-2</v>
      </c>
    </row>
    <row r="7" spans="1:11">
      <c r="J7" s="2" t="s">
        <v>16</v>
      </c>
      <c r="K7" s="11">
        <v>100</v>
      </c>
    </row>
    <row r="9" spans="1:11">
      <c r="J9" s="5" t="s">
        <v>6</v>
      </c>
    </row>
    <row r="43" spans="2:10">
      <c r="B43" s="5" t="s">
        <v>10</v>
      </c>
      <c r="C43" s="5"/>
      <c r="G43" t="s">
        <v>18</v>
      </c>
    </row>
    <row r="44" spans="2:10">
      <c r="B44" t="s">
        <v>8</v>
      </c>
      <c r="C44" t="s">
        <v>9</v>
      </c>
      <c r="D44" t="s">
        <v>3</v>
      </c>
      <c r="G44" s="5" t="s">
        <v>11</v>
      </c>
    </row>
    <row r="45" spans="2:10">
      <c r="B45">
        <v>1</v>
      </c>
      <c r="C45" s="6">
        <f>B45/12</f>
        <v>8.3333333333333329E-2</v>
      </c>
      <c r="D45" s="9">
        <v>4.7300000000000002E-2</v>
      </c>
      <c r="G45" t="s">
        <v>12</v>
      </c>
      <c r="H45" t="s">
        <v>13</v>
      </c>
      <c r="I45" t="s">
        <v>14</v>
      </c>
      <c r="J45" t="s">
        <v>15</v>
      </c>
    </row>
    <row r="46" spans="2:10">
      <c r="B46">
        <v>3</v>
      </c>
      <c r="C46" s="6">
        <f t="shared" ref="C46:C68" si="0">B46/12</f>
        <v>0.25</v>
      </c>
      <c r="D46" s="10">
        <f>(((D47-D45)/(C47-C45))*(C46-C45))+D45</f>
        <v>4.6420000000000003E-2</v>
      </c>
      <c r="G46">
        <v>0.5</v>
      </c>
      <c r="H46">
        <f>$K$6/2*$K$7</f>
        <v>1.9375</v>
      </c>
      <c r="I46" s="12">
        <f>D47</f>
        <v>4.5100000000000001E-2</v>
      </c>
      <c r="J46" s="13">
        <f>PV(I46,G46,0,-H46)</f>
        <v>1.8952337747999519</v>
      </c>
    </row>
    <row r="47" spans="2:10">
      <c r="B47">
        <v>6</v>
      </c>
      <c r="C47" s="6">
        <f t="shared" si="0"/>
        <v>0.5</v>
      </c>
      <c r="D47" s="9">
        <v>4.5100000000000001E-2</v>
      </c>
      <c r="G47">
        <v>1</v>
      </c>
      <c r="H47">
        <f t="shared" ref="H47:H65" si="1">$K$6/2*$K$7</f>
        <v>1.9375</v>
      </c>
      <c r="I47" s="12">
        <f>D48</f>
        <v>4.2799999999999998E-2</v>
      </c>
      <c r="J47" s="13">
        <f t="shared" ref="J47:J66" si="2">PV(I47,G47,0,-H47)</f>
        <v>1.8579785193709246</v>
      </c>
    </row>
    <row r="48" spans="2:10">
      <c r="B48">
        <v>12</v>
      </c>
      <c r="C48" s="6">
        <f t="shared" si="0"/>
        <v>1</v>
      </c>
      <c r="D48" s="9">
        <v>4.2799999999999998E-2</v>
      </c>
      <c r="G48">
        <v>1.5</v>
      </c>
      <c r="H48">
        <f t="shared" si="1"/>
        <v>1.9375</v>
      </c>
      <c r="I48" s="12">
        <f>D49</f>
        <v>4.19E-2</v>
      </c>
      <c r="J48" s="13">
        <f t="shared" si="2"/>
        <v>1.8218082067953374</v>
      </c>
    </row>
    <row r="49" spans="2:10">
      <c r="B49">
        <v>18</v>
      </c>
      <c r="C49" s="6">
        <f t="shared" si="0"/>
        <v>1.5</v>
      </c>
      <c r="D49" s="10">
        <f>(((D50-D48)/(C50-C48)))*(C49-C48)+D48</f>
        <v>4.19E-2</v>
      </c>
      <c r="G49">
        <v>2</v>
      </c>
      <c r="H49">
        <f t="shared" si="1"/>
        <v>1.9375</v>
      </c>
      <c r="I49" s="12">
        <f t="shared" ref="I49:I65" si="3">D50</f>
        <v>4.1000000000000002E-2</v>
      </c>
      <c r="J49" s="13">
        <f t="shared" si="2"/>
        <v>1.7878877640191164</v>
      </c>
    </row>
    <row r="50" spans="2:10">
      <c r="B50">
        <v>24</v>
      </c>
      <c r="C50" s="6">
        <f t="shared" si="0"/>
        <v>2</v>
      </c>
      <c r="D50" s="9">
        <v>4.1000000000000002E-2</v>
      </c>
      <c r="G50">
        <v>2.5</v>
      </c>
      <c r="H50">
        <f t="shared" si="1"/>
        <v>1.9375</v>
      </c>
      <c r="I50" s="12">
        <f t="shared" si="3"/>
        <v>4.07E-2</v>
      </c>
      <c r="J50" s="13">
        <f t="shared" si="2"/>
        <v>1.7535890493626669</v>
      </c>
    </row>
    <row r="51" spans="2:10">
      <c r="B51">
        <v>30</v>
      </c>
      <c r="C51" s="6">
        <f t="shared" si="0"/>
        <v>2.5</v>
      </c>
      <c r="D51" s="10">
        <f>(((D52-D50)/(C52-C50)))*(C51-C50)+D50</f>
        <v>4.07E-2</v>
      </c>
      <c r="G51">
        <v>3</v>
      </c>
      <c r="H51">
        <f t="shared" si="1"/>
        <v>1.9375</v>
      </c>
      <c r="I51" s="12">
        <f t="shared" si="3"/>
        <v>4.0399999999999998E-2</v>
      </c>
      <c r="J51" s="13">
        <f t="shared" si="2"/>
        <v>1.7204445529857471</v>
      </c>
    </row>
    <row r="52" spans="2:10">
      <c r="B52">
        <v>36</v>
      </c>
      <c r="C52" s="6">
        <f t="shared" si="0"/>
        <v>3</v>
      </c>
      <c r="D52" s="9">
        <v>4.0399999999999998E-2</v>
      </c>
      <c r="G52">
        <v>3.5</v>
      </c>
      <c r="H52">
        <f t="shared" si="1"/>
        <v>1.9375</v>
      </c>
      <c r="I52" s="12">
        <f t="shared" si="3"/>
        <v>4.045E-2</v>
      </c>
      <c r="J52" s="13">
        <f t="shared" si="2"/>
        <v>1.6864266644076564</v>
      </c>
    </row>
    <row r="53" spans="2:10">
      <c r="B53">
        <v>42</v>
      </c>
      <c r="C53" s="6">
        <f t="shared" si="0"/>
        <v>3.5</v>
      </c>
      <c r="D53" s="10">
        <f>(((D56-D52)/(C56-C52))*(C53-C52))+D52</f>
        <v>4.045E-2</v>
      </c>
      <c r="G53">
        <v>4</v>
      </c>
      <c r="H53">
        <f t="shared" si="1"/>
        <v>1.9375</v>
      </c>
      <c r="I53" s="12">
        <f t="shared" si="3"/>
        <v>4.0499999999999994E-2</v>
      </c>
      <c r="J53" s="13">
        <f t="shared" si="2"/>
        <v>1.6530019769896285</v>
      </c>
    </row>
    <row r="54" spans="2:10">
      <c r="B54">
        <v>48</v>
      </c>
      <c r="C54" s="6">
        <f t="shared" si="0"/>
        <v>4</v>
      </c>
      <c r="D54" s="10">
        <f>(((D56-D52)/(C56-C52))*(C54-C52))+D52</f>
        <v>4.0499999999999994E-2</v>
      </c>
      <c r="G54">
        <v>4.5</v>
      </c>
      <c r="H54">
        <f t="shared" si="1"/>
        <v>1.9375</v>
      </c>
      <c r="I54" s="12">
        <f t="shared" si="3"/>
        <v>4.0549999999999996E-2</v>
      </c>
      <c r="J54" s="13">
        <f t="shared" si="2"/>
        <v>1.6201619192721339</v>
      </c>
    </row>
    <row r="55" spans="2:10">
      <c r="B55">
        <v>54</v>
      </c>
      <c r="C55" s="6">
        <f t="shared" si="0"/>
        <v>4.5</v>
      </c>
      <c r="D55" s="10">
        <f>(((D56-D53)/(C56-C53))*(C55-C53))+D53</f>
        <v>4.0549999999999996E-2</v>
      </c>
      <c r="G55">
        <v>5</v>
      </c>
      <c r="H55">
        <f t="shared" si="1"/>
        <v>1.9375</v>
      </c>
      <c r="I55" s="12">
        <f t="shared" si="3"/>
        <v>4.0599999999999997E-2</v>
      </c>
      <c r="J55" s="13">
        <f t="shared" si="2"/>
        <v>1.5878980061151104</v>
      </c>
    </row>
    <row r="56" spans="2:10">
      <c r="B56">
        <v>60</v>
      </c>
      <c r="C56" s="6">
        <f t="shared" si="0"/>
        <v>5</v>
      </c>
      <c r="D56" s="9">
        <v>4.0599999999999997E-2</v>
      </c>
      <c r="G56">
        <v>5.5</v>
      </c>
      <c r="H56">
        <f t="shared" si="1"/>
        <v>1.9375</v>
      </c>
      <c r="I56" s="12">
        <f t="shared" si="3"/>
        <v>4.0800000000000003E-2</v>
      </c>
      <c r="J56" s="13">
        <f t="shared" si="2"/>
        <v>1.554968700381345</v>
      </c>
    </row>
    <row r="57" spans="2:10">
      <c r="B57">
        <v>66</v>
      </c>
      <c r="C57" s="6">
        <f t="shared" si="0"/>
        <v>5.5</v>
      </c>
      <c r="D57" s="10">
        <f>(((D58-D56)/(C58-C56))*(C57-C56))+D56</f>
        <v>4.0800000000000003E-2</v>
      </c>
      <c r="G57">
        <v>6</v>
      </c>
      <c r="H57">
        <f t="shared" si="1"/>
        <v>1.9375</v>
      </c>
      <c r="I57" s="12">
        <f t="shared" si="3"/>
        <v>4.1000000000000002E-2</v>
      </c>
      <c r="J57" s="13">
        <f t="shared" si="2"/>
        <v>1.5224300029153448</v>
      </c>
    </row>
    <row r="58" spans="2:10">
      <c r="B58">
        <v>72</v>
      </c>
      <c r="C58" s="6">
        <f t="shared" si="0"/>
        <v>6</v>
      </c>
      <c r="D58" s="9">
        <v>4.1000000000000002E-2</v>
      </c>
      <c r="G58">
        <v>6.5</v>
      </c>
      <c r="H58">
        <f t="shared" si="1"/>
        <v>1.9375</v>
      </c>
      <c r="I58" s="12">
        <f t="shared" si="3"/>
        <v>4.1250000000000002E-2</v>
      </c>
      <c r="J58" s="13">
        <f t="shared" si="2"/>
        <v>1.4898210886293486</v>
      </c>
    </row>
    <row r="59" spans="2:10">
      <c r="B59">
        <v>78</v>
      </c>
      <c r="C59" s="6">
        <f t="shared" si="0"/>
        <v>6.5</v>
      </c>
      <c r="D59" s="10">
        <f>(((D60-D58)/(C60-C58))*(C59-C58))+D58</f>
        <v>4.1250000000000002E-2</v>
      </c>
      <c r="G59">
        <v>7</v>
      </c>
      <c r="H59">
        <f t="shared" si="1"/>
        <v>1.9375</v>
      </c>
      <c r="I59" s="12">
        <f t="shared" si="3"/>
        <v>4.1500000000000002E-2</v>
      </c>
      <c r="J59" s="13">
        <f t="shared" si="2"/>
        <v>1.4575611739734446</v>
      </c>
    </row>
    <row r="60" spans="2:10">
      <c r="B60">
        <v>84</v>
      </c>
      <c r="C60" s="6">
        <f t="shared" si="0"/>
        <v>7</v>
      </c>
      <c r="D60" s="9">
        <v>4.1500000000000002E-2</v>
      </c>
      <c r="G60">
        <v>7.5</v>
      </c>
      <c r="H60">
        <f t="shared" si="1"/>
        <v>1.9375</v>
      </c>
      <c r="I60" s="12">
        <f t="shared" si="3"/>
        <v>4.165E-2</v>
      </c>
      <c r="J60" s="13">
        <f t="shared" si="2"/>
        <v>1.4266849329360241</v>
      </c>
    </row>
    <row r="61" spans="2:10">
      <c r="B61">
        <v>90</v>
      </c>
      <c r="C61" s="6">
        <f t="shared" si="0"/>
        <v>7.5</v>
      </c>
      <c r="D61" s="10">
        <f>(((D66-D60)/(C66-C60))*(C61-C60))+D60</f>
        <v>4.165E-2</v>
      </c>
      <c r="G61">
        <v>8</v>
      </c>
      <c r="H61">
        <f t="shared" si="1"/>
        <v>1.9375</v>
      </c>
      <c r="I61" s="12">
        <f t="shared" si="3"/>
        <v>4.1800000000000004E-2</v>
      </c>
      <c r="J61" s="13">
        <f t="shared" si="2"/>
        <v>1.3962618963973243</v>
      </c>
    </row>
    <row r="62" spans="2:10">
      <c r="B62">
        <v>96</v>
      </c>
      <c r="C62" s="6">
        <f t="shared" si="0"/>
        <v>8</v>
      </c>
      <c r="D62" s="10">
        <f>(((D66-D60)/(C66-C60))*(C62-C60))+D60</f>
        <v>4.1800000000000004E-2</v>
      </c>
      <c r="G62">
        <v>8.5</v>
      </c>
      <c r="H62">
        <f t="shared" si="1"/>
        <v>1.9375</v>
      </c>
      <c r="I62" s="12">
        <f t="shared" si="3"/>
        <v>4.1950000000000001E-2</v>
      </c>
      <c r="J62" s="13">
        <f t="shared" si="2"/>
        <v>1.3662911010928518</v>
      </c>
    </row>
    <row r="63" spans="2:10">
      <c r="B63">
        <v>102</v>
      </c>
      <c r="C63" s="6">
        <f t="shared" si="0"/>
        <v>8.5</v>
      </c>
      <c r="D63" s="10">
        <f>(((D66-D60)/(C66-C60))*(C63-C60))+D60</f>
        <v>4.1950000000000001E-2</v>
      </c>
      <c r="G63">
        <v>9</v>
      </c>
      <c r="H63">
        <f t="shared" si="1"/>
        <v>1.9375</v>
      </c>
      <c r="I63" s="12">
        <f t="shared" si="3"/>
        <v>4.2099999999999999E-2</v>
      </c>
      <c r="J63" s="13">
        <f t="shared" si="2"/>
        <v>1.3367714085601545</v>
      </c>
    </row>
    <row r="64" spans="2:10">
      <c r="B64">
        <v>108</v>
      </c>
      <c r="C64" s="6">
        <f t="shared" si="0"/>
        <v>9</v>
      </c>
      <c r="D64" s="10">
        <f>(((D66-D60)/(C66-C60))*(C64-C60))+D60</f>
        <v>4.2099999999999999E-2</v>
      </c>
      <c r="G64">
        <v>9.5</v>
      </c>
      <c r="H64">
        <f t="shared" si="1"/>
        <v>1.9375</v>
      </c>
      <c r="I64" s="12">
        <f t="shared" si="3"/>
        <v>4.2250000000000003E-2</v>
      </c>
      <c r="J64" s="13">
        <f t="shared" si="2"/>
        <v>1.3077015096316407</v>
      </c>
    </row>
    <row r="65" spans="2:12">
      <c r="B65">
        <v>114</v>
      </c>
      <c r="C65" s="6">
        <f t="shared" si="0"/>
        <v>9.5</v>
      </c>
      <c r="D65" s="10">
        <f>(((D66-D60)/(C66-C60))*(C65-C60))+D60</f>
        <v>4.2250000000000003E-2</v>
      </c>
      <c r="G65">
        <v>10</v>
      </c>
      <c r="H65">
        <f t="shared" si="1"/>
        <v>1.9375</v>
      </c>
      <c r="I65" s="12">
        <f t="shared" si="3"/>
        <v>4.24E-2</v>
      </c>
      <c r="J65" s="13">
        <f t="shared" si="2"/>
        <v>1.27907992895155</v>
      </c>
    </row>
    <row r="66" spans="2:12">
      <c r="B66">
        <v>120</v>
      </c>
      <c r="C66" s="6">
        <f t="shared" si="0"/>
        <v>10</v>
      </c>
      <c r="D66" s="9">
        <v>4.24E-2</v>
      </c>
      <c r="G66">
        <v>10</v>
      </c>
      <c r="H66">
        <f>K7</f>
        <v>100</v>
      </c>
      <c r="I66" s="12">
        <f>I65</f>
        <v>4.24E-2</v>
      </c>
      <c r="J66" s="13">
        <f t="shared" si="2"/>
        <v>66.017028591047733</v>
      </c>
    </row>
    <row r="67" spans="2:12">
      <c r="B67">
        <v>240</v>
      </c>
      <c r="C67" s="6">
        <f t="shared" si="0"/>
        <v>20</v>
      </c>
      <c r="D67" s="9">
        <v>4.5900000000000003E-2</v>
      </c>
    </row>
    <row r="68" spans="2:12">
      <c r="B68">
        <v>360</v>
      </c>
      <c r="C68" s="6">
        <f t="shared" si="0"/>
        <v>30</v>
      </c>
      <c r="D68" s="9">
        <v>4.4999999999999998E-2</v>
      </c>
      <c r="I68" s="5" t="s">
        <v>17</v>
      </c>
      <c r="J68" s="14">
        <f>SUM(J46:J66)</f>
        <v>97.53903076863503</v>
      </c>
    </row>
    <row r="72" spans="2:12">
      <c r="G72" t="s">
        <v>19</v>
      </c>
      <c r="H72" t="s">
        <v>20</v>
      </c>
      <c r="I72" s="15">
        <f>K3</f>
        <v>97.358999999999995</v>
      </c>
    </row>
    <row r="73" spans="2:12">
      <c r="H73" t="s">
        <v>21</v>
      </c>
      <c r="I73" s="15">
        <f>J68</f>
        <v>97.53903076863503</v>
      </c>
    </row>
    <row r="76" spans="2:12" ht="16" customHeight="1">
      <c r="G76" s="74" t="s">
        <v>22</v>
      </c>
      <c r="H76" s="75"/>
      <c r="I76" s="75"/>
      <c r="J76" s="75"/>
      <c r="K76" s="76"/>
      <c r="L76" s="17"/>
    </row>
    <row r="77" spans="2:12">
      <c r="G77" s="77"/>
      <c r="H77" s="78"/>
      <c r="I77" s="78"/>
      <c r="J77" s="78"/>
      <c r="K77" s="79"/>
      <c r="L77" s="17"/>
    </row>
    <row r="78" spans="2:12">
      <c r="G78" s="77"/>
      <c r="H78" s="78"/>
      <c r="I78" s="78"/>
      <c r="J78" s="78"/>
      <c r="K78" s="79"/>
      <c r="L78" s="17"/>
    </row>
    <row r="79" spans="2:12">
      <c r="G79" s="77"/>
      <c r="H79" s="78"/>
      <c r="I79" s="78"/>
      <c r="J79" s="78"/>
      <c r="K79" s="79"/>
      <c r="L79" s="17"/>
    </row>
    <row r="80" spans="2:12">
      <c r="G80" s="77"/>
      <c r="H80" s="78"/>
      <c r="I80" s="78"/>
      <c r="J80" s="78"/>
      <c r="K80" s="79"/>
    </row>
    <row r="81" spans="5:13">
      <c r="G81" s="77"/>
      <c r="H81" s="78"/>
      <c r="I81" s="78"/>
      <c r="J81" s="78"/>
      <c r="K81" s="79"/>
    </row>
    <row r="82" spans="5:13">
      <c r="G82" s="77"/>
      <c r="H82" s="78"/>
      <c r="I82" s="78"/>
      <c r="J82" s="78"/>
      <c r="K82" s="79"/>
    </row>
    <row r="83" spans="5:13">
      <c r="G83" s="80"/>
      <c r="H83" s="81"/>
      <c r="I83" s="81"/>
      <c r="J83" s="81"/>
      <c r="K83" s="82"/>
    </row>
    <row r="86" spans="5:13">
      <c r="E86" s="5" t="s">
        <v>23</v>
      </c>
    </row>
    <row r="88" spans="5:13">
      <c r="E88" t="s">
        <v>24</v>
      </c>
      <c r="F88" s="19" t="s">
        <v>25</v>
      </c>
    </row>
    <row r="90" spans="5:13" ht="16" customHeight="1">
      <c r="F90" s="73" t="s">
        <v>26</v>
      </c>
      <c r="G90" s="73"/>
      <c r="H90" s="73"/>
      <c r="I90" s="73"/>
      <c r="J90" s="73"/>
      <c r="K90" s="73"/>
      <c r="L90" s="18"/>
      <c r="M90" s="18"/>
    </row>
    <row r="91" spans="5:13">
      <c r="F91" s="73"/>
      <c r="G91" s="73"/>
      <c r="H91" s="73"/>
      <c r="I91" s="73"/>
      <c r="J91" s="73"/>
      <c r="K91" s="73"/>
      <c r="L91" s="18"/>
      <c r="M91" s="18"/>
    </row>
    <row r="92" spans="5:13">
      <c r="F92" s="73"/>
      <c r="G92" s="73"/>
      <c r="H92" s="73"/>
      <c r="I92" s="73"/>
      <c r="J92" s="73"/>
      <c r="K92" s="73"/>
      <c r="L92" s="18"/>
      <c r="M92" s="18"/>
    </row>
    <row r="93" spans="5:13">
      <c r="F93" s="73"/>
      <c r="G93" s="73"/>
      <c r="H93" s="73"/>
      <c r="I93" s="73"/>
      <c r="J93" s="73"/>
      <c r="K93" s="73"/>
      <c r="L93" s="18"/>
      <c r="M93" s="18"/>
    </row>
    <row r="94" spans="5:13">
      <c r="F94" s="73"/>
      <c r="G94" s="73"/>
      <c r="H94" s="73"/>
      <c r="I94" s="73"/>
      <c r="J94" s="73"/>
      <c r="K94" s="73"/>
      <c r="L94" s="18"/>
      <c r="M94" s="18"/>
    </row>
    <row r="97" spans="5:11">
      <c r="E97" t="s">
        <v>27</v>
      </c>
      <c r="F97" s="19" t="s">
        <v>28</v>
      </c>
    </row>
    <row r="99" spans="5:11">
      <c r="F99" s="73" t="s">
        <v>29</v>
      </c>
      <c r="G99" s="73"/>
      <c r="H99" s="73"/>
      <c r="I99" s="73"/>
      <c r="J99" s="73"/>
      <c r="K99" s="73"/>
    </row>
    <row r="100" spans="5:11">
      <c r="F100" s="73"/>
      <c r="G100" s="73"/>
      <c r="H100" s="73"/>
      <c r="I100" s="73"/>
      <c r="J100" s="73"/>
      <c r="K100" s="73"/>
    </row>
    <row r="101" spans="5:11">
      <c r="F101" s="73"/>
      <c r="G101" s="73"/>
      <c r="H101" s="73"/>
      <c r="I101" s="73"/>
      <c r="J101" s="73"/>
      <c r="K101" s="73"/>
    </row>
    <row r="102" spans="5:11">
      <c r="F102" s="73"/>
      <c r="G102" s="73"/>
      <c r="H102" s="73"/>
      <c r="I102" s="73"/>
      <c r="J102" s="73"/>
      <c r="K102" s="73"/>
    </row>
    <row r="105" spans="5:11">
      <c r="E105" t="s">
        <v>30</v>
      </c>
      <c r="F105" s="19" t="s">
        <v>31</v>
      </c>
    </row>
    <row r="107" spans="5:11" ht="16" customHeight="1">
      <c r="F107" s="73" t="s">
        <v>32</v>
      </c>
      <c r="G107" s="73"/>
      <c r="H107" s="73"/>
      <c r="I107" s="73"/>
      <c r="J107" s="73"/>
      <c r="K107" s="73"/>
    </row>
    <row r="108" spans="5:11">
      <c r="F108" s="73"/>
      <c r="G108" s="73"/>
      <c r="H108" s="73"/>
      <c r="I108" s="73"/>
      <c r="J108" s="73"/>
      <c r="K108" s="73"/>
    </row>
    <row r="109" spans="5:11">
      <c r="F109" s="73"/>
      <c r="G109" s="73"/>
      <c r="H109" s="73"/>
      <c r="I109" s="73"/>
      <c r="J109" s="73"/>
      <c r="K109" s="73"/>
    </row>
    <row r="110" spans="5:11">
      <c r="F110" s="73"/>
      <c r="G110" s="73"/>
      <c r="H110" s="73"/>
      <c r="I110" s="73"/>
      <c r="J110" s="73"/>
      <c r="K110" s="73"/>
    </row>
    <row r="111" spans="5:11">
      <c r="F111" s="73"/>
      <c r="G111" s="73"/>
      <c r="H111" s="73"/>
      <c r="I111" s="73"/>
      <c r="J111" s="73"/>
      <c r="K111" s="73"/>
    </row>
    <row r="112" spans="5:11">
      <c r="F112" s="73"/>
      <c r="G112" s="73"/>
      <c r="H112" s="73"/>
      <c r="I112" s="73"/>
      <c r="J112" s="73"/>
      <c r="K112" s="73"/>
    </row>
    <row r="113" spans="5:12">
      <c r="F113" s="73"/>
      <c r="G113" s="73"/>
      <c r="H113" s="73"/>
      <c r="I113" s="73"/>
      <c r="J113" s="73"/>
      <c r="K113" s="73"/>
    </row>
    <row r="115" spans="5:12">
      <c r="E115" t="s">
        <v>33</v>
      </c>
      <c r="F115" s="19" t="s">
        <v>34</v>
      </c>
    </row>
    <row r="116" spans="5:12">
      <c r="F116" s="73" t="s">
        <v>37</v>
      </c>
      <c r="G116" s="73"/>
      <c r="H116" s="73"/>
      <c r="I116" s="73"/>
      <c r="J116" s="73"/>
      <c r="K116" s="73"/>
    </row>
    <row r="117" spans="5:12">
      <c r="F117" s="73"/>
      <c r="G117" s="73"/>
      <c r="H117" s="73"/>
      <c r="I117" s="73"/>
      <c r="J117" s="73"/>
      <c r="K117" s="73"/>
    </row>
    <row r="118" spans="5:12">
      <c r="F118" s="73"/>
      <c r="G118" s="73"/>
      <c r="H118" s="73"/>
      <c r="I118" s="73"/>
      <c r="J118" s="73"/>
      <c r="K118" s="73"/>
    </row>
    <row r="119" spans="5:12">
      <c r="F119" s="73"/>
      <c r="G119" s="73"/>
      <c r="H119" s="73"/>
      <c r="I119" s="73"/>
      <c r="J119" s="73"/>
      <c r="K119" s="73"/>
    </row>
    <row r="120" spans="5:12">
      <c r="F120" s="73"/>
      <c r="G120" s="73"/>
      <c r="H120" s="73"/>
      <c r="I120" s="73"/>
      <c r="J120" s="73"/>
      <c r="K120" s="73"/>
    </row>
    <row r="122" spans="5:12">
      <c r="E122" t="s">
        <v>36</v>
      </c>
      <c r="F122" s="19" t="s">
        <v>35</v>
      </c>
    </row>
    <row r="124" spans="5:12">
      <c r="F124" s="73" t="s">
        <v>38</v>
      </c>
      <c r="G124" s="73"/>
      <c r="H124" s="73"/>
      <c r="I124" s="73"/>
      <c r="J124" s="73"/>
      <c r="K124" s="73"/>
      <c r="L124" s="73"/>
    </row>
    <row r="125" spans="5:12">
      <c r="F125" s="73"/>
      <c r="G125" s="73"/>
      <c r="H125" s="73"/>
      <c r="I125" s="73"/>
      <c r="J125" s="73"/>
      <c r="K125" s="73"/>
      <c r="L125" s="73"/>
    </row>
    <row r="126" spans="5:12">
      <c r="F126" s="73"/>
      <c r="G126" s="73"/>
      <c r="H126" s="73"/>
      <c r="I126" s="73"/>
      <c r="J126" s="73"/>
      <c r="K126" s="73"/>
      <c r="L126" s="73"/>
    </row>
    <row r="127" spans="5:12">
      <c r="F127" s="73"/>
      <c r="G127" s="73"/>
      <c r="H127" s="73"/>
      <c r="I127" s="73"/>
      <c r="J127" s="73"/>
      <c r="K127" s="73"/>
      <c r="L127" s="73"/>
    </row>
  </sheetData>
  <mergeCells count="6">
    <mergeCell ref="G76:K83"/>
    <mergeCell ref="F116:K120"/>
    <mergeCell ref="F124:L127"/>
    <mergeCell ref="F90:K94"/>
    <mergeCell ref="F99:K102"/>
    <mergeCell ref="F107:K1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7D91-ED0B-D042-BD11-5AF09BE8CAD1}">
  <dimension ref="B1:AA79"/>
  <sheetViews>
    <sheetView showGridLines="0" zoomScale="65" workbookViewId="0">
      <selection activeCell="F82" sqref="F82"/>
    </sheetView>
  </sheetViews>
  <sheetFormatPr baseColWidth="10" defaultRowHeight="16"/>
  <cols>
    <col min="2" max="2" width="13.33203125" bestFit="1" customWidth="1"/>
    <col min="3" max="3" width="14.5" bestFit="1" customWidth="1"/>
    <col min="4" max="7" width="12.83203125" bestFit="1" customWidth="1"/>
    <col min="8" max="9" width="13.6640625" bestFit="1" customWidth="1"/>
    <col min="10" max="12" width="12.83203125" bestFit="1" customWidth="1"/>
    <col min="13" max="13" width="13.5" bestFit="1" customWidth="1"/>
    <col min="14" max="26" width="12.6640625" bestFit="1" customWidth="1"/>
    <col min="27" max="27" width="14.1640625" bestFit="1" customWidth="1"/>
    <col min="28" max="28" width="12.5" bestFit="1" customWidth="1"/>
  </cols>
  <sheetData>
    <row r="1" spans="2:27">
      <c r="H1" t="s">
        <v>42</v>
      </c>
      <c r="I1" t="s">
        <v>41</v>
      </c>
    </row>
    <row r="2" spans="2:27">
      <c r="G2" s="23"/>
      <c r="H2" s="23" t="s">
        <v>39</v>
      </c>
      <c r="I2" s="22" t="s">
        <v>40</v>
      </c>
    </row>
    <row r="3" spans="2:27">
      <c r="G3" s="24" t="s">
        <v>43</v>
      </c>
      <c r="H3" s="28">
        <v>100000</v>
      </c>
      <c r="I3" s="25">
        <v>200000</v>
      </c>
    </row>
    <row r="4" spans="2:27">
      <c r="G4" s="24" t="s">
        <v>44</v>
      </c>
      <c r="H4" s="28">
        <v>1000</v>
      </c>
      <c r="I4" s="25">
        <v>1000</v>
      </c>
    </row>
    <row r="5" spans="2:27">
      <c r="G5" s="24" t="s">
        <v>45</v>
      </c>
      <c r="H5" s="29">
        <v>7.0000000000000007E-2</v>
      </c>
      <c r="I5" s="26">
        <v>0.12</v>
      </c>
    </row>
    <row r="6" spans="2:27">
      <c r="G6" s="24" t="s">
        <v>46</v>
      </c>
      <c r="H6" s="30">
        <v>7</v>
      </c>
      <c r="I6" s="27">
        <v>12</v>
      </c>
    </row>
    <row r="7" spans="2:27">
      <c r="G7" s="24" t="s">
        <v>2</v>
      </c>
      <c r="H7" s="28">
        <v>870</v>
      </c>
      <c r="I7" s="25">
        <v>1050</v>
      </c>
    </row>
    <row r="8" spans="2:27">
      <c r="G8" s="24" t="s">
        <v>47</v>
      </c>
      <c r="H8" s="63">
        <f>IRR(C19:AA19)*2</f>
        <v>9.5925192602231757E-2</v>
      </c>
      <c r="I8" s="64">
        <f>IRR(C26:AA26)*2</f>
        <v>0.1123128439704093</v>
      </c>
    </row>
    <row r="9" spans="2:27">
      <c r="G9" s="24" t="s">
        <v>48</v>
      </c>
      <c r="H9" s="65">
        <f>M16/(M16+C23)</f>
        <v>0.29292929292929293</v>
      </c>
      <c r="I9" s="66">
        <f>C23/(C23+M16)</f>
        <v>0.70707070707070707</v>
      </c>
    </row>
    <row r="12" spans="2:27">
      <c r="B12" s="23" t="s">
        <v>49</v>
      </c>
      <c r="C12" s="21">
        <v>0</v>
      </c>
      <c r="D12" s="21">
        <v>0.5</v>
      </c>
      <c r="E12" s="21">
        <v>1</v>
      </c>
      <c r="F12" s="21">
        <v>1.5</v>
      </c>
      <c r="G12" s="21">
        <v>2</v>
      </c>
      <c r="H12" s="21">
        <v>2.5</v>
      </c>
      <c r="I12" s="21">
        <v>3</v>
      </c>
      <c r="J12" s="21">
        <v>3.5</v>
      </c>
      <c r="K12" s="21">
        <v>4</v>
      </c>
      <c r="L12" s="21">
        <v>4.5</v>
      </c>
      <c r="M12" s="21">
        <v>5</v>
      </c>
      <c r="N12" s="21">
        <v>5.5</v>
      </c>
      <c r="O12" s="21">
        <v>6</v>
      </c>
      <c r="P12" s="21">
        <v>6.5</v>
      </c>
      <c r="Q12" s="21">
        <v>7</v>
      </c>
      <c r="R12" s="21">
        <v>7.5</v>
      </c>
      <c r="S12" s="21">
        <v>8</v>
      </c>
      <c r="T12" s="21">
        <v>8.5</v>
      </c>
      <c r="U12" s="21">
        <v>9</v>
      </c>
      <c r="V12" s="21">
        <v>9.5</v>
      </c>
      <c r="W12" s="21">
        <v>10</v>
      </c>
      <c r="X12" s="21">
        <v>10.5</v>
      </c>
      <c r="Y12" s="21">
        <v>11</v>
      </c>
      <c r="Z12" s="21">
        <v>11.5</v>
      </c>
      <c r="AA12" s="22">
        <v>12</v>
      </c>
    </row>
    <row r="13" spans="2:27">
      <c r="B13" s="34" t="s">
        <v>50</v>
      </c>
      <c r="C13" s="20">
        <v>0</v>
      </c>
      <c r="D13" s="20">
        <v>1</v>
      </c>
      <c r="E13" s="20">
        <v>2</v>
      </c>
      <c r="F13" s="20">
        <v>3</v>
      </c>
      <c r="G13" s="20">
        <v>4</v>
      </c>
      <c r="H13" s="20">
        <v>5</v>
      </c>
      <c r="I13" s="20">
        <v>6</v>
      </c>
      <c r="J13" s="20">
        <v>7</v>
      </c>
      <c r="K13" s="20">
        <v>8</v>
      </c>
      <c r="L13" s="20">
        <v>9</v>
      </c>
      <c r="M13" s="20">
        <v>10</v>
      </c>
      <c r="N13" s="20">
        <v>11</v>
      </c>
      <c r="O13" s="20">
        <v>12</v>
      </c>
      <c r="P13" s="20">
        <v>13</v>
      </c>
      <c r="Q13" s="20">
        <v>14</v>
      </c>
      <c r="R13" s="20">
        <v>15</v>
      </c>
      <c r="S13" s="20">
        <v>16</v>
      </c>
      <c r="T13" s="20">
        <v>17</v>
      </c>
      <c r="U13" s="20">
        <v>18</v>
      </c>
      <c r="V13" s="20">
        <v>19</v>
      </c>
      <c r="W13" s="20">
        <v>20</v>
      </c>
      <c r="X13" s="20">
        <v>21</v>
      </c>
      <c r="Y13" s="20">
        <v>22</v>
      </c>
      <c r="Z13" s="20">
        <v>23</v>
      </c>
      <c r="AA13" s="33">
        <v>24</v>
      </c>
    </row>
    <row r="15" spans="2:27" ht="17" thickBot="1">
      <c r="B15" s="5" t="s">
        <v>39</v>
      </c>
    </row>
    <row r="16" spans="2:27">
      <c r="B16" s="38" t="s">
        <v>2</v>
      </c>
      <c r="C16" s="39"/>
      <c r="D16" s="39"/>
      <c r="E16" s="39"/>
      <c r="F16" s="39"/>
      <c r="G16" s="39"/>
      <c r="H16" s="39"/>
      <c r="I16" s="39"/>
      <c r="J16" s="39"/>
      <c r="K16" s="39"/>
      <c r="L16" s="39"/>
      <c r="M16" s="40">
        <f>-(H7/H4)*H3</f>
        <v>-87000</v>
      </c>
      <c r="N16" s="39"/>
      <c r="O16" s="39"/>
      <c r="P16" s="39"/>
      <c r="Q16" s="39"/>
      <c r="R16" s="39"/>
      <c r="S16" s="39"/>
      <c r="T16" s="39"/>
      <c r="U16" s="39"/>
      <c r="V16" s="39"/>
      <c r="W16" s="39"/>
      <c r="X16" s="39"/>
      <c r="Y16" s="39"/>
      <c r="Z16" s="39"/>
      <c r="AA16" s="41"/>
    </row>
    <row r="17" spans="2:27">
      <c r="B17" s="42" t="s">
        <v>45</v>
      </c>
      <c r="N17" s="37">
        <f>($H$5/2)*$H$3</f>
        <v>3500.0000000000005</v>
      </c>
      <c r="O17" s="37">
        <f t="shared" ref="O17:AA17" si="0">($H$5/2)*$H$3</f>
        <v>3500.0000000000005</v>
      </c>
      <c r="P17" s="37">
        <f t="shared" si="0"/>
        <v>3500.0000000000005</v>
      </c>
      <c r="Q17" s="37">
        <f t="shared" si="0"/>
        <v>3500.0000000000005</v>
      </c>
      <c r="R17" s="37">
        <f t="shared" si="0"/>
        <v>3500.0000000000005</v>
      </c>
      <c r="S17" s="37">
        <f t="shared" si="0"/>
        <v>3500.0000000000005</v>
      </c>
      <c r="T17" s="37">
        <f t="shared" si="0"/>
        <v>3500.0000000000005</v>
      </c>
      <c r="U17" s="37">
        <f t="shared" si="0"/>
        <v>3500.0000000000005</v>
      </c>
      <c r="V17" s="37">
        <f t="shared" si="0"/>
        <v>3500.0000000000005</v>
      </c>
      <c r="W17" s="37">
        <f t="shared" si="0"/>
        <v>3500.0000000000005</v>
      </c>
      <c r="X17" s="37">
        <f t="shared" si="0"/>
        <v>3500.0000000000005</v>
      </c>
      <c r="Y17" s="37">
        <f t="shared" si="0"/>
        <v>3500.0000000000005</v>
      </c>
      <c r="Z17" s="37">
        <f t="shared" si="0"/>
        <v>3500.0000000000005</v>
      </c>
      <c r="AA17" s="43">
        <f t="shared" si="0"/>
        <v>3500.0000000000005</v>
      </c>
    </row>
    <row r="18" spans="2:27">
      <c r="B18" s="42" t="s">
        <v>51</v>
      </c>
      <c r="AA18" s="44">
        <f>H3</f>
        <v>100000</v>
      </c>
    </row>
    <row r="19" spans="2:27" ht="17" thickBot="1">
      <c r="B19" s="45" t="s">
        <v>52</v>
      </c>
      <c r="C19" s="46">
        <f>SUM(C16:C18)</f>
        <v>0</v>
      </c>
      <c r="D19" s="46">
        <f t="shared" ref="D19:AA19" si="1">SUM(D16:D18)</f>
        <v>0</v>
      </c>
      <c r="E19" s="46">
        <f t="shared" si="1"/>
        <v>0</v>
      </c>
      <c r="F19" s="46">
        <f t="shared" si="1"/>
        <v>0</v>
      </c>
      <c r="G19" s="46">
        <f t="shared" si="1"/>
        <v>0</v>
      </c>
      <c r="H19" s="46">
        <f t="shared" si="1"/>
        <v>0</v>
      </c>
      <c r="I19" s="46">
        <f t="shared" si="1"/>
        <v>0</v>
      </c>
      <c r="J19" s="46">
        <f t="shared" si="1"/>
        <v>0</v>
      </c>
      <c r="K19" s="46">
        <f t="shared" si="1"/>
        <v>0</v>
      </c>
      <c r="L19" s="46">
        <f t="shared" si="1"/>
        <v>0</v>
      </c>
      <c r="M19" s="46">
        <f t="shared" si="1"/>
        <v>-87000</v>
      </c>
      <c r="N19" s="46">
        <f t="shared" si="1"/>
        <v>3500.0000000000005</v>
      </c>
      <c r="O19" s="46">
        <f t="shared" si="1"/>
        <v>3500.0000000000005</v>
      </c>
      <c r="P19" s="46">
        <f t="shared" si="1"/>
        <v>3500.0000000000005</v>
      </c>
      <c r="Q19" s="46">
        <f t="shared" si="1"/>
        <v>3500.0000000000005</v>
      </c>
      <c r="R19" s="46">
        <f t="shared" si="1"/>
        <v>3500.0000000000005</v>
      </c>
      <c r="S19" s="46">
        <f t="shared" si="1"/>
        <v>3500.0000000000005</v>
      </c>
      <c r="T19" s="46">
        <f t="shared" si="1"/>
        <v>3500.0000000000005</v>
      </c>
      <c r="U19" s="46">
        <f t="shared" si="1"/>
        <v>3500.0000000000005</v>
      </c>
      <c r="V19" s="46">
        <f t="shared" si="1"/>
        <v>3500.0000000000005</v>
      </c>
      <c r="W19" s="46">
        <f t="shared" si="1"/>
        <v>3500.0000000000005</v>
      </c>
      <c r="X19" s="46">
        <f t="shared" si="1"/>
        <v>3500.0000000000005</v>
      </c>
      <c r="Y19" s="46">
        <f t="shared" si="1"/>
        <v>3500.0000000000005</v>
      </c>
      <c r="Z19" s="46">
        <f t="shared" si="1"/>
        <v>3500.0000000000005</v>
      </c>
      <c r="AA19" s="47">
        <f t="shared" si="1"/>
        <v>103500</v>
      </c>
    </row>
    <row r="20" spans="2:27">
      <c r="AA20" s="50" t="s">
        <v>53</v>
      </c>
    </row>
    <row r="21" spans="2:27" ht="17" thickBot="1">
      <c r="AA21" s="51">
        <f>SUM(N19:AA19)</f>
        <v>149000</v>
      </c>
    </row>
    <row r="22" spans="2:27" ht="17" thickBot="1">
      <c r="B22" s="5" t="s">
        <v>54</v>
      </c>
    </row>
    <row r="23" spans="2:27">
      <c r="B23" s="38" t="s">
        <v>2</v>
      </c>
      <c r="C23" s="40">
        <f>-(I7/I4)*I3</f>
        <v>-210000</v>
      </c>
      <c r="D23" s="39"/>
      <c r="E23" s="39"/>
      <c r="F23" s="39"/>
      <c r="G23" s="39"/>
      <c r="H23" s="39"/>
      <c r="I23" s="39"/>
      <c r="J23" s="39"/>
      <c r="K23" s="39"/>
      <c r="L23" s="39"/>
      <c r="M23" s="39"/>
      <c r="N23" s="39"/>
      <c r="O23" s="39"/>
      <c r="P23" s="39"/>
      <c r="Q23" s="39"/>
      <c r="R23" s="39"/>
      <c r="S23" s="39"/>
      <c r="T23" s="39"/>
      <c r="U23" s="39"/>
      <c r="V23" s="39"/>
      <c r="W23" s="39"/>
      <c r="X23" s="39"/>
      <c r="Y23" s="39"/>
      <c r="Z23" s="39"/>
      <c r="AA23" s="41"/>
    </row>
    <row r="24" spans="2:27">
      <c r="B24" s="42" t="s">
        <v>45</v>
      </c>
      <c r="D24" s="35">
        <f>($I$5/2)*$I$3</f>
        <v>12000</v>
      </c>
      <c r="E24" s="35">
        <f t="shared" ref="E24:AA24" si="2">($I$5/2)*$I$3</f>
        <v>12000</v>
      </c>
      <c r="F24" s="35">
        <f t="shared" si="2"/>
        <v>12000</v>
      </c>
      <c r="G24" s="35">
        <f t="shared" si="2"/>
        <v>12000</v>
      </c>
      <c r="H24" s="35">
        <f t="shared" si="2"/>
        <v>12000</v>
      </c>
      <c r="I24" s="35">
        <f t="shared" si="2"/>
        <v>12000</v>
      </c>
      <c r="J24" s="35">
        <f t="shared" si="2"/>
        <v>12000</v>
      </c>
      <c r="K24" s="35">
        <f t="shared" si="2"/>
        <v>12000</v>
      </c>
      <c r="L24" s="35">
        <f t="shared" si="2"/>
        <v>12000</v>
      </c>
      <c r="M24" s="35">
        <f t="shared" si="2"/>
        <v>12000</v>
      </c>
      <c r="N24" s="35">
        <f t="shared" si="2"/>
        <v>12000</v>
      </c>
      <c r="O24" s="35">
        <f t="shared" si="2"/>
        <v>12000</v>
      </c>
      <c r="P24" s="35">
        <f t="shared" si="2"/>
        <v>12000</v>
      </c>
      <c r="Q24" s="35">
        <f t="shared" si="2"/>
        <v>12000</v>
      </c>
      <c r="R24" s="35">
        <f t="shared" si="2"/>
        <v>12000</v>
      </c>
      <c r="S24" s="35">
        <f t="shared" si="2"/>
        <v>12000</v>
      </c>
      <c r="T24" s="35">
        <f t="shared" si="2"/>
        <v>12000</v>
      </c>
      <c r="U24" s="35">
        <f t="shared" si="2"/>
        <v>12000</v>
      </c>
      <c r="V24" s="35">
        <f t="shared" si="2"/>
        <v>12000</v>
      </c>
      <c r="W24" s="35">
        <f t="shared" si="2"/>
        <v>12000</v>
      </c>
      <c r="X24" s="35">
        <f t="shared" si="2"/>
        <v>12000</v>
      </c>
      <c r="Y24" s="35">
        <f t="shared" si="2"/>
        <v>12000</v>
      </c>
      <c r="Z24" s="35">
        <f t="shared" si="2"/>
        <v>12000</v>
      </c>
      <c r="AA24" s="44">
        <f t="shared" si="2"/>
        <v>12000</v>
      </c>
    </row>
    <row r="25" spans="2:27">
      <c r="B25" s="42" t="s">
        <v>51</v>
      </c>
      <c r="AA25" s="44">
        <f>I3</f>
        <v>200000</v>
      </c>
    </row>
    <row r="26" spans="2:27" ht="17" thickBot="1">
      <c r="B26" s="45" t="s">
        <v>52</v>
      </c>
      <c r="C26" s="48">
        <f>SUM(C23:C25)</f>
        <v>-210000</v>
      </c>
      <c r="D26" s="48">
        <f t="shared" ref="D26:AA26" si="3">SUM(D23:D25)</f>
        <v>12000</v>
      </c>
      <c r="E26" s="48">
        <f t="shared" si="3"/>
        <v>12000</v>
      </c>
      <c r="F26" s="48">
        <f t="shared" si="3"/>
        <v>12000</v>
      </c>
      <c r="G26" s="48">
        <f t="shared" si="3"/>
        <v>12000</v>
      </c>
      <c r="H26" s="48">
        <f t="shared" si="3"/>
        <v>12000</v>
      </c>
      <c r="I26" s="48">
        <f t="shared" si="3"/>
        <v>12000</v>
      </c>
      <c r="J26" s="48">
        <f t="shared" si="3"/>
        <v>12000</v>
      </c>
      <c r="K26" s="48">
        <f t="shared" si="3"/>
        <v>12000</v>
      </c>
      <c r="L26" s="48">
        <f t="shared" si="3"/>
        <v>12000</v>
      </c>
      <c r="M26" s="48">
        <f t="shared" si="3"/>
        <v>12000</v>
      </c>
      <c r="N26" s="48">
        <f t="shared" si="3"/>
        <v>12000</v>
      </c>
      <c r="O26" s="48">
        <f t="shared" si="3"/>
        <v>12000</v>
      </c>
      <c r="P26" s="48">
        <f t="shared" si="3"/>
        <v>12000</v>
      </c>
      <c r="Q26" s="48">
        <f t="shared" si="3"/>
        <v>12000</v>
      </c>
      <c r="R26" s="48">
        <f t="shared" si="3"/>
        <v>12000</v>
      </c>
      <c r="S26" s="48">
        <f t="shared" si="3"/>
        <v>12000</v>
      </c>
      <c r="T26" s="48">
        <f t="shared" si="3"/>
        <v>12000</v>
      </c>
      <c r="U26" s="48">
        <f t="shared" si="3"/>
        <v>12000</v>
      </c>
      <c r="V26" s="48">
        <f t="shared" si="3"/>
        <v>12000</v>
      </c>
      <c r="W26" s="48">
        <f t="shared" si="3"/>
        <v>12000</v>
      </c>
      <c r="X26" s="48">
        <f t="shared" si="3"/>
        <v>12000</v>
      </c>
      <c r="Y26" s="48">
        <f t="shared" si="3"/>
        <v>12000</v>
      </c>
      <c r="Z26" s="48">
        <f t="shared" si="3"/>
        <v>12000</v>
      </c>
      <c r="AA26" s="49">
        <f t="shared" si="3"/>
        <v>212000</v>
      </c>
    </row>
    <row r="27" spans="2:27">
      <c r="AA27" s="50" t="s">
        <v>53</v>
      </c>
    </row>
    <row r="28" spans="2:27" ht="17" thickBot="1">
      <c r="AA28" s="51">
        <f>SUM(D26:AA26)</f>
        <v>488000</v>
      </c>
    </row>
    <row r="29" spans="2:27" ht="17" thickBot="1"/>
    <row r="30" spans="2:27" ht="17" thickBot="1">
      <c r="B30" s="53" t="s">
        <v>55</v>
      </c>
      <c r="C30" s="54">
        <f>C26+C19</f>
        <v>-210000</v>
      </c>
      <c r="D30" s="54">
        <f t="shared" ref="D30:AA30" si="4">D26+D19</f>
        <v>12000</v>
      </c>
      <c r="E30" s="54">
        <f t="shared" si="4"/>
        <v>12000</v>
      </c>
      <c r="F30" s="54">
        <f t="shared" si="4"/>
        <v>12000</v>
      </c>
      <c r="G30" s="54">
        <f t="shared" si="4"/>
        <v>12000</v>
      </c>
      <c r="H30" s="54">
        <f t="shared" si="4"/>
        <v>12000</v>
      </c>
      <c r="I30" s="54">
        <f t="shared" si="4"/>
        <v>12000</v>
      </c>
      <c r="J30" s="54">
        <f t="shared" si="4"/>
        <v>12000</v>
      </c>
      <c r="K30" s="54">
        <f t="shared" si="4"/>
        <v>12000</v>
      </c>
      <c r="L30" s="54">
        <f t="shared" si="4"/>
        <v>12000</v>
      </c>
      <c r="M30" s="54">
        <f t="shared" si="4"/>
        <v>-75000</v>
      </c>
      <c r="N30" s="54">
        <f t="shared" si="4"/>
        <v>15500</v>
      </c>
      <c r="O30" s="54">
        <f t="shared" si="4"/>
        <v>15500</v>
      </c>
      <c r="P30" s="54">
        <f t="shared" si="4"/>
        <v>15500</v>
      </c>
      <c r="Q30" s="54">
        <f t="shared" si="4"/>
        <v>15500</v>
      </c>
      <c r="R30" s="54">
        <f t="shared" si="4"/>
        <v>15500</v>
      </c>
      <c r="S30" s="54">
        <f t="shared" si="4"/>
        <v>15500</v>
      </c>
      <c r="T30" s="54">
        <f t="shared" si="4"/>
        <v>15500</v>
      </c>
      <c r="U30" s="54">
        <f t="shared" si="4"/>
        <v>15500</v>
      </c>
      <c r="V30" s="54">
        <f t="shared" si="4"/>
        <v>15500</v>
      </c>
      <c r="W30" s="54">
        <f t="shared" si="4"/>
        <v>15500</v>
      </c>
      <c r="X30" s="54">
        <f t="shared" si="4"/>
        <v>15500</v>
      </c>
      <c r="Y30" s="54">
        <f t="shared" si="4"/>
        <v>15500</v>
      </c>
      <c r="Z30" s="54">
        <f t="shared" si="4"/>
        <v>15500</v>
      </c>
      <c r="AA30" s="55">
        <f t="shared" si="4"/>
        <v>315500</v>
      </c>
    </row>
    <row r="31" spans="2:27">
      <c r="AA31" s="52" t="s">
        <v>56</v>
      </c>
    </row>
    <row r="32" spans="2:27" ht="17" thickBot="1">
      <c r="AA32" s="51">
        <f>AA28+AA21</f>
        <v>637000</v>
      </c>
    </row>
    <row r="33" spans="2:27">
      <c r="C33" s="23" t="s">
        <v>60</v>
      </c>
      <c r="D33" s="22" t="s">
        <v>61</v>
      </c>
      <c r="AA33" s="35">
        <f>AA32-(H3+I3)</f>
        <v>337000</v>
      </c>
    </row>
    <row r="34" spans="2:27">
      <c r="B34" s="23" t="s">
        <v>57</v>
      </c>
      <c r="C34" s="60">
        <f>IRR(C30:AA30)</f>
        <v>5.4855162570071725E-2</v>
      </c>
      <c r="D34" s="59">
        <f>C34*2</f>
        <v>0.10971032514014345</v>
      </c>
    </row>
    <row r="35" spans="2:27">
      <c r="B35" s="23" t="s">
        <v>58</v>
      </c>
      <c r="C35" s="61">
        <f>NPV(C34,C30:AA30)</f>
        <v>-2.2072285553079729E-10</v>
      </c>
      <c r="D35" s="22"/>
    </row>
    <row r="36" spans="2:27">
      <c r="B36" s="23" t="s">
        <v>59</v>
      </c>
      <c r="C36" s="62">
        <f>D36/2</f>
        <v>5.4855162570071725E-2</v>
      </c>
      <c r="D36" s="59">
        <f>D34</f>
        <v>0.10971032514014345</v>
      </c>
    </row>
    <row r="40" spans="2:27">
      <c r="C40" t="s">
        <v>0</v>
      </c>
      <c r="D40" s="19" t="s">
        <v>62</v>
      </c>
    </row>
    <row r="42" spans="2:27">
      <c r="D42" s="5" t="s">
        <v>63</v>
      </c>
      <c r="E42" s="5"/>
      <c r="F42" s="5"/>
      <c r="G42" s="5"/>
      <c r="H42" s="5"/>
      <c r="I42" s="5"/>
    </row>
    <row r="43" spans="2:27">
      <c r="D43" s="5" t="s">
        <v>64</v>
      </c>
      <c r="E43" s="36">
        <f>AA21</f>
        <v>149000</v>
      </c>
      <c r="F43" s="5" t="s">
        <v>66</v>
      </c>
      <c r="G43" s="5"/>
      <c r="H43" s="5"/>
      <c r="I43" s="5"/>
    </row>
    <row r="44" spans="2:27">
      <c r="D44" s="5" t="s">
        <v>54</v>
      </c>
      <c r="E44" s="36">
        <f>AA28</f>
        <v>488000</v>
      </c>
      <c r="F44" s="5" t="s">
        <v>67</v>
      </c>
      <c r="G44" s="5"/>
      <c r="H44" s="5"/>
      <c r="I44" s="5"/>
    </row>
    <row r="45" spans="2:27">
      <c r="D45" s="5"/>
      <c r="E45" s="5"/>
      <c r="F45" s="5"/>
      <c r="G45" s="5"/>
      <c r="H45" s="5"/>
      <c r="I45" s="5"/>
    </row>
    <row r="46" spans="2:27">
      <c r="D46" s="5" t="s">
        <v>65</v>
      </c>
      <c r="E46" s="36">
        <f>AA32</f>
        <v>637000</v>
      </c>
      <c r="F46" s="5"/>
      <c r="G46" s="5"/>
      <c r="H46" s="5"/>
      <c r="I46" s="5"/>
    </row>
    <row r="48" spans="2:27">
      <c r="C48" t="s">
        <v>27</v>
      </c>
      <c r="D48" s="19" t="s">
        <v>68</v>
      </c>
    </row>
    <row r="50" spans="3:11" ht="16" customHeight="1">
      <c r="D50" s="5" t="s">
        <v>69</v>
      </c>
      <c r="E50" s="67">
        <f>C34</f>
        <v>5.4855162570071725E-2</v>
      </c>
      <c r="F50" s="5" t="s">
        <v>71</v>
      </c>
      <c r="H50" s="73" t="s">
        <v>74</v>
      </c>
      <c r="I50" s="73"/>
      <c r="J50" s="73"/>
    </row>
    <row r="51" spans="3:11">
      <c r="D51" s="5"/>
      <c r="E51" s="67">
        <f>D34</f>
        <v>0.10971032514014345</v>
      </c>
      <c r="F51" s="5" t="s">
        <v>70</v>
      </c>
      <c r="H51" s="73"/>
      <c r="I51" s="73"/>
      <c r="J51" s="73"/>
    </row>
    <row r="52" spans="3:11">
      <c r="D52" s="5"/>
      <c r="E52" s="5"/>
      <c r="F52" s="5"/>
      <c r="H52" s="73"/>
      <c r="I52" s="73"/>
      <c r="J52" s="73"/>
    </row>
    <row r="53" spans="3:11">
      <c r="D53" s="5" t="s">
        <v>72</v>
      </c>
      <c r="E53" s="10">
        <f>-(N17/M16)*2</f>
        <v>8.0459770114942541E-2</v>
      </c>
      <c r="F53" s="8">
        <f>-(D24/C23)*2</f>
        <v>0.11428571428571428</v>
      </c>
    </row>
    <row r="54" spans="3:11">
      <c r="D54" s="5"/>
      <c r="E54" s="5">
        <v>100000</v>
      </c>
      <c r="F54" s="5">
        <v>200000</v>
      </c>
    </row>
    <row r="55" spans="3:11">
      <c r="D55" s="5"/>
      <c r="E55" s="5"/>
      <c r="F55" s="5"/>
    </row>
    <row r="56" spans="3:11">
      <c r="D56" s="5"/>
      <c r="E56" s="8">
        <f>(((E53*E54)+(F53*F54))/(E54+F54))/2</f>
        <v>5.1505199781061849E-2</v>
      </c>
      <c r="F56" s="5" t="s">
        <v>73</v>
      </c>
    </row>
    <row r="59" spans="3:11">
      <c r="C59" t="s">
        <v>75</v>
      </c>
      <c r="D59" s="19" t="s">
        <v>76</v>
      </c>
    </row>
    <row r="61" spans="3:11" ht="16" customHeight="1">
      <c r="G61" s="73" t="s">
        <v>77</v>
      </c>
      <c r="H61" s="73"/>
      <c r="I61" s="73"/>
      <c r="J61" s="73"/>
      <c r="K61" s="73"/>
    </row>
    <row r="62" spans="3:11">
      <c r="D62" s="5" t="s">
        <v>64</v>
      </c>
      <c r="E62" s="68">
        <f>H9</f>
        <v>0.29292929292929293</v>
      </c>
      <c r="G62" s="73"/>
      <c r="H62" s="73"/>
      <c r="I62" s="73"/>
      <c r="J62" s="73"/>
      <c r="K62" s="73"/>
    </row>
    <row r="63" spans="3:11">
      <c r="D63" s="5" t="s">
        <v>54</v>
      </c>
      <c r="E63" s="68">
        <f>I9</f>
        <v>0.70707070707070707</v>
      </c>
      <c r="G63" s="73"/>
      <c r="H63" s="73"/>
      <c r="I63" s="73"/>
      <c r="J63" s="73"/>
      <c r="K63" s="73"/>
    </row>
    <row r="67" spans="3:10">
      <c r="C67" t="s">
        <v>78</v>
      </c>
      <c r="D67" s="19" t="s">
        <v>79</v>
      </c>
    </row>
    <row r="69" spans="3:10">
      <c r="D69" s="73" t="s">
        <v>80</v>
      </c>
      <c r="E69" s="73"/>
      <c r="F69" s="73"/>
      <c r="G69" s="73"/>
      <c r="H69" s="73"/>
      <c r="I69" s="73"/>
    </row>
    <row r="70" spans="3:10">
      <c r="D70" s="73"/>
      <c r="E70" s="73"/>
      <c r="F70" s="73"/>
      <c r="G70" s="73"/>
      <c r="H70" s="73"/>
      <c r="I70" s="73"/>
    </row>
    <row r="71" spans="3:10">
      <c r="D71" s="73"/>
      <c r="E71" s="73"/>
      <c r="F71" s="73"/>
      <c r="G71" s="73"/>
      <c r="H71" s="73"/>
      <c r="I71" s="73"/>
    </row>
    <row r="72" spans="3:10">
      <c r="D72" s="73"/>
      <c r="E72" s="73"/>
      <c r="F72" s="73"/>
      <c r="G72" s="73"/>
      <c r="H72" s="73"/>
      <c r="I72" s="73"/>
    </row>
    <row r="75" spans="3:10">
      <c r="C75" t="s">
        <v>81</v>
      </c>
      <c r="D75" s="19" t="s">
        <v>82</v>
      </c>
    </row>
    <row r="77" spans="3:10">
      <c r="D77" s="73" t="s">
        <v>83</v>
      </c>
      <c r="E77" s="73"/>
      <c r="F77" s="73"/>
      <c r="G77" s="73"/>
      <c r="H77" s="73"/>
      <c r="I77" s="73"/>
      <c r="J77" s="73"/>
    </row>
    <row r="78" spans="3:10">
      <c r="D78" s="73"/>
      <c r="E78" s="73"/>
      <c r="F78" s="73"/>
      <c r="G78" s="73"/>
      <c r="H78" s="73"/>
      <c r="I78" s="73"/>
      <c r="J78" s="73"/>
    </row>
    <row r="79" spans="3:10">
      <c r="D79" s="73"/>
      <c r="E79" s="73"/>
      <c r="F79" s="73"/>
      <c r="G79" s="73"/>
      <c r="H79" s="73"/>
      <c r="I79" s="73"/>
      <c r="J79" s="73"/>
    </row>
  </sheetData>
  <mergeCells count="4">
    <mergeCell ref="H50:J52"/>
    <mergeCell ref="G61:K63"/>
    <mergeCell ref="D69:I72"/>
    <mergeCell ref="D77:J7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626D-F654-EB44-BA85-071F889CA843}">
  <dimension ref="B1:J59"/>
  <sheetViews>
    <sheetView showGridLines="0" workbookViewId="0">
      <selection activeCell="F62" sqref="F62"/>
    </sheetView>
  </sheetViews>
  <sheetFormatPr baseColWidth="10" defaultRowHeight="16"/>
  <cols>
    <col min="7" max="7" width="12" bestFit="1" customWidth="1"/>
  </cols>
  <sheetData>
    <row r="1" spans="2:8">
      <c r="F1" s="5" t="s">
        <v>87</v>
      </c>
    </row>
    <row r="2" spans="2:8">
      <c r="F2" s="83" t="s">
        <v>84</v>
      </c>
      <c r="G2" t="s">
        <v>85</v>
      </c>
      <c r="H2" t="s">
        <v>86</v>
      </c>
    </row>
    <row r="3" spans="2:8">
      <c r="F3">
        <v>1</v>
      </c>
      <c r="G3">
        <v>0.5</v>
      </c>
      <c r="H3" s="7">
        <f>4.38%</f>
        <v>4.3799999999999999E-2</v>
      </c>
    </row>
    <row r="4" spans="2:8">
      <c r="F4">
        <v>2</v>
      </c>
      <c r="G4">
        <v>1</v>
      </c>
      <c r="H4" s="7">
        <f>3.98%</f>
        <v>3.9800000000000002E-2</v>
      </c>
    </row>
    <row r="5" spans="2:8">
      <c r="F5">
        <v>3</v>
      </c>
      <c r="G5">
        <v>1.5</v>
      </c>
      <c r="H5" s="7">
        <f>3.82%</f>
        <v>3.8199999999999998E-2</v>
      </c>
    </row>
    <row r="6" spans="2:8">
      <c r="F6">
        <v>4</v>
      </c>
      <c r="G6">
        <v>2</v>
      </c>
      <c r="H6" s="7">
        <f>3.66%</f>
        <v>3.6600000000000001E-2</v>
      </c>
    </row>
    <row r="9" spans="2:8">
      <c r="F9" s="5" t="s">
        <v>88</v>
      </c>
    </row>
    <row r="10" spans="2:8">
      <c r="F10" t="s">
        <v>45</v>
      </c>
      <c r="G10" s="56">
        <v>0.06</v>
      </c>
    </row>
    <row r="11" spans="2:8">
      <c r="F11" t="s">
        <v>16</v>
      </c>
      <c r="G11" s="15">
        <v>1000</v>
      </c>
    </row>
    <row r="12" spans="2:8">
      <c r="F12" t="s">
        <v>89</v>
      </c>
      <c r="G12" s="56">
        <v>0.03</v>
      </c>
    </row>
    <row r="13" spans="2:8">
      <c r="F13" t="s">
        <v>90</v>
      </c>
      <c r="G13">
        <v>2</v>
      </c>
    </row>
    <row r="14" spans="2:8">
      <c r="F14" t="s">
        <v>91</v>
      </c>
      <c r="G14" s="56">
        <v>0.04</v>
      </c>
    </row>
    <row r="16" spans="2:8">
      <c r="B16" s="23" t="s">
        <v>49</v>
      </c>
      <c r="C16" s="23">
        <v>0</v>
      </c>
      <c r="D16" s="23">
        <v>0.5</v>
      </c>
      <c r="E16" s="23">
        <v>1</v>
      </c>
      <c r="F16" s="23">
        <v>1.5</v>
      </c>
      <c r="G16" s="23">
        <v>2</v>
      </c>
    </row>
    <row r="17" spans="2:7">
      <c r="B17" s="23" t="s">
        <v>92</v>
      </c>
      <c r="C17" s="23">
        <v>0</v>
      </c>
      <c r="D17" s="23">
        <v>1</v>
      </c>
      <c r="E17" s="23">
        <v>2</v>
      </c>
      <c r="F17" s="23">
        <v>3</v>
      </c>
      <c r="G17" s="23">
        <v>4</v>
      </c>
    </row>
    <row r="18" spans="2:7">
      <c r="B18" s="23" t="s">
        <v>89</v>
      </c>
      <c r="C18" s="23"/>
      <c r="D18" s="63">
        <f>H3</f>
        <v>4.3799999999999999E-2</v>
      </c>
      <c r="E18" s="63">
        <f>H4</f>
        <v>3.9800000000000002E-2</v>
      </c>
      <c r="F18" s="63">
        <f>H5</f>
        <v>3.8199999999999998E-2</v>
      </c>
      <c r="G18" s="63">
        <f>H6</f>
        <v>3.6600000000000001E-2</v>
      </c>
    </row>
    <row r="19" spans="2:7">
      <c r="B19" s="23" t="s">
        <v>93</v>
      </c>
      <c r="C19" s="23"/>
      <c r="D19" s="65">
        <f>D18/2</f>
        <v>2.1899999999999999E-2</v>
      </c>
      <c r="E19" s="65">
        <f t="shared" ref="E19:G19" si="0">E18/2</f>
        <v>1.9900000000000001E-2</v>
      </c>
      <c r="F19" s="65">
        <f t="shared" si="0"/>
        <v>1.9099999999999999E-2</v>
      </c>
      <c r="G19" s="65">
        <f t="shared" si="0"/>
        <v>1.83E-2</v>
      </c>
    </row>
    <row r="20" spans="2:7">
      <c r="D20" s="7"/>
      <c r="E20" s="7"/>
      <c r="F20" s="7"/>
      <c r="G20" s="7"/>
    </row>
    <row r="21" spans="2:7">
      <c r="B21" s="57" t="s">
        <v>94</v>
      </c>
      <c r="C21" s="31"/>
      <c r="D21" s="71">
        <f>$G$11*$G$10/2</f>
        <v>30</v>
      </c>
      <c r="E21" s="31"/>
      <c r="F21" s="31"/>
      <c r="G21" s="32"/>
    </row>
    <row r="22" spans="2:7">
      <c r="B22" s="58" t="s">
        <v>95</v>
      </c>
      <c r="E22" s="35">
        <f>D21</f>
        <v>30</v>
      </c>
      <c r="G22" s="69"/>
    </row>
    <row r="23" spans="2:7">
      <c r="B23" s="58" t="s">
        <v>96</v>
      </c>
      <c r="F23" s="35">
        <f>D21</f>
        <v>30</v>
      </c>
      <c r="G23" s="69"/>
    </row>
    <row r="24" spans="2:7">
      <c r="B24" s="58" t="s">
        <v>97</v>
      </c>
      <c r="G24" s="70">
        <f>D21</f>
        <v>30</v>
      </c>
    </row>
    <row r="25" spans="2:7">
      <c r="B25" s="34" t="s">
        <v>98</v>
      </c>
      <c r="C25" s="20"/>
      <c r="D25" s="20"/>
      <c r="E25" s="20"/>
      <c r="F25" s="20"/>
      <c r="G25" s="72">
        <f>G11</f>
        <v>1000</v>
      </c>
    </row>
    <row r="27" spans="2:7">
      <c r="B27" t="s">
        <v>99</v>
      </c>
      <c r="D27" s="35">
        <f>D21/(1+D19)^D17</f>
        <v>29.357079949114393</v>
      </c>
      <c r="E27" s="35">
        <f>E22/(1+E19)^E17</f>
        <v>28.840718202716427</v>
      </c>
      <c r="F27" s="35">
        <f>F23/(1+F19)^F17</f>
        <v>28.344633765928254</v>
      </c>
      <c r="G27" s="35">
        <f>(G25+G24)/(1+G19)^G17</f>
        <v>957.93104800863955</v>
      </c>
    </row>
    <row r="29" spans="2:7">
      <c r="B29" t="s">
        <v>100</v>
      </c>
      <c r="C29" s="15">
        <f>SUM(C27:G27)</f>
        <v>1044.4734799263986</v>
      </c>
    </row>
    <row r="33" spans="2:9">
      <c r="B33" t="s">
        <v>0</v>
      </c>
      <c r="C33" s="19" t="s">
        <v>101</v>
      </c>
    </row>
    <row r="35" spans="2:9">
      <c r="C35" s="5" t="s">
        <v>102</v>
      </c>
    </row>
    <row r="36" spans="2:9">
      <c r="C36" s="5" t="s">
        <v>103</v>
      </c>
    </row>
    <row r="39" spans="2:9">
      <c r="B39" t="s">
        <v>27</v>
      </c>
      <c r="C39" s="19" t="s">
        <v>104</v>
      </c>
    </row>
    <row r="41" spans="2:9">
      <c r="C41" s="73" t="s">
        <v>106</v>
      </c>
      <c r="D41" s="73"/>
      <c r="E41" s="73"/>
      <c r="F41" s="73"/>
      <c r="G41" s="73"/>
      <c r="H41" s="73"/>
      <c r="I41" s="73"/>
    </row>
    <row r="42" spans="2:9">
      <c r="C42" s="73"/>
      <c r="D42" s="73"/>
      <c r="E42" s="73"/>
      <c r="F42" s="73"/>
      <c r="G42" s="73"/>
      <c r="H42" s="73"/>
      <c r="I42" s="73"/>
    </row>
    <row r="45" spans="2:9">
      <c r="B45" t="s">
        <v>30</v>
      </c>
      <c r="C45" s="19" t="s">
        <v>105</v>
      </c>
    </row>
    <row r="47" spans="2:9">
      <c r="C47" s="73" t="s">
        <v>107</v>
      </c>
      <c r="D47" s="73"/>
      <c r="E47" s="73"/>
      <c r="F47" s="73"/>
      <c r="G47" s="73"/>
      <c r="H47" s="73"/>
      <c r="I47" s="73"/>
    </row>
    <row r="48" spans="2:9">
      <c r="C48" s="73"/>
      <c r="D48" s="73"/>
      <c r="E48" s="73"/>
      <c r="F48" s="73"/>
      <c r="G48" s="73"/>
      <c r="H48" s="73"/>
      <c r="I48" s="73"/>
    </row>
    <row r="49" spans="2:10">
      <c r="C49" s="73"/>
      <c r="D49" s="73"/>
      <c r="E49" s="73"/>
      <c r="F49" s="73"/>
      <c r="G49" s="73"/>
      <c r="H49" s="73"/>
      <c r="I49" s="73"/>
    </row>
    <row r="52" spans="2:10">
      <c r="B52" t="s">
        <v>78</v>
      </c>
      <c r="C52" s="19" t="s">
        <v>108</v>
      </c>
    </row>
    <row r="54" spans="2:10" ht="16" customHeight="1">
      <c r="C54" s="73" t="s">
        <v>109</v>
      </c>
      <c r="D54" s="73"/>
      <c r="E54" s="73"/>
      <c r="F54" s="73"/>
      <c r="G54" s="73"/>
      <c r="H54" s="73"/>
      <c r="I54" s="73"/>
      <c r="J54" s="73"/>
    </row>
    <row r="55" spans="2:10">
      <c r="C55" s="73"/>
      <c r="D55" s="73"/>
      <c r="E55" s="73"/>
      <c r="F55" s="73"/>
      <c r="G55" s="73"/>
      <c r="H55" s="73"/>
      <c r="I55" s="73"/>
      <c r="J55" s="73"/>
    </row>
    <row r="56" spans="2:10">
      <c r="C56" s="73"/>
      <c r="D56" s="73"/>
      <c r="E56" s="73"/>
      <c r="F56" s="73"/>
      <c r="G56" s="73"/>
      <c r="H56" s="73"/>
      <c r="I56" s="73"/>
      <c r="J56" s="73"/>
    </row>
    <row r="57" spans="2:10">
      <c r="C57" s="73"/>
      <c r="D57" s="73"/>
      <c r="E57" s="73"/>
      <c r="F57" s="73"/>
      <c r="G57" s="73"/>
      <c r="H57" s="73"/>
      <c r="I57" s="73"/>
      <c r="J57" s="73"/>
    </row>
    <row r="58" spans="2:10">
      <c r="C58" s="73"/>
      <c r="D58" s="73"/>
      <c r="E58" s="73"/>
      <c r="F58" s="73"/>
      <c r="G58" s="73"/>
      <c r="H58" s="73"/>
      <c r="I58" s="73"/>
      <c r="J58" s="73"/>
    </row>
    <row r="59" spans="2:10">
      <c r="C59" s="73"/>
      <c r="D59" s="73"/>
      <c r="E59" s="73"/>
      <c r="F59" s="73"/>
      <c r="G59" s="73"/>
      <c r="H59" s="73"/>
      <c r="I59" s="73"/>
      <c r="J59" s="73"/>
    </row>
  </sheetData>
  <mergeCells count="3">
    <mergeCell ref="C41:I42"/>
    <mergeCell ref="C47:I49"/>
    <mergeCell ref="C54:J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Q1</vt:lpstr>
      <vt:lpstr>Q2</vt:lpstr>
      <vt:lpstr>Q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Mathilde Elise Dunbar Sison</dc:creator>
  <cp:lastModifiedBy>Mathilde Elise Dunbar Sison</cp:lastModifiedBy>
  <dcterms:created xsi:type="dcterms:W3CDTF">2024-10-25T19:52:04Z</dcterms:created>
  <dcterms:modified xsi:type="dcterms:W3CDTF">2024-10-26T03:58:08Z</dcterms:modified>
</cp:coreProperties>
</file>