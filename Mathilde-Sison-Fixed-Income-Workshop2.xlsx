
<file path=[Content_Types].xml><?xml version="1.0" encoding="utf-8"?>
<Types xmlns="http://schemas.openxmlformats.org/package/2006/content-types">
  <Default Extension="bin" ContentType="application/vnd.openxmlformats-officedocument.oleObjec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mathildesison/Desktop/Fixed Income/"/>
    </mc:Choice>
  </mc:AlternateContent>
  <xr:revisionPtr revIDLastSave="0" documentId="13_ncr:1_{BEA4DB93-7167-BF4C-A9CA-33D917D22419}" xr6:coauthVersionLast="47" xr6:coauthVersionMax="47" xr10:uidLastSave="{00000000-0000-0000-0000-000000000000}"/>
  <bookViews>
    <workbookView xWindow="2320" yWindow="500" windowWidth="22100" windowHeight="16220" xr2:uid="{6DB274A4-C66F-4942-9854-F712C3130C1E}"/>
  </bookViews>
  <sheets>
    <sheet name="Problem #1" sheetId="1" r:id="rId1"/>
    <sheet name="Problem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1" i="2" l="1"/>
  <c r="K60" i="2"/>
  <c r="AN32" i="2"/>
  <c r="AH33" i="2" l="1"/>
  <c r="AJ67"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33" i="2"/>
  <c r="AL33" i="2" s="1"/>
  <c r="Z67"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33" i="2"/>
  <c r="AA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K32" i="2"/>
  <c r="AI32" i="2"/>
  <c r="AH32" i="2"/>
  <c r="AL32" i="2"/>
  <c r="AM32" i="2" s="1"/>
  <c r="Y33" i="2"/>
  <c r="Y34" i="2" s="1"/>
  <c r="Y35" i="2" s="1"/>
  <c r="Y36" i="2" s="1"/>
  <c r="Y37" i="2" s="1"/>
  <c r="Y38" i="2" s="1"/>
  <c r="Y39" i="2" s="1"/>
  <c r="Y40" i="2" s="1"/>
  <c r="Y41" i="2" s="1"/>
  <c r="Y42" i="2" s="1"/>
  <c r="Y43" i="2" s="1"/>
  <c r="Y44" i="2" s="1"/>
  <c r="Y45" i="2" s="1"/>
  <c r="Y46" i="2" s="1"/>
  <c r="Y47" i="2" s="1"/>
  <c r="Y48" i="2" s="1"/>
  <c r="Y49" i="2" s="1"/>
  <c r="Y50" i="2" s="1"/>
  <c r="Y51" i="2" s="1"/>
  <c r="Y52" i="2" s="1"/>
  <c r="Y53" i="2" s="1"/>
  <c r="Y54" i="2" s="1"/>
  <c r="Y55" i="2" s="1"/>
  <c r="Y56" i="2" s="1"/>
  <c r="Y57" i="2" s="1"/>
  <c r="Y58" i="2" s="1"/>
  <c r="Y59" i="2" s="1"/>
  <c r="Y60" i="2" s="1"/>
  <c r="Y61" i="2" s="1"/>
  <c r="Y62" i="2" s="1"/>
  <c r="Y63" i="2" s="1"/>
  <c r="Y64" i="2" s="1"/>
  <c r="Y65" i="2" s="1"/>
  <c r="Y66" i="2" s="1"/>
  <c r="Y67" i="2" s="1"/>
  <c r="AB32" i="2"/>
  <c r="AC32" i="2" s="1"/>
  <c r="AM33" i="2" l="1"/>
  <c r="AN33" i="2" s="1"/>
  <c r="AH34" i="2" s="1"/>
  <c r="AD32" i="2"/>
  <c r="X33" i="2" s="1"/>
  <c r="AB33" i="2" s="1"/>
  <c r="AC33" i="2" l="1"/>
  <c r="AD33" i="2" s="1"/>
  <c r="X34" i="2" s="1"/>
  <c r="AB34" i="2" s="1"/>
  <c r="AL34" i="2" l="1"/>
  <c r="AC34" i="2"/>
  <c r="AD34" i="2" s="1"/>
  <c r="X35" i="2" s="1"/>
  <c r="AB35" i="2" s="1"/>
  <c r="AM34" i="2" l="1"/>
  <c r="AN34" i="2" s="1"/>
  <c r="AH35" i="2" s="1"/>
  <c r="AL35" i="2" s="1"/>
  <c r="AC35" i="2"/>
  <c r="AD35" i="2" s="1"/>
  <c r="X36" i="2" s="1"/>
  <c r="AB36" i="2" s="1"/>
  <c r="AM35" i="2" l="1"/>
  <c r="AN35" i="2"/>
  <c r="AH36" i="2" s="1"/>
  <c r="AL36" i="2" s="1"/>
  <c r="AM36" i="2" s="1"/>
  <c r="AN36" i="2" s="1"/>
  <c r="AH37" i="2" s="1"/>
  <c r="AL37" i="2" s="1"/>
  <c r="AM37" i="2" s="1"/>
  <c r="AN37" i="2" s="1"/>
  <c r="AH38" i="2" s="1"/>
  <c r="AL38" i="2" s="1"/>
  <c r="AM38" i="2" s="1"/>
  <c r="AN38" i="2" s="1"/>
  <c r="AH39" i="2" s="1"/>
  <c r="AL39" i="2" s="1"/>
  <c r="AM39" i="2" s="1"/>
  <c r="AN39" i="2" s="1"/>
  <c r="AH40" i="2" s="1"/>
  <c r="AL40" i="2" s="1"/>
  <c r="AM40" i="2" s="1"/>
  <c r="AN40" i="2" s="1"/>
  <c r="AH41" i="2" s="1"/>
  <c r="AL41" i="2" s="1"/>
  <c r="AM41" i="2" s="1"/>
  <c r="AN41" i="2" s="1"/>
  <c r="AH42" i="2" s="1"/>
  <c r="AL42" i="2" s="1"/>
  <c r="AM42" i="2" s="1"/>
  <c r="AN42" i="2" s="1"/>
  <c r="AH43" i="2" s="1"/>
  <c r="AL43" i="2" s="1"/>
  <c r="AM43" i="2" s="1"/>
  <c r="AN43" i="2" s="1"/>
  <c r="AH44" i="2" s="1"/>
  <c r="AL44" i="2" s="1"/>
  <c r="AC36" i="2"/>
  <c r="AD36" i="2" s="1"/>
  <c r="X37" i="2" s="1"/>
  <c r="AB37" i="2" s="1"/>
  <c r="AM44" i="2" l="1"/>
  <c r="AN44" i="2" s="1"/>
  <c r="AH45" i="2" s="1"/>
  <c r="AL45" i="2" s="1"/>
  <c r="AM45" i="2" s="1"/>
  <c r="AN45" i="2" s="1"/>
  <c r="AH46" i="2" s="1"/>
  <c r="AL46" i="2" s="1"/>
  <c r="AM46" i="2" s="1"/>
  <c r="AN46" i="2" s="1"/>
  <c r="AH47" i="2" s="1"/>
  <c r="AL47" i="2" s="1"/>
  <c r="AC37" i="2"/>
  <c r="AD37" i="2" s="1"/>
  <c r="X38" i="2" s="1"/>
  <c r="AB38" i="2" s="1"/>
  <c r="AM47" i="2" l="1"/>
  <c r="AN47" i="2"/>
  <c r="AH48" i="2" s="1"/>
  <c r="AL48" i="2" s="1"/>
  <c r="AM48" i="2" s="1"/>
  <c r="AN48" i="2" s="1"/>
  <c r="AH49" i="2" s="1"/>
  <c r="AL49" i="2" s="1"/>
  <c r="AM49" i="2" s="1"/>
  <c r="AN49" i="2" s="1"/>
  <c r="AH50" i="2" s="1"/>
  <c r="AL50" i="2" s="1"/>
  <c r="AM50" i="2" s="1"/>
  <c r="AN50" i="2" s="1"/>
  <c r="AH51" i="2" s="1"/>
  <c r="AL51" i="2" s="1"/>
  <c r="AM51" i="2" s="1"/>
  <c r="AN51" i="2" s="1"/>
  <c r="AH52" i="2" s="1"/>
  <c r="AL52" i="2" s="1"/>
  <c r="AM52" i="2" s="1"/>
  <c r="AN52" i="2" s="1"/>
  <c r="AH53" i="2" s="1"/>
  <c r="AL53" i="2" s="1"/>
  <c r="AM53" i="2" s="1"/>
  <c r="AN53" i="2" s="1"/>
  <c r="AH54" i="2" s="1"/>
  <c r="AL54" i="2" s="1"/>
  <c r="AM54" i="2" s="1"/>
  <c r="AN54" i="2" s="1"/>
  <c r="AH55" i="2" s="1"/>
  <c r="AL55" i="2" s="1"/>
  <c r="AM55" i="2" s="1"/>
  <c r="AN55" i="2" s="1"/>
  <c r="AH56" i="2" s="1"/>
  <c r="AL56" i="2" s="1"/>
  <c r="AM56" i="2" s="1"/>
  <c r="AN56" i="2" s="1"/>
  <c r="AH57" i="2" s="1"/>
  <c r="AL57" i="2" s="1"/>
  <c r="AM57" i="2" s="1"/>
  <c r="AN57" i="2" s="1"/>
  <c r="AH58" i="2" s="1"/>
  <c r="AL58" i="2" s="1"/>
  <c r="AM58" i="2" s="1"/>
  <c r="AN58" i="2" s="1"/>
  <c r="AH59" i="2" s="1"/>
  <c r="AL59" i="2" s="1"/>
  <c r="AM59" i="2" s="1"/>
  <c r="AN59" i="2" s="1"/>
  <c r="AH60" i="2" s="1"/>
  <c r="AL60" i="2" s="1"/>
  <c r="AM60" i="2" s="1"/>
  <c r="AN60" i="2" s="1"/>
  <c r="AH61" i="2" s="1"/>
  <c r="AL61" i="2" s="1"/>
  <c r="AM61" i="2" s="1"/>
  <c r="AN61" i="2" s="1"/>
  <c r="AH62" i="2" s="1"/>
  <c r="AL62" i="2" s="1"/>
  <c r="AM62" i="2" s="1"/>
  <c r="AN62" i="2" s="1"/>
  <c r="AH63" i="2" s="1"/>
  <c r="AL63" i="2" s="1"/>
  <c r="AC38" i="2"/>
  <c r="AD38" i="2" s="1"/>
  <c r="X39" i="2" s="1"/>
  <c r="AB39" i="2" s="1"/>
  <c r="AM63" i="2" l="1"/>
  <c r="AN63" i="2" s="1"/>
  <c r="AH64" i="2" s="1"/>
  <c r="AL64" i="2" s="1"/>
  <c r="AC39" i="2"/>
  <c r="AD39" i="2" s="1"/>
  <c r="X40" i="2" s="1"/>
  <c r="AB40" i="2" s="1"/>
  <c r="AM64" i="2" l="1"/>
  <c r="AN64" i="2" s="1"/>
  <c r="AH65" i="2" s="1"/>
  <c r="AL65" i="2" s="1"/>
  <c r="AM65" i="2" s="1"/>
  <c r="AN65" i="2" s="1"/>
  <c r="AH66" i="2" s="1"/>
  <c r="AL66" i="2" s="1"/>
  <c r="AM66" i="2" s="1"/>
  <c r="AN66" i="2" s="1"/>
  <c r="AH67" i="2" s="1"/>
  <c r="AL67" i="2" s="1"/>
  <c r="AC40" i="2"/>
  <c r="AD40" i="2" s="1"/>
  <c r="X41" i="2" s="1"/>
  <c r="AB41" i="2" s="1"/>
  <c r="AM67" i="2" l="1"/>
  <c r="AN67" i="2" s="1"/>
  <c r="AC41" i="2"/>
  <c r="AD41" i="2" s="1"/>
  <c r="X42" i="2" s="1"/>
  <c r="AB42" i="2" s="1"/>
  <c r="AC42" i="2" l="1"/>
  <c r="AD42" i="2" s="1"/>
  <c r="X43" i="2" s="1"/>
  <c r="AB43" i="2" s="1"/>
  <c r="AC43" i="2" l="1"/>
  <c r="AD43" i="2" s="1"/>
  <c r="X44" i="2" s="1"/>
  <c r="AB44" i="2" s="1"/>
  <c r="AC44" i="2" l="1"/>
  <c r="AD44" i="2" s="1"/>
  <c r="X45" i="2" s="1"/>
  <c r="AB45" i="2" s="1"/>
  <c r="AC45" i="2" l="1"/>
  <c r="AD45" i="2" s="1"/>
  <c r="X46" i="2" s="1"/>
  <c r="AB46" i="2" s="1"/>
  <c r="AC46" i="2" l="1"/>
  <c r="AD46" i="2" s="1"/>
  <c r="X47" i="2" s="1"/>
  <c r="AB47" i="2" s="1"/>
  <c r="AC47" i="2" l="1"/>
  <c r="AD47" i="2" s="1"/>
  <c r="X48" i="2" s="1"/>
  <c r="AB48" i="2" s="1"/>
  <c r="AC48" i="2" l="1"/>
  <c r="AD48" i="2"/>
  <c r="X49" i="2" s="1"/>
  <c r="AB49" i="2" s="1"/>
  <c r="AC49" i="2" l="1"/>
  <c r="AD49" i="2" s="1"/>
  <c r="X50" i="2" s="1"/>
  <c r="AB50" i="2" s="1"/>
  <c r="AC50" i="2" l="1"/>
  <c r="AD50" i="2" s="1"/>
  <c r="X51" i="2" s="1"/>
  <c r="AB51" i="2" s="1"/>
  <c r="AC51" i="2" l="1"/>
  <c r="AD51" i="2" s="1"/>
  <c r="X52" i="2" s="1"/>
  <c r="AB52" i="2" s="1"/>
  <c r="AC52" i="2" l="1"/>
  <c r="AD52" i="2" s="1"/>
  <c r="X53" i="2" s="1"/>
  <c r="AB53" i="2" s="1"/>
  <c r="AC53" i="2" l="1"/>
  <c r="AD53" i="2" s="1"/>
  <c r="X54" i="2" s="1"/>
  <c r="AB54" i="2" s="1"/>
  <c r="AC54" i="2" l="1"/>
  <c r="AD54" i="2" s="1"/>
  <c r="X55" i="2" s="1"/>
  <c r="AB55" i="2" s="1"/>
  <c r="AC55" i="2" l="1"/>
  <c r="AD55" i="2" s="1"/>
  <c r="X56" i="2" s="1"/>
  <c r="AB56" i="2" s="1"/>
  <c r="AC56" i="2" l="1"/>
  <c r="AD56" i="2" s="1"/>
  <c r="X57" i="2" s="1"/>
  <c r="AB57" i="2" s="1"/>
  <c r="AC57" i="2" l="1"/>
  <c r="AD57" i="2" s="1"/>
  <c r="X58" i="2" s="1"/>
  <c r="AB58" i="2" s="1"/>
  <c r="AC58" i="2" l="1"/>
  <c r="AD58" i="2" s="1"/>
  <c r="X59" i="2" s="1"/>
  <c r="AB59" i="2" s="1"/>
  <c r="AC59" i="2" l="1"/>
  <c r="AD59" i="2" s="1"/>
  <c r="X60" i="2" s="1"/>
  <c r="AB60" i="2" s="1"/>
  <c r="AC60" i="2" l="1"/>
  <c r="AD60" i="2" s="1"/>
  <c r="X61" i="2" s="1"/>
  <c r="AB61" i="2" s="1"/>
  <c r="AC61" i="2" l="1"/>
  <c r="AD61" i="2" s="1"/>
  <c r="X62" i="2" s="1"/>
  <c r="AB62" i="2" s="1"/>
  <c r="AC62" i="2" l="1"/>
  <c r="AD62" i="2" s="1"/>
  <c r="X63" i="2" s="1"/>
  <c r="AB63" i="2" s="1"/>
  <c r="AC63" i="2" l="1"/>
  <c r="AD63" i="2" s="1"/>
  <c r="X64" i="2" s="1"/>
  <c r="AB64" i="2" s="1"/>
  <c r="AC64" i="2" l="1"/>
  <c r="AD64" i="2" s="1"/>
  <c r="X65" i="2" s="1"/>
  <c r="AB65" i="2" s="1"/>
  <c r="AC65" i="2" l="1"/>
  <c r="AD65" i="2" s="1"/>
  <c r="X66" i="2" s="1"/>
  <c r="AB66" i="2" s="1"/>
  <c r="AC66" i="2" l="1"/>
  <c r="AD66" i="2" s="1"/>
  <c r="X67" i="2" s="1"/>
  <c r="AB67" i="2" s="1"/>
  <c r="AC67" i="2" l="1"/>
  <c r="AD67" i="2" s="1"/>
  <c r="AG27" i="2" l="1"/>
  <c r="X27" i="2"/>
  <c r="M64" i="2"/>
  <c r="M63" i="2"/>
  <c r="K64" i="2"/>
  <c r="K63" i="2"/>
  <c r="M61" i="2"/>
  <c r="K55" i="2"/>
  <c r="N53" i="2"/>
  <c r="M53" i="2"/>
  <c r="N52" i="2"/>
  <c r="M52"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G25" i="2" l="1"/>
  <c r="E25" i="2"/>
  <c r="N204" i="1"/>
  <c r="N205" i="1"/>
  <c r="N206" i="1"/>
  <c r="N207" i="1"/>
  <c r="N208" i="1"/>
  <c r="N209" i="1"/>
  <c r="N210" i="1"/>
  <c r="N211" i="1"/>
  <c r="N212" i="1"/>
  <c r="N213" i="1"/>
  <c r="N214" i="1"/>
  <c r="N215" i="1"/>
  <c r="N216" i="1"/>
  <c r="N217" i="1"/>
  <c r="N218" i="1"/>
  <c r="N219" i="1"/>
  <c r="N220" i="1"/>
  <c r="N221" i="1"/>
  <c r="N222" i="1"/>
  <c r="N223" i="1"/>
  <c r="N203" i="1"/>
  <c r="M204" i="1"/>
  <c r="M205" i="1"/>
  <c r="M206" i="1"/>
  <c r="M207" i="1"/>
  <c r="M208" i="1"/>
  <c r="M209" i="1"/>
  <c r="M210" i="1"/>
  <c r="M211" i="1"/>
  <c r="M212" i="1"/>
  <c r="M213" i="1"/>
  <c r="M214" i="1"/>
  <c r="M215" i="1"/>
  <c r="M216" i="1"/>
  <c r="M217" i="1"/>
  <c r="M218" i="1"/>
  <c r="M219" i="1"/>
  <c r="M220" i="1"/>
  <c r="M221" i="1"/>
  <c r="M222" i="1"/>
  <c r="M223" i="1"/>
  <c r="M203" i="1"/>
  <c r="G204" i="1"/>
  <c r="G203" i="1"/>
  <c r="L204" i="1"/>
  <c r="L205" i="1"/>
  <c r="L206" i="1"/>
  <c r="L207" i="1"/>
  <c r="L208" i="1"/>
  <c r="L209" i="1"/>
  <c r="L210" i="1"/>
  <c r="L211" i="1"/>
  <c r="L212" i="1"/>
  <c r="L213" i="1"/>
  <c r="L214" i="1"/>
  <c r="L215" i="1"/>
  <c r="L216" i="1"/>
  <c r="L217" i="1"/>
  <c r="L218" i="1"/>
  <c r="L219" i="1"/>
  <c r="L220" i="1"/>
  <c r="L221" i="1"/>
  <c r="L222" i="1"/>
  <c r="L223" i="1"/>
  <c r="L203" i="1"/>
  <c r="K204" i="1"/>
  <c r="K205" i="1"/>
  <c r="K206" i="1"/>
  <c r="K207" i="1"/>
  <c r="K208" i="1"/>
  <c r="K209" i="1"/>
  <c r="K210" i="1"/>
  <c r="K211" i="1"/>
  <c r="K212" i="1"/>
  <c r="K213" i="1"/>
  <c r="K214" i="1"/>
  <c r="K215" i="1"/>
  <c r="K216" i="1"/>
  <c r="K217" i="1"/>
  <c r="K218" i="1"/>
  <c r="K219" i="1"/>
  <c r="K220" i="1"/>
  <c r="K221" i="1"/>
  <c r="K222" i="1"/>
  <c r="K223" i="1"/>
  <c r="K203" i="1"/>
  <c r="J204" i="1"/>
  <c r="J205" i="1"/>
  <c r="J206" i="1"/>
  <c r="J207" i="1"/>
  <c r="J208" i="1"/>
  <c r="J209" i="1"/>
  <c r="J210" i="1"/>
  <c r="J211" i="1"/>
  <c r="J212" i="1"/>
  <c r="J213" i="1"/>
  <c r="J214" i="1"/>
  <c r="J215" i="1"/>
  <c r="J216" i="1"/>
  <c r="J217" i="1"/>
  <c r="J218" i="1"/>
  <c r="J219" i="1"/>
  <c r="J220" i="1"/>
  <c r="J221" i="1"/>
  <c r="J222" i="1"/>
  <c r="J223" i="1"/>
  <c r="J203" i="1"/>
  <c r="G205" i="1"/>
  <c r="AP198" i="1"/>
  <c r="AP197"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04" i="1"/>
  <c r="E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03"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04" i="1"/>
  <c r="AP188" i="1" l="1"/>
  <c r="AO188" i="1"/>
  <c r="AN188" i="1"/>
  <c r="AM188" i="1"/>
  <c r="AL188" i="1"/>
  <c r="AK188" i="1"/>
  <c r="AJ188" i="1"/>
  <c r="AI188" i="1"/>
  <c r="AH188" i="1"/>
  <c r="AG188" i="1"/>
  <c r="AF188" i="1"/>
  <c r="AE188" i="1"/>
  <c r="AD188" i="1"/>
  <c r="AC188" i="1"/>
  <c r="AB188" i="1"/>
  <c r="AA188" i="1"/>
  <c r="Z188" i="1"/>
  <c r="Y188" i="1"/>
  <c r="X188" i="1"/>
  <c r="W188" i="1"/>
  <c r="V188" i="1"/>
  <c r="U188" i="1"/>
  <c r="T188" i="1"/>
  <c r="S188" i="1"/>
  <c r="R188" i="1"/>
  <c r="Q188" i="1"/>
  <c r="P188" i="1"/>
  <c r="O188" i="1"/>
  <c r="N188" i="1"/>
  <c r="M188" i="1"/>
  <c r="L188" i="1"/>
  <c r="K188" i="1"/>
  <c r="J188" i="1"/>
  <c r="I188" i="1"/>
  <c r="H188" i="1"/>
  <c r="G188" i="1"/>
  <c r="F188" i="1"/>
  <c r="E188" i="1"/>
  <c r="D188" i="1"/>
  <c r="AP182" i="1"/>
  <c r="AP183" i="1" s="1"/>
  <c r="E182" i="1"/>
  <c r="E183" i="1" s="1"/>
  <c r="F182" i="1"/>
  <c r="F183" i="1" s="1"/>
  <c r="G182" i="1"/>
  <c r="G183" i="1" s="1"/>
  <c r="H182" i="1"/>
  <c r="H183" i="1" s="1"/>
  <c r="I182" i="1"/>
  <c r="I183" i="1" s="1"/>
  <c r="J182" i="1"/>
  <c r="J183" i="1" s="1"/>
  <c r="K182" i="1"/>
  <c r="K183" i="1" s="1"/>
  <c r="L182" i="1"/>
  <c r="L183" i="1" s="1"/>
  <c r="M182" i="1"/>
  <c r="M183" i="1" s="1"/>
  <c r="N182" i="1"/>
  <c r="N183" i="1" s="1"/>
  <c r="O182" i="1"/>
  <c r="O183" i="1" s="1"/>
  <c r="P182" i="1"/>
  <c r="P183" i="1" s="1"/>
  <c r="Q182" i="1"/>
  <c r="Q183" i="1" s="1"/>
  <c r="R182" i="1"/>
  <c r="R183" i="1" s="1"/>
  <c r="S182" i="1"/>
  <c r="S183" i="1" s="1"/>
  <c r="T182" i="1"/>
  <c r="T183" i="1" s="1"/>
  <c r="U182" i="1"/>
  <c r="U183" i="1" s="1"/>
  <c r="V182" i="1"/>
  <c r="V183" i="1" s="1"/>
  <c r="W182" i="1"/>
  <c r="W183" i="1" s="1"/>
  <c r="X182" i="1"/>
  <c r="X183" i="1" s="1"/>
  <c r="Y182" i="1"/>
  <c r="Y183" i="1" s="1"/>
  <c r="Z182" i="1"/>
  <c r="Z183" i="1" s="1"/>
  <c r="AA182" i="1"/>
  <c r="AA183" i="1" s="1"/>
  <c r="AB182" i="1"/>
  <c r="AB183" i="1" s="1"/>
  <c r="AC182" i="1"/>
  <c r="AC183" i="1" s="1"/>
  <c r="AD182" i="1"/>
  <c r="AD183" i="1" s="1"/>
  <c r="AE182" i="1"/>
  <c r="AE183" i="1" s="1"/>
  <c r="AF182" i="1"/>
  <c r="AF183" i="1" s="1"/>
  <c r="AG182" i="1"/>
  <c r="AG183" i="1" s="1"/>
  <c r="AH182" i="1"/>
  <c r="AH183" i="1" s="1"/>
  <c r="AI182" i="1"/>
  <c r="AI183" i="1" s="1"/>
  <c r="AJ182" i="1"/>
  <c r="AJ183" i="1" s="1"/>
  <c r="AK182" i="1"/>
  <c r="AK183" i="1" s="1"/>
  <c r="AL182" i="1"/>
  <c r="AL183" i="1" s="1"/>
  <c r="AM182" i="1"/>
  <c r="AM183" i="1" s="1"/>
  <c r="AN182" i="1"/>
  <c r="AN183" i="1" s="1"/>
  <c r="AO182" i="1"/>
  <c r="AO183" i="1" s="1"/>
  <c r="D182" i="1"/>
  <c r="D183" i="1" s="1"/>
  <c r="C171" i="1"/>
  <c r="D155" i="1"/>
  <c r="C155" i="1"/>
  <c r="D154" i="1"/>
  <c r="C154" i="1"/>
  <c r="D153" i="1"/>
  <c r="C153" i="1"/>
  <c r="D152" i="1"/>
  <c r="C152" i="1"/>
  <c r="D151" i="1"/>
  <c r="C151" i="1"/>
  <c r="D150" i="1"/>
  <c r="C150" i="1"/>
  <c r="D149" i="1"/>
  <c r="C149" i="1"/>
  <c r="D148" i="1"/>
  <c r="C148" i="1"/>
  <c r="D147" i="1"/>
  <c r="C147" i="1"/>
  <c r="D146" i="1"/>
  <c r="C146" i="1"/>
  <c r="E146" i="1" s="1"/>
  <c r="D145" i="1"/>
  <c r="C145" i="1"/>
  <c r="D144" i="1"/>
  <c r="C144" i="1"/>
  <c r="D143" i="1"/>
  <c r="C143" i="1"/>
  <c r="D142" i="1"/>
  <c r="C142" i="1"/>
  <c r="E142" i="1" s="1"/>
  <c r="D141" i="1"/>
  <c r="C141" i="1"/>
  <c r="D140" i="1"/>
  <c r="C140" i="1"/>
  <c r="D139" i="1"/>
  <c r="C139" i="1"/>
  <c r="D138" i="1"/>
  <c r="C138" i="1"/>
  <c r="E138" i="1" s="1"/>
  <c r="D137" i="1"/>
  <c r="C137" i="1"/>
  <c r="D136" i="1"/>
  <c r="C136" i="1"/>
  <c r="D135" i="1"/>
  <c r="C135" i="1"/>
  <c r="D134" i="1"/>
  <c r="C134" i="1"/>
  <c r="E134" i="1" s="1"/>
  <c r="D133" i="1"/>
  <c r="C133" i="1"/>
  <c r="D132" i="1"/>
  <c r="C132" i="1"/>
  <c r="D131" i="1"/>
  <c r="C131" i="1"/>
  <c r="D130" i="1"/>
  <c r="C130" i="1"/>
  <c r="E130" i="1" s="1"/>
  <c r="D129" i="1"/>
  <c r="C129" i="1"/>
  <c r="D128" i="1"/>
  <c r="C128" i="1"/>
  <c r="D127" i="1"/>
  <c r="C127" i="1"/>
  <c r="D126" i="1"/>
  <c r="C126" i="1"/>
  <c r="D125" i="1"/>
  <c r="C125" i="1"/>
  <c r="D124" i="1"/>
  <c r="C124" i="1"/>
  <c r="D123" i="1"/>
  <c r="C123" i="1"/>
  <c r="D122" i="1"/>
  <c r="C122" i="1"/>
  <c r="D121" i="1"/>
  <c r="C121" i="1"/>
  <c r="D120" i="1"/>
  <c r="C120" i="1"/>
  <c r="D119" i="1"/>
  <c r="C119" i="1"/>
  <c r="D118" i="1"/>
  <c r="C118" i="1"/>
  <c r="E118" i="1" s="1"/>
  <c r="D117" i="1"/>
  <c r="C117" i="1"/>
  <c r="AP36" i="1"/>
  <c r="E36" i="1"/>
  <c r="F36" i="1"/>
  <c r="G36" i="1"/>
  <c r="H36" i="1"/>
  <c r="I36" i="1"/>
  <c r="J36" i="1"/>
  <c r="K36" i="1"/>
  <c r="L36" i="1"/>
  <c r="M36" i="1"/>
  <c r="N36" i="1"/>
  <c r="O36" i="1"/>
  <c r="P36" i="1"/>
  <c r="Q36" i="1"/>
  <c r="R36" i="1"/>
  <c r="S36" i="1"/>
  <c r="T36" i="1"/>
  <c r="U36" i="1"/>
  <c r="V36" i="1"/>
  <c r="W36" i="1"/>
  <c r="X36" i="1"/>
  <c r="Y36" i="1"/>
  <c r="Z36" i="1"/>
  <c r="AA36" i="1"/>
  <c r="AB36" i="1"/>
  <c r="AC36" i="1"/>
  <c r="AD36" i="1"/>
  <c r="AE36" i="1"/>
  <c r="AF36" i="1"/>
  <c r="AG36" i="1"/>
  <c r="AH36" i="1"/>
  <c r="AI36" i="1"/>
  <c r="AJ36" i="1"/>
  <c r="AK36" i="1"/>
  <c r="AL36" i="1"/>
  <c r="AM36" i="1"/>
  <c r="AN36" i="1"/>
  <c r="AO36" i="1"/>
  <c r="D36" i="1"/>
  <c r="C27" i="1"/>
  <c r="C36" i="1" s="1"/>
  <c r="AM189" i="1" l="1"/>
  <c r="AM196" i="1"/>
  <c r="P189" i="1"/>
  <c r="P196" i="1"/>
  <c r="AO189" i="1"/>
  <c r="AO190" i="1" s="1"/>
  <c r="AO196" i="1"/>
  <c r="F189" i="1"/>
  <c r="F190" i="1" s="1"/>
  <c r="F196" i="1"/>
  <c r="N189" i="1"/>
  <c r="N196" i="1"/>
  <c r="V189" i="1"/>
  <c r="V196" i="1"/>
  <c r="AD189" i="1"/>
  <c r="AD196" i="1"/>
  <c r="AL189" i="1"/>
  <c r="AL196" i="1"/>
  <c r="G189" i="1"/>
  <c r="G196" i="1"/>
  <c r="O189" i="1"/>
  <c r="O196" i="1"/>
  <c r="X189" i="1"/>
  <c r="X190" i="1" s="1"/>
  <c r="X196" i="1"/>
  <c r="AG189" i="1"/>
  <c r="AG190" i="1" s="1"/>
  <c r="AG196" i="1"/>
  <c r="R189" i="1"/>
  <c r="R196" i="1"/>
  <c r="AP189" i="1"/>
  <c r="AP190" i="1" s="1"/>
  <c r="AP196" i="1"/>
  <c r="K189" i="1"/>
  <c r="K190" i="1" s="1"/>
  <c r="K196" i="1"/>
  <c r="S189" i="1"/>
  <c r="S190" i="1" s="1"/>
  <c r="S196" i="1"/>
  <c r="AA189" i="1"/>
  <c r="AA196" i="1"/>
  <c r="AI189" i="1"/>
  <c r="AI190" i="1" s="1"/>
  <c r="AI196" i="1"/>
  <c r="AE189" i="1"/>
  <c r="AE196" i="1"/>
  <c r="AF189" i="1"/>
  <c r="AF190" i="1" s="1"/>
  <c r="AF196" i="1"/>
  <c r="Q189" i="1"/>
  <c r="Q196" i="1"/>
  <c r="J189" i="1"/>
  <c r="J196" i="1"/>
  <c r="Z189" i="1"/>
  <c r="Z190" i="1" s="1"/>
  <c r="Z196" i="1"/>
  <c r="F169" i="1"/>
  <c r="C203" i="1"/>
  <c r="D189" i="1"/>
  <c r="D196" i="1"/>
  <c r="L189" i="1"/>
  <c r="L196" i="1"/>
  <c r="T189" i="1"/>
  <c r="T196" i="1"/>
  <c r="AB189" i="1"/>
  <c r="AB190" i="1" s="1"/>
  <c r="AB196" i="1"/>
  <c r="AJ189" i="1"/>
  <c r="AJ196" i="1"/>
  <c r="W189" i="1"/>
  <c r="W196" i="1"/>
  <c r="H189" i="1"/>
  <c r="H196" i="1"/>
  <c r="AN189" i="1"/>
  <c r="AN190" i="1" s="1"/>
  <c r="AN196" i="1"/>
  <c r="I189" i="1"/>
  <c r="I196" i="1"/>
  <c r="Y189" i="1"/>
  <c r="Y196" i="1"/>
  <c r="AH189" i="1"/>
  <c r="AH190" i="1" s="1"/>
  <c r="AH196" i="1"/>
  <c r="E189" i="1"/>
  <c r="E190" i="1" s="1"/>
  <c r="E196" i="1"/>
  <c r="M189" i="1"/>
  <c r="M196" i="1"/>
  <c r="U189" i="1"/>
  <c r="U196" i="1"/>
  <c r="AC189" i="1"/>
  <c r="AC196" i="1"/>
  <c r="AK189" i="1"/>
  <c r="AK196" i="1"/>
  <c r="G190" i="1"/>
  <c r="O190" i="1"/>
  <c r="W190" i="1"/>
  <c r="AE190" i="1"/>
  <c r="AM190" i="1"/>
  <c r="H190" i="1"/>
  <c r="P190" i="1"/>
  <c r="I190" i="1"/>
  <c r="Q190" i="1"/>
  <c r="J190" i="1"/>
  <c r="R190" i="1"/>
  <c r="D190" i="1"/>
  <c r="L190" i="1"/>
  <c r="T190" i="1"/>
  <c r="AJ190" i="1"/>
  <c r="Y190" i="1"/>
  <c r="AA190" i="1"/>
  <c r="M190" i="1"/>
  <c r="U190" i="1"/>
  <c r="AC190" i="1"/>
  <c r="AK190" i="1"/>
  <c r="N190" i="1"/>
  <c r="V190" i="1"/>
  <c r="AD190" i="1"/>
  <c r="AL190" i="1"/>
  <c r="C182" i="1"/>
  <c r="C183" i="1" s="1"/>
  <c r="C188" i="1" s="1"/>
  <c r="E149" i="1"/>
  <c r="E150" i="1"/>
  <c r="E119" i="1"/>
  <c r="E123" i="1"/>
  <c r="E127" i="1"/>
  <c r="E131" i="1"/>
  <c r="E135" i="1"/>
  <c r="E139" i="1"/>
  <c r="E143" i="1"/>
  <c r="E147" i="1"/>
  <c r="E151" i="1"/>
  <c r="E155" i="1"/>
  <c r="AP184" i="1"/>
  <c r="F170" i="1" s="1"/>
  <c r="E153" i="1"/>
  <c r="E137" i="1"/>
  <c r="E117" i="1"/>
  <c r="E129" i="1"/>
  <c r="E126" i="1"/>
  <c r="E120" i="1"/>
  <c r="E124" i="1"/>
  <c r="E128" i="1"/>
  <c r="E132" i="1"/>
  <c r="E136" i="1"/>
  <c r="E122" i="1"/>
  <c r="E141" i="1"/>
  <c r="E152" i="1"/>
  <c r="E154" i="1"/>
  <c r="E145" i="1"/>
  <c r="E125" i="1"/>
  <c r="E140" i="1"/>
  <c r="E121" i="1"/>
  <c r="E133" i="1"/>
  <c r="E144" i="1"/>
  <c r="E148" i="1"/>
  <c r="C189" i="1" l="1"/>
  <c r="C196" i="1"/>
  <c r="C190" i="1"/>
  <c r="AP191" i="1" s="1"/>
  <c r="AP193" i="1" s="1"/>
  <c r="AP194" i="1" l="1"/>
  <c r="AP192" i="1"/>
</calcChain>
</file>

<file path=xl/sharedStrings.xml><?xml version="1.0" encoding="utf-8"?>
<sst xmlns="http://schemas.openxmlformats.org/spreadsheetml/2006/main" count="335" uniqueCount="247">
  <si>
    <t xml:space="preserve">1) </t>
  </si>
  <si>
    <t>CUSIP: 037833AT7</t>
  </si>
  <si>
    <t xml:space="preserve">Issue Amt </t>
  </si>
  <si>
    <t xml:space="preserve">Face Value </t>
  </si>
  <si>
    <t xml:space="preserve">Maturity Date </t>
  </si>
  <si>
    <t>Coupon Type</t>
  </si>
  <si>
    <t xml:space="preserve">Fixed </t>
  </si>
  <si>
    <t>Periods</t>
  </si>
  <si>
    <t xml:space="preserve">2) </t>
  </si>
  <si>
    <t xml:space="preserve">Period </t>
  </si>
  <si>
    <t xml:space="preserve">CF </t>
  </si>
  <si>
    <t xml:space="preserve">Price </t>
  </si>
  <si>
    <t>Coupon</t>
  </si>
  <si>
    <t xml:space="preserve">3) </t>
  </si>
  <si>
    <t>Issuer Credit Curve</t>
  </si>
  <si>
    <t>ID</t>
  </si>
  <si>
    <t>Name</t>
  </si>
  <si>
    <t>Currency</t>
  </si>
  <si>
    <t>Maturity</t>
  </si>
  <si>
    <t>Years to Maturity</t>
  </si>
  <si>
    <t>Yield to Maturity</t>
  </si>
  <si>
    <t>037833DF4</t>
  </si>
  <si>
    <t>Apple Inc. 2.75% 13-JAN-2025</t>
  </si>
  <si>
    <t>USD</t>
  </si>
  <si>
    <t>13 Jan '25</t>
  </si>
  <si>
    <t>037833AZ3</t>
  </si>
  <si>
    <t>Apple Inc. 2.5% 09-FEB-2025</t>
  </si>
  <si>
    <t>09 Feb '25</t>
  </si>
  <si>
    <t>037833DT4</t>
  </si>
  <si>
    <t>Apple Inc. 1.125% 11-MAY-2025</t>
  </si>
  <si>
    <t>11 May '25</t>
  </si>
  <si>
    <t>037833BG4</t>
  </si>
  <si>
    <t>Apple Inc. 3.2% 13-MAY-2025</t>
  </si>
  <si>
    <t>13 May '25</t>
  </si>
  <si>
    <t>037833DX5</t>
  </si>
  <si>
    <t>Apple Inc. 0.55% 20-AUG-2025</t>
  </si>
  <si>
    <t>20 Aug '25</t>
  </si>
  <si>
    <t>037833EB2</t>
  </si>
  <si>
    <t>Apple Inc. 0.7% 08-FEB-2026</t>
  </si>
  <si>
    <t>08 Feb '26</t>
  </si>
  <si>
    <t>037833BY5</t>
  </si>
  <si>
    <t>Apple Inc. 3.25% 23-FEB-2026</t>
  </si>
  <si>
    <t>23 Feb '26</t>
  </si>
  <si>
    <t>037833ES5</t>
  </si>
  <si>
    <t>Apple Inc. 4.421% 08-MAY-2026</t>
  </si>
  <si>
    <t>08 May '26</t>
  </si>
  <si>
    <t>037833BZ2</t>
  </si>
  <si>
    <t>Apple Inc. 2.45% 04-AUG-2026</t>
  </si>
  <si>
    <t>04 Aug '26</t>
  </si>
  <si>
    <t>037833DN7</t>
  </si>
  <si>
    <t>Apple Inc. 2.05% 11-SEP-2026</t>
  </si>
  <si>
    <t>11 Sep '26</t>
  </si>
  <si>
    <t>037833CJ7</t>
  </si>
  <si>
    <t>Apple Inc. 3.35% 09-FEB-2027</t>
  </si>
  <si>
    <t>09 Feb '27</t>
  </si>
  <si>
    <t>037833CR9</t>
  </si>
  <si>
    <t>Apple Inc. 3.2% 11-MAY-2027</t>
  </si>
  <si>
    <t>11 May '27</t>
  </si>
  <si>
    <t>037833CX6</t>
  </si>
  <si>
    <t>Apple Inc. 3.0% 20-JUN-2027</t>
  </si>
  <si>
    <t>20 Jun '27</t>
  </si>
  <si>
    <t>037833DB3</t>
  </si>
  <si>
    <t>Apple Inc. 2.9% 12-SEP-2027</t>
  </si>
  <si>
    <t>12 Sep '27</t>
  </si>
  <si>
    <t>037833DK3</t>
  </si>
  <si>
    <t>Apple Inc. 3.0% 13-NOV-2027</t>
  </si>
  <si>
    <t>13 Nov '27</t>
  </si>
  <si>
    <t>037833EC0</t>
  </si>
  <si>
    <t>Apple Inc. 1.2% 08-FEB-2028</t>
  </si>
  <si>
    <t>08 Feb '28</t>
  </si>
  <si>
    <t>037833ET3</t>
  </si>
  <si>
    <t>Apple Inc. 4.0% 10-MAY-2028</t>
  </si>
  <si>
    <t>10 May '28</t>
  </si>
  <si>
    <t>037833EH9</t>
  </si>
  <si>
    <t>Apple Inc. 1.4% 05-AUG-2028</t>
  </si>
  <si>
    <t>05 Aug '28</t>
  </si>
  <si>
    <t>037833EN6</t>
  </si>
  <si>
    <t>Apple Inc. 3.25% 08-AUG-2029</t>
  </si>
  <si>
    <t>08 Aug '29</t>
  </si>
  <si>
    <t>037833DP2</t>
  </si>
  <si>
    <t>Apple Inc. 2.2% 11-SEP-2029</t>
  </si>
  <si>
    <t>11 Sep '29</t>
  </si>
  <si>
    <t>037833EU0</t>
  </si>
  <si>
    <t>Apple Inc. 4.15% 10-MAY-2030</t>
  </si>
  <si>
    <t>10 May '30</t>
  </si>
  <si>
    <t>037833DU1</t>
  </si>
  <si>
    <t>Apple Inc. 1.65% 11-MAY-2030</t>
  </si>
  <si>
    <t>11 May '30</t>
  </si>
  <si>
    <t>037833DY3</t>
  </si>
  <si>
    <t>Apple Inc. 1.25% 20-AUG-2030</t>
  </si>
  <si>
    <t>20 Aug '30</t>
  </si>
  <si>
    <t>037833ED8</t>
  </si>
  <si>
    <t>Apple Inc. 1.65% 08-FEB-2031</t>
  </si>
  <si>
    <t>08 Feb '31</t>
  </si>
  <si>
    <t>037833EJ5</t>
  </si>
  <si>
    <t>Apple Inc. 1.7% 05-AUG-2031</t>
  </si>
  <si>
    <t>05 Aug '31</t>
  </si>
  <si>
    <t>037833EP1</t>
  </si>
  <si>
    <t>Apple Inc. 3.35% 08-AUG-2032</t>
  </si>
  <si>
    <t>08 Aug '32</t>
  </si>
  <si>
    <t>037833EV8</t>
  </si>
  <si>
    <t>Apple Inc. 4.3% 10-MAY-2033</t>
  </si>
  <si>
    <t>10 May '33</t>
  </si>
  <si>
    <t>037833BW9</t>
  </si>
  <si>
    <t>Apple Inc. 4.5% 23-FEB-2036</t>
  </si>
  <si>
    <t>23 Feb '36</t>
  </si>
  <si>
    <t>037833EE6</t>
  </si>
  <si>
    <t>Apple Inc. 2.375% 08-FEB-2041</t>
  </si>
  <si>
    <t>08 Feb '41</t>
  </si>
  <si>
    <t>037833AL4</t>
  </si>
  <si>
    <t>Apple Inc. 3.85% 04-MAY-2043</t>
  </si>
  <si>
    <t>04 May '43</t>
  </si>
  <si>
    <t>037833AT7</t>
  </si>
  <si>
    <t>Apple Inc. 4.45% 06-MAY-2044</t>
  </si>
  <si>
    <t>06 May '44</t>
  </si>
  <si>
    <t>037833BA7</t>
  </si>
  <si>
    <t>Apple Inc. 3.45% 09-FEB-2045</t>
  </si>
  <si>
    <t>09 Feb '45</t>
  </si>
  <si>
    <t>037833BH2</t>
  </si>
  <si>
    <t>Apple Inc. 4.375% 13-MAY-2045</t>
  </si>
  <si>
    <t>13 May '45</t>
  </si>
  <si>
    <t>037833BX7</t>
  </si>
  <si>
    <t>Apple Inc. 4.65% 23-FEB-2046</t>
  </si>
  <si>
    <t>23 Feb '46</t>
  </si>
  <si>
    <t>037833CD0</t>
  </si>
  <si>
    <t>Apple Inc. 3.85% 04-AUG-2046</t>
  </si>
  <si>
    <t>04 Aug '46</t>
  </si>
  <si>
    <t>037833CH1</t>
  </si>
  <si>
    <t>Apple Inc. 4.25% 09-FEB-2047</t>
  </si>
  <si>
    <t>09 Feb '47</t>
  </si>
  <si>
    <t>037833DD9</t>
  </si>
  <si>
    <t>Apple Inc. 3.75% 12-SEP-2047</t>
  </si>
  <si>
    <t>12 Sep '47</t>
  </si>
  <si>
    <t>037833DG2</t>
  </si>
  <si>
    <t>Apple Inc. 3.75% 13-NOV-2047</t>
  </si>
  <si>
    <t>13 Nov '47</t>
  </si>
  <si>
    <t>037833DQ0</t>
  </si>
  <si>
    <t>Apple Inc. 2.95% 11-SEP-2049</t>
  </si>
  <si>
    <t>11 Sep '49</t>
  </si>
  <si>
    <t>037833DW7</t>
  </si>
  <si>
    <t>Apple Inc. 2.65% 11-MAY-2050</t>
  </si>
  <si>
    <t>11 May '50</t>
  </si>
  <si>
    <t>037833DZ0</t>
  </si>
  <si>
    <t>Apple Inc. 2.4% 20-AUG-2050</t>
  </si>
  <si>
    <t>20 Aug '50</t>
  </si>
  <si>
    <t>037833EF3</t>
  </si>
  <si>
    <t>Apple Inc. 2.65% 08-FEB-2051</t>
  </si>
  <si>
    <t>08 Feb '51</t>
  </si>
  <si>
    <t>037833EK2</t>
  </si>
  <si>
    <t>Apple Inc. 2.7% 05-AUG-2051</t>
  </si>
  <si>
    <t>05 Aug '51</t>
  </si>
  <si>
    <t>037833EQ9</t>
  </si>
  <si>
    <t>Apple Inc. 3.95% 08-AUG-2052</t>
  </si>
  <si>
    <t>08 Aug '52</t>
  </si>
  <si>
    <t>037833EW6</t>
  </si>
  <si>
    <t>Apple Inc. 4.85% 10-MAY-2053</t>
  </si>
  <si>
    <t>10 May '53</t>
  </si>
  <si>
    <t>037833EA4</t>
  </si>
  <si>
    <t>Apple Inc. 2.55% 20-AUG-2060</t>
  </si>
  <si>
    <t>20 Aug '60</t>
  </si>
  <si>
    <t>037833EG1</t>
  </si>
  <si>
    <t>Apple Inc. 2.8% 08-FEB-2061</t>
  </si>
  <si>
    <t>08 Feb '61</t>
  </si>
  <si>
    <t>037833EL0</t>
  </si>
  <si>
    <t>Apple Inc. 2.85% 05-AUG-2061</t>
  </si>
  <si>
    <t>05 Aug '61</t>
  </si>
  <si>
    <t>037833ER7</t>
  </si>
  <si>
    <t>Apple Inc. 4.1% 08-AUG-2062</t>
  </si>
  <si>
    <t>08 Aug '62</t>
  </si>
  <si>
    <t>Source: FactSet DCS</t>
  </si>
  <si>
    <t xml:space="preserve">4) </t>
  </si>
  <si>
    <t xml:space="preserve">5) </t>
  </si>
  <si>
    <t>Period</t>
  </si>
  <si>
    <t>AAPL Yield</t>
  </si>
  <si>
    <t>Treasury Yield</t>
  </si>
  <si>
    <t>Spread</t>
  </si>
  <si>
    <t xml:space="preserve">Interpretation: </t>
  </si>
  <si>
    <t>Interpretation: Apple's minimal yield spread over Treasury yields in the short term reflects strong market confidence in its ability to meet obligations. The spread widens as the term lengthens, reflecting the market pricing in future uncertainties. A 0.5% premium over the U.S. government highlights Apple's financial stability and reliability.</t>
  </si>
  <si>
    <t xml:space="preserve">6) </t>
  </si>
  <si>
    <t xml:space="preserve">PV of CF </t>
  </si>
  <si>
    <t xml:space="preserve">10-year Treasury </t>
  </si>
  <si>
    <t xml:space="preserve">Market Price </t>
  </si>
  <si>
    <t xml:space="preserve">PV Price </t>
  </si>
  <si>
    <t xml:space="preserve">7) </t>
  </si>
  <si>
    <t>Macaulay Duration</t>
  </si>
  <si>
    <t xml:space="preserve">YTM </t>
  </si>
  <si>
    <t xml:space="preserve">Convexity </t>
  </si>
  <si>
    <t>Macaulay Duration Semi- Annual</t>
  </si>
  <si>
    <t>Modified Duration Semi-Annual</t>
  </si>
  <si>
    <t xml:space="preserve">Annual </t>
  </si>
  <si>
    <t xml:space="preserve">Modified Duration--&gt; </t>
  </si>
  <si>
    <t xml:space="preserve">8) </t>
  </si>
  <si>
    <t xml:space="preserve">Annual Yield </t>
  </si>
  <si>
    <t xml:space="preserve">Duration </t>
  </si>
  <si>
    <t xml:space="preserve">Modified Duration </t>
  </si>
  <si>
    <t>ΔY</t>
  </si>
  <si>
    <t xml:space="preserve">Current Yield </t>
  </si>
  <si>
    <t>New Yield</t>
  </si>
  <si>
    <t>Old Price</t>
  </si>
  <si>
    <t>New Price</t>
  </si>
  <si>
    <t>New Price w/ Convexity</t>
  </si>
  <si>
    <t>Slope (dp/dy)</t>
  </si>
  <si>
    <t>9)</t>
  </si>
  <si>
    <t>This  bond's high convexity protects against interest rate changes by minimizing price declines when yields rise and enhancing gains when yields fall. This reduces interest rate risk more effectively than bonds with lower convexity, making them more attractive to risk-averse investors.</t>
  </si>
  <si>
    <t>The required yield of 4.865% shows the credit and liquidity risk premiums over Treasury securities. This spread compensates for the added risk of corporate bonds, reflecting the issuer's creditworthiness and marketability. Bonds with higher credit spreads appeal to risk-seeking investors but typically signal greater default risk and lower repayment ability compared to those with narrower spreads.</t>
  </si>
  <si>
    <t xml:space="preserve">Question Responses </t>
  </si>
  <si>
    <t>Yes, the credit spread changes with maturity, typically widening for longer maturities due to increased uncertainty and risk. For Apple, the spread between its yield curve and the Treasury yield curve grows as maturity lengthens because longer-term bonds carry greater credit risk, as future financial health and market competitiveness become harder to predict. Additionally, interest rate and liquidity risks increase over time, and external factors like inflation, regulatory changes, or economic downturns further amplify the uncertainty. These risks collectively lead investors to demand higher compensation for holding Apple’s longer-term bonds compared to risk-free Treasuries.</t>
  </si>
  <si>
    <t>The theoretical price of a bond, calculated based on its expected cash flows discounted at the appropriate yield, may differ from its current market price due to various factors. These discrepancies can arise from changes in market conditions, such as shifts in interest rates, credit spreads, or liquidity conditions, which the theoretical model may not fully capture. The theoretical price  of the bond is $611,394,755.15, which is significantly lower than the current market price of $940,900,000.00. This discrepancy suggests that market factors, such as strong demand or a favorable perception of the bond's issuer, are driving the market price above its theoretical valuation. Additionally, the market price may reflect investor expectations of lower credit risk, improved economic conditions, or a decline in interest rates, which aren't fully captured in the calculated theoretical price.</t>
  </si>
  <si>
    <t>Using zero rates to price this bond is not inherently incorrect but can be misleading. Zero rates discount cash flows using risk-free rates, which is useful for theoretical pricing. However, they ignore market factors like credit risk, liquidity premiums, and investor sentiment reflected in market-based yield curves. These factors are crucial for accurate pricing, as shown by the significant gap between the theoretical and market price. Zero rates are suitable for baseline valuations but may not fully capture real-world market dynamics.</t>
  </si>
  <si>
    <t>At the current yield to maturity of 4.865%, the bond's duration of 7.32 indicates that its price is expected to change by approximately 7.3% for a 1% change in yield. This measure highlights the bond's sensitivity to interest rate movements, providing traders and investors with a key indicator of potential price volatility in response to rate fluctuations.The convexity of 540.54 reflects significant curvature in the bond's price-yield relationship, providing additional protection against large interest rate fluctuations. This means the bond's price will decrease less dramatically when yields rise and increase more significantly when yields fall. The combination of high duration and convexity suggests that while the bond is sensitive to interest rate changes, its high convexity helps mitigate extreme price volatility, making it an appealing option for investors seeking a balance between yield and risk management in a fluctuating interest rate environment.</t>
  </si>
  <si>
    <t xml:space="preserve">Amortization = 3 year period </t>
  </si>
  <si>
    <t xml:space="preserve">Prime Spread </t>
  </si>
  <si>
    <t xml:space="preserve">APR Margin </t>
  </si>
  <si>
    <t xml:space="preserve">PRIME Rate </t>
  </si>
  <si>
    <t xml:space="preserve">1-Yr Treasury Rate </t>
  </si>
  <si>
    <t xml:space="preserve">Credit Card Interest Rate </t>
  </si>
  <si>
    <t xml:space="preserve">Treasury Yields Curve </t>
  </si>
  <si>
    <t>3-Year Treasury Yield (Y(3))</t>
  </si>
  <si>
    <t>2-Year Treasury Yield (Y(2))</t>
  </si>
  <si>
    <t>1-Year Treasury Yield (Y(1))</t>
  </si>
  <si>
    <t>1-Year Forward Rate One Year From Now:</t>
  </si>
  <si>
    <t>1-Year Forward Rate Two Years From Now:</t>
  </si>
  <si>
    <t xml:space="preserve">Prime Loan Rate </t>
  </si>
  <si>
    <t xml:space="preserve">Apple APR </t>
  </si>
  <si>
    <t>Discover APR</t>
  </si>
  <si>
    <t xml:space="preserve">Apple Future APR </t>
  </si>
  <si>
    <t xml:space="preserve">Discover Future APR </t>
  </si>
  <si>
    <t>1-Year Forward (1 year from now):</t>
  </si>
  <si>
    <t>2-Year Forward (2 years from now):</t>
  </si>
  <si>
    <t>4)</t>
  </si>
  <si>
    <t>Month</t>
  </si>
  <si>
    <t>Interest</t>
  </si>
  <si>
    <t>Minimum Payment</t>
  </si>
  <si>
    <t xml:space="preserve">APR </t>
  </si>
  <si>
    <t xml:space="preserve">Apple Card Amortization Schedule </t>
  </si>
  <si>
    <t>APR</t>
  </si>
  <si>
    <t xml:space="preserve">Discover Card Amortization Schedule </t>
  </si>
  <si>
    <t>Beginning Balance</t>
  </si>
  <si>
    <t>Total Payment</t>
  </si>
  <si>
    <t>Principal</t>
  </si>
  <si>
    <t>Ending Balance</t>
  </si>
  <si>
    <t>Early Payment</t>
  </si>
  <si>
    <t>The Treasury rate influences the prime rate, which is the interest rate banks charge their most creditworthy borrowers. Credit card APRs are calculated as the prime rate plus a fixed margin based on the borrower’s credit risk. When Treasury rates rise, the cost of borrowing for banks increases, leading to a higher prime rate and, consequently, higher credit card APRs. This means consumers pay more in interest on outstanding balances. Conversely, when Treasury rates fall, the prime rate decreases, lowering APRs and reducing borrowing costs. Variable-rate credit cards are particularly sensitive to these fluctuations, as their APR adjusts with changes in the prime rate. Fixed-rate cards remain stable but may when renewed.</t>
  </si>
  <si>
    <t>First I found the 1 year forward treasury rate one year from now by dividing ( 1+2 yr treasury)^2/(1+1 yr treasury). Then I calculated the Prime spread by doing the prime loan rate - 1 yr treasury yield, and the APR Margin by taking the company's APR - prime loan rate. To find the 1 yr forward APR I summed the APR margin + prime spread + 1 yr treasury forward 1 yr from now. To find the 2 yr forward APR I summed the APR margin + Prime Spread + 1 yr forward 2 yrs from now treasury. I use Treasury forward rates to estimate future prime rates by adding the 3.59% prime spread, added the credit risk margin 13% to the prime spread and estimated treasury forward rate to calculate the future APR. I repeated for 2 years from now to project changes in APR  using the 1 yr forward treasury rate 2 yrs from now.</t>
  </si>
  <si>
    <t>3)</t>
  </si>
  <si>
    <t>A higher APR increases the interest portion of monthly payments, reducing the amount applied to the principal. This slows the repayment process, resulting in a longer repayment duration and higher total interest costs. Conversely, a lower APR reduces interest charges, allowing more of each payment to go toward the principal, which shortens the repayment period and decreases total interest paid.The Discover card's higher APR of 26.24% compared to the Apple card's 21.24% leads to  different outcomes in their amortization schedules. With the higher APR, Discover accrues more interest on its balance, meaning a larger portion of each payment goes toward interest rather than the principal. This slows down the repayment process, resulting in higher total interest paid and a longer repayment period.</t>
  </si>
  <si>
    <t>Early repayment  impacts the amortization schedule by reducing the principal balance quicker, which decreases the amount of interest accrued over time. Since interest is calculated based on the remaining balance, reducing the principal early leads to lower total interest costs.  Early payments also shorten the repayment period, as the debt is paid off faster. This is particularly beneficial for high-APR credit cards, where interest can accumulate very quickly.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</si>
</sst>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8" formatCode="&quot;$&quot;#,##0.00_);[Red]\(&quot;$&quot;#,##0.00\)"/>
    <numFmt numFmtId="44" formatCode="_(&quot;$&quot;* #,##0.00_);_(&quot;$&quot;* \(#,##0.00\);_(&quot;$&quot;* &quot;-&quot;??_);_(@_)"/>
    <numFmt numFmtId="43" formatCode="_(* #,##0.00_);_(* \(#,##0.00\);_(* &quot;-&quot;??_);_(@_)"/>
    <numFmt numFmtId="164" formatCode="0.000%"/>
    <numFmt numFmtId="165" formatCode="_(&quot;$&quot;* #,##0.000_);_(&quot;$&quot;* \(#,##0.000\);_(&quot;$&quot;* &quot;-&quot;???_);_(@_)"/>
    <numFmt numFmtId="166" formatCode="_(&quot;$&quot;* #,##0.00_);_(&quot;$&quot;* \(#,##0.00\);_(&quot;$&quot;* &quot;-&quot;???_);_(@_)"/>
    <numFmt numFmtId="167" formatCode="0.##"/>
    <numFmt numFmtId="168" formatCode="#.##"/>
    <numFmt numFmtId="169" formatCode="#.#0"/>
    <numFmt numFmtId="170" formatCode="##.##"/>
    <numFmt numFmtId="171" formatCode="#0.##"/>
    <numFmt numFmtId="172" formatCode="_(* #,##0.000_);_(* \(#,##0.000\);_(* &quot;-&quot;??_);_(@_)"/>
  </numFmts>
  <fonts count="16" x14ac:knownFonts="1">
    <font>
      <sz val="12"/>
      <color theme="1"/>
      <name val="Aptos Narrow"/>
      <family val="2"/>
      <scheme val="minor"/>
    </font>
    <font>
      <sz val="12"/>
      <color theme="1"/>
      <name val="Aptos Narrow"/>
      <family val="2"/>
      <scheme val="minor"/>
    </font>
    <font>
      <sz val="11"/>
      <color rgb="FF123726"/>
      <name val="Helvetica"/>
      <family val="2"/>
    </font>
    <font>
      <b/>
      <sz val="12"/>
      <color theme="1"/>
      <name val="Aptos Narrow"/>
      <scheme val="minor"/>
    </font>
    <font>
      <b/>
      <sz val="11"/>
      <color rgb="FF123726"/>
      <name val="Helvetica"/>
      <family val="2"/>
    </font>
    <font>
      <b/>
      <sz val="10"/>
      <color theme="1"/>
      <name val="Arial"/>
      <family val="2"/>
    </font>
    <font>
      <sz val="10"/>
      <color rgb="FF646464"/>
      <name val="Arial"/>
      <family val="2"/>
    </font>
    <font>
      <sz val="20"/>
      <color rgb="FF040C28"/>
      <name val="Arial"/>
      <family val="2"/>
    </font>
    <font>
      <sz val="12"/>
      <color rgb="FF1B2A6C"/>
      <name val="Aptos Display"/>
      <scheme val="major"/>
    </font>
    <font>
      <sz val="12"/>
      <color theme="1"/>
      <name val="Aptos Narrow"/>
      <scheme val="minor"/>
    </font>
    <font>
      <sz val="10"/>
      <color rgb="FF123726"/>
      <name val="Courier New"/>
      <family val="1"/>
    </font>
    <font>
      <sz val="10"/>
      <name val="Arial"/>
      <family val="2"/>
    </font>
    <font>
      <sz val="10"/>
      <color rgb="FF000000"/>
      <name val="Arial"/>
      <family val="2"/>
    </font>
    <font>
      <b/>
      <sz val="14"/>
      <color theme="1"/>
      <name val="Aptos Narrow"/>
      <scheme val="minor"/>
    </font>
    <font>
      <sz val="10"/>
      <color rgb="FF123726"/>
      <name val="Helvetica"/>
      <family val="2"/>
    </font>
    <font>
      <b/>
      <sz val="10"/>
      <color rgb="FF000000"/>
      <name val="Helvetica Neue"/>
      <family val="2"/>
    </font>
  </fonts>
  <fills count="6">
    <fill>
      <patternFill patternType="none"/>
    </fill>
    <fill>
      <patternFill patternType="gray125"/>
    </fill>
    <fill>
      <patternFill patternType="solid">
        <fgColor rgb="FFF0F0F0"/>
        <bgColor indexed="64"/>
      </patternFill>
    </fill>
    <fill>
      <patternFill patternType="solid">
        <fgColor rgb="FFFFFF00"/>
        <bgColor indexed="64"/>
      </patternFill>
    </fill>
    <fill>
      <patternFill patternType="solid">
        <fgColor rgb="FF92D050"/>
        <bgColor indexed="64"/>
      </patternFill>
    </fill>
    <fill>
      <patternFill patternType="solid">
        <fgColor rgb="FFFFF19D"/>
        <bgColor indexed="64"/>
      </patternFill>
    </fill>
  </fills>
  <borders count="2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right/>
      <top/>
      <bottom style="medium">
        <color indexed="64"/>
      </bottom>
      <diagonal/>
    </border>
    <border>
      <left style="thin">
        <color indexed="64"/>
      </left>
      <right/>
      <top/>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top style="thin">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21">
    <xf numFmtId="0" fontId="0" fillId="0" borderId="0" xfId="0"/>
    <xf numFmtId="0" fontId="2" fillId="0" borderId="0" xfId="0" applyFont="1"/>
    <xf numFmtId="0" fontId="3" fillId="0" borderId="0" xfId="0" applyFont="1"/>
    <xf numFmtId="0" fontId="4" fillId="0" borderId="0" xfId="0" applyFont="1" applyAlignment="1">
      <alignment horizontal="center"/>
    </xf>
    <xf numFmtId="0" fontId="0" fillId="0" borderId="0" xfId="0" applyAlignment="1">
      <alignment horizontal="right"/>
    </xf>
    <xf numFmtId="44" fontId="0" fillId="0" borderId="0" xfId="2" applyFont="1" applyAlignment="1">
      <alignment horizontal="right"/>
    </xf>
    <xf numFmtId="14" fontId="0" fillId="0" borderId="0" xfId="0" applyNumberFormat="1" applyAlignment="1">
      <alignment horizontal="right"/>
    </xf>
    <xf numFmtId="44" fontId="0" fillId="0" borderId="0" xfId="0" applyNumberFormat="1" applyAlignment="1">
      <alignment horizontal="right"/>
    </xf>
    <xf numFmtId="44" fontId="0" fillId="0" borderId="0" xfId="0" applyNumberFormat="1"/>
    <xf numFmtId="10" fontId="0" fillId="0" borderId="0" xfId="3" applyNumberFormat="1" applyFont="1" applyAlignment="1">
      <alignment horizontal="right"/>
    </xf>
    <xf numFmtId="164" fontId="0" fillId="0" borderId="0" xfId="3" applyNumberFormat="1" applyFont="1" applyAlignment="1">
      <alignment horizontal="right"/>
    </xf>
    <xf numFmtId="165" fontId="0" fillId="0" borderId="0" xfId="0" applyNumberFormat="1"/>
    <xf numFmtId="0" fontId="0" fillId="0" borderId="4" xfId="0" applyBorder="1"/>
    <xf numFmtId="0" fontId="0" fillId="0" borderId="5" xfId="0" applyBorder="1"/>
    <xf numFmtId="0" fontId="0" fillId="0" borderId="3" xfId="0" applyBorder="1"/>
    <xf numFmtId="0" fontId="0" fillId="0" borderId="6" xfId="0" applyBorder="1"/>
    <xf numFmtId="0" fontId="0" fillId="0" borderId="8" xfId="0" applyBorder="1"/>
    <xf numFmtId="44" fontId="0" fillId="0" borderId="3" xfId="0" applyNumberFormat="1" applyBorder="1"/>
    <xf numFmtId="166" fontId="0" fillId="0" borderId="3" xfId="0" applyNumberFormat="1" applyBorder="1" applyAlignment="1">
      <alignment horizontal="right"/>
    </xf>
    <xf numFmtId="0" fontId="3" fillId="0" borderId="4" xfId="0" applyFont="1" applyBorder="1"/>
    <xf numFmtId="0" fontId="3" fillId="0" borderId="3" xfId="0" applyFont="1" applyBorder="1"/>
    <xf numFmtId="0" fontId="5" fillId="0" borderId="0" xfId="0" applyFont="1"/>
    <xf numFmtId="0" fontId="0" fillId="0" borderId="0" xfId="0" applyAlignment="1">
      <alignment horizontal="left"/>
    </xf>
    <xf numFmtId="0" fontId="0" fillId="2" borderId="0" xfId="0" applyFill="1" applyAlignment="1">
      <alignment horizontal="left"/>
    </xf>
    <xf numFmtId="167" fontId="0" fillId="2" borderId="0" xfId="0" applyNumberFormat="1" applyFill="1" applyAlignment="1">
      <alignment horizontal="right"/>
    </xf>
    <xf numFmtId="168" fontId="0" fillId="2" borderId="0" xfId="0" applyNumberFormat="1" applyFill="1" applyAlignment="1">
      <alignment horizontal="right"/>
    </xf>
    <xf numFmtId="167" fontId="0" fillId="0" borderId="0" xfId="0" applyNumberFormat="1" applyAlignment="1">
      <alignment horizontal="right"/>
    </xf>
    <xf numFmtId="168" fontId="0" fillId="0" borderId="0" xfId="0" applyNumberFormat="1" applyAlignment="1">
      <alignment horizontal="right"/>
    </xf>
    <xf numFmtId="169" fontId="0" fillId="2" borderId="0" xfId="0" applyNumberFormat="1" applyFill="1" applyAlignment="1">
      <alignment horizontal="right"/>
    </xf>
    <xf numFmtId="170" fontId="0" fillId="0" borderId="0" xfId="0" applyNumberFormat="1" applyAlignment="1">
      <alignment horizontal="right"/>
    </xf>
    <xf numFmtId="170" fontId="0" fillId="2" borderId="0" xfId="0" applyNumberFormat="1" applyFill="1" applyAlignment="1">
      <alignment horizontal="right"/>
    </xf>
    <xf numFmtId="171" fontId="0" fillId="0" borderId="0" xfId="0" applyNumberFormat="1" applyAlignment="1">
      <alignment horizontal="right"/>
    </xf>
    <xf numFmtId="171" fontId="0" fillId="2" borderId="0" xfId="0" applyNumberFormat="1" applyFill="1" applyAlignment="1">
      <alignment horizontal="right"/>
    </xf>
    <xf numFmtId="0" fontId="6" fillId="0" borderId="0" xfId="0" applyFont="1" applyAlignment="1">
      <alignment horizontal="left"/>
    </xf>
    <xf numFmtId="0" fontId="3" fillId="0" borderId="0" xfId="0" applyFont="1" applyAlignment="1">
      <alignment horizontal="left"/>
    </xf>
    <xf numFmtId="10" fontId="0" fillId="2" borderId="0" xfId="3" applyNumberFormat="1" applyFont="1" applyFill="1" applyAlignment="1">
      <alignment horizontal="right"/>
    </xf>
    <xf numFmtId="10" fontId="0" fillId="0" borderId="0" xfId="3" applyNumberFormat="1" applyFont="1"/>
    <xf numFmtId="10" fontId="0" fillId="0" borderId="0" xfId="0" applyNumberFormat="1"/>
    <xf numFmtId="164" fontId="0" fillId="0" borderId="0" xfId="0" applyNumberFormat="1"/>
    <xf numFmtId="0" fontId="3" fillId="3" borderId="0" xfId="0" applyFont="1" applyFill="1"/>
    <xf numFmtId="44" fontId="3" fillId="3" borderId="0" xfId="0" applyNumberFormat="1" applyFont="1" applyFill="1"/>
    <xf numFmtId="0" fontId="7" fillId="0" borderId="0" xfId="0" applyFont="1"/>
    <xf numFmtId="0" fontId="0" fillId="0" borderId="9" xfId="0" applyBorder="1"/>
    <xf numFmtId="0" fontId="0" fillId="0" borderId="10" xfId="0" applyBorder="1"/>
    <xf numFmtId="43" fontId="9" fillId="3" borderId="9" xfId="1" applyFont="1" applyFill="1" applyBorder="1"/>
    <xf numFmtId="43" fontId="3" fillId="4" borderId="9" xfId="0" applyNumberFormat="1" applyFont="1" applyFill="1" applyBorder="1"/>
    <xf numFmtId="43" fontId="3" fillId="4" borderId="7" xfId="1" applyFont="1" applyFill="1" applyBorder="1"/>
    <xf numFmtId="44" fontId="0" fillId="0" borderId="6" xfId="0" applyNumberFormat="1" applyBorder="1"/>
    <xf numFmtId="43" fontId="9" fillId="3" borderId="6" xfId="0" applyNumberFormat="1" applyFont="1" applyFill="1" applyBorder="1"/>
    <xf numFmtId="0" fontId="0" fillId="0" borderId="7" xfId="0" applyBorder="1"/>
    <xf numFmtId="165" fontId="0" fillId="0" borderId="3" xfId="0" applyNumberFormat="1" applyBorder="1"/>
    <xf numFmtId="165" fontId="0" fillId="0" borderId="8" xfId="0" applyNumberFormat="1" applyBorder="1"/>
    <xf numFmtId="44" fontId="0" fillId="0" borderId="8" xfId="0" applyNumberFormat="1" applyBorder="1"/>
    <xf numFmtId="44" fontId="0" fillId="0" borderId="4" xfId="0" applyNumberFormat="1" applyBorder="1"/>
    <xf numFmtId="0" fontId="9" fillId="3" borderId="9" xfId="0" applyFont="1" applyFill="1" applyBorder="1" applyAlignment="1">
      <alignment wrapText="1"/>
    </xf>
    <xf numFmtId="0" fontId="3" fillId="4" borderId="7" xfId="0" applyFont="1" applyFill="1" applyBorder="1" applyAlignment="1">
      <alignment wrapText="1"/>
    </xf>
    <xf numFmtId="0" fontId="9" fillId="3" borderId="6" xfId="0" applyFont="1" applyFill="1" applyBorder="1" applyAlignment="1">
      <alignment wrapText="1"/>
    </xf>
    <xf numFmtId="0" fontId="3" fillId="4" borderId="9" xfId="0" applyFont="1" applyFill="1" applyBorder="1" applyAlignment="1">
      <alignment wrapText="1"/>
    </xf>
    <xf numFmtId="0" fontId="0" fillId="0" borderId="3" xfId="0" applyBorder="1" applyAlignment="1">
      <alignment horizontal="center"/>
    </xf>
    <xf numFmtId="44" fontId="0" fillId="0" borderId="3" xfId="0" applyNumberFormat="1" applyBorder="1" applyAlignment="1">
      <alignment horizontal="center"/>
    </xf>
    <xf numFmtId="172" fontId="0" fillId="0" borderId="3" xfId="0" applyNumberFormat="1" applyBorder="1" applyAlignment="1">
      <alignment horizontal="center"/>
    </xf>
    <xf numFmtId="43" fontId="0" fillId="0" borderId="3" xfId="0" applyNumberFormat="1" applyBorder="1" applyAlignment="1">
      <alignment horizontal="center"/>
    </xf>
    <xf numFmtId="9" fontId="0" fillId="0" borderId="3" xfId="3" applyFont="1" applyBorder="1" applyAlignment="1">
      <alignment horizontal="center"/>
    </xf>
    <xf numFmtId="44" fontId="0" fillId="0" borderId="3" xfId="2" applyFont="1" applyBorder="1" applyAlignment="1">
      <alignment horizontal="center"/>
    </xf>
    <xf numFmtId="0" fontId="0" fillId="0" borderId="0" xfId="0" applyAlignment="1">
      <alignment horizontal="left" wrapText="1"/>
    </xf>
    <xf numFmtId="0" fontId="3" fillId="4" borderId="0" xfId="0" applyFont="1" applyFill="1"/>
    <xf numFmtId="43" fontId="3" fillId="4" borderId="0" xfId="0" applyNumberFormat="1" applyFont="1" applyFill="1"/>
    <xf numFmtId="0" fontId="3" fillId="3" borderId="7" xfId="0" applyFont="1" applyFill="1" applyBorder="1"/>
    <xf numFmtId="43" fontId="3" fillId="3" borderId="7" xfId="1" applyFont="1" applyFill="1" applyBorder="1"/>
    <xf numFmtId="0" fontId="3" fillId="0" borderId="0" xfId="0" applyFont="1" applyAlignment="1">
      <alignment horizontal="center"/>
    </xf>
    <xf numFmtId="10" fontId="0" fillId="0" borderId="0" xfId="0" applyNumberFormat="1" applyAlignment="1">
      <alignment horizontal="center"/>
    </xf>
    <xf numFmtId="164" fontId="0" fillId="0" borderId="0" xfId="0" applyNumberFormat="1" applyAlignment="1">
      <alignment horizontal="center"/>
    </xf>
    <xf numFmtId="44" fontId="0" fillId="0" borderId="0" xfId="0" applyNumberFormat="1" applyAlignment="1">
      <alignment horizontal="center"/>
    </xf>
    <xf numFmtId="0" fontId="10" fillId="0" borderId="0" xfId="0" applyFont="1"/>
    <xf numFmtId="0" fontId="0" fillId="0" borderId="11" xfId="0" applyBorder="1"/>
    <xf numFmtId="0" fontId="0" fillId="0" borderId="0" xfId="0" applyAlignment="1">
      <alignment horizontal="center"/>
    </xf>
    <xf numFmtId="14" fontId="11" fillId="0" borderId="0" xfId="0" applyNumberFormat="1" applyFont="1" applyAlignment="1">
      <alignment horizontal="center"/>
    </xf>
    <xf numFmtId="10" fontId="12" fillId="0" borderId="0" xfId="0" applyNumberFormat="1" applyFont="1" applyAlignment="1">
      <alignment horizontal="center"/>
    </xf>
    <xf numFmtId="10" fontId="11" fillId="0" borderId="0" xfId="0" applyNumberFormat="1" applyFont="1" applyAlignment="1">
      <alignment horizontal="center"/>
    </xf>
    <xf numFmtId="0" fontId="3" fillId="5" borderId="0" xfId="0" applyFont="1" applyFill="1" applyAlignment="1">
      <alignment horizontal="center"/>
    </xf>
    <xf numFmtId="10" fontId="0" fillId="5" borderId="0" xfId="3" applyNumberFormat="1" applyFont="1" applyFill="1" applyAlignment="1">
      <alignment horizontal="center"/>
    </xf>
    <xf numFmtId="164" fontId="3" fillId="5" borderId="0" xfId="3" applyNumberFormat="1" applyFont="1" applyFill="1"/>
    <xf numFmtId="0" fontId="0" fillId="0" borderId="13" xfId="0" applyBorder="1"/>
    <xf numFmtId="0" fontId="3" fillId="5" borderId="13" xfId="0" applyFont="1" applyFill="1" applyBorder="1"/>
    <xf numFmtId="0" fontId="0" fillId="0" borderId="14" xfId="0" applyBorder="1"/>
    <xf numFmtId="0" fontId="3" fillId="0" borderId="15" xfId="0" applyFont="1" applyBorder="1"/>
    <xf numFmtId="0" fontId="3" fillId="0" borderId="16" xfId="0" applyFont="1" applyBorder="1"/>
    <xf numFmtId="0" fontId="0" fillId="0" borderId="17" xfId="0" applyBorder="1"/>
    <xf numFmtId="0" fontId="0" fillId="0" borderId="18" xfId="0" applyBorder="1"/>
    <xf numFmtId="0" fontId="0" fillId="0" borderId="19" xfId="0" applyBorder="1"/>
    <xf numFmtId="10" fontId="0" fillId="0" borderId="19" xfId="0" applyNumberFormat="1" applyBorder="1"/>
    <xf numFmtId="0" fontId="3" fillId="5" borderId="18" xfId="0" applyFont="1" applyFill="1" applyBorder="1"/>
    <xf numFmtId="164" fontId="3" fillId="5" borderId="0" xfId="0" applyNumberFormat="1" applyFont="1" applyFill="1"/>
    <xf numFmtId="164" fontId="3" fillId="5" borderId="19" xfId="0" applyNumberFormat="1" applyFont="1" applyFill="1" applyBorder="1"/>
    <xf numFmtId="0" fontId="3" fillId="5" borderId="20" xfId="0" applyFont="1" applyFill="1" applyBorder="1"/>
    <xf numFmtId="164" fontId="3" fillId="5" borderId="12" xfId="0" applyNumberFormat="1" applyFont="1" applyFill="1" applyBorder="1"/>
    <xf numFmtId="0" fontId="3" fillId="5" borderId="21" xfId="0" applyFont="1" applyFill="1" applyBorder="1"/>
    <xf numFmtId="164" fontId="3" fillId="5" borderId="22" xfId="0" applyNumberFormat="1" applyFont="1" applyFill="1" applyBorder="1"/>
    <xf numFmtId="0" fontId="0" fillId="0" borderId="23" xfId="0" applyBorder="1"/>
    <xf numFmtId="0" fontId="14" fillId="0" borderId="0" xfId="0" applyFont="1"/>
    <xf numFmtId="0" fontId="15" fillId="0" borderId="0" xfId="0" applyFont="1" applyAlignment="1">
      <alignment horizontal="center"/>
    </xf>
    <xf numFmtId="44" fontId="0" fillId="0" borderId="0" xfId="2" applyFont="1" applyAlignment="1">
      <alignment horizontal="center"/>
    </xf>
    <xf numFmtId="6" fontId="0" fillId="0" borderId="0" xfId="0" applyNumberFormat="1"/>
    <xf numFmtId="8" fontId="0" fillId="0" borderId="0" xfId="0" applyNumberFormat="1"/>
    <xf numFmtId="6" fontId="0" fillId="0" borderId="0" xfId="0" applyNumberFormat="1" applyAlignment="1">
      <alignment horizontal="center"/>
    </xf>
    <xf numFmtId="8" fontId="0" fillId="0" borderId="0" xfId="0" applyNumberFormat="1" applyAlignment="1">
      <alignment horizontal="center"/>
    </xf>
    <xf numFmtId="0" fontId="0" fillId="0" borderId="0" xfId="0" applyAlignment="1">
      <alignment wrapText="1"/>
    </xf>
    <xf numFmtId="164" fontId="8" fillId="0" borderId="0" xfId="0" applyNumberFormat="1" applyFont="1"/>
    <xf numFmtId="0" fontId="4" fillId="0" borderId="1" xfId="0" applyFont="1" applyBorder="1" applyAlignment="1">
      <alignment horizontal="center"/>
    </xf>
    <xf numFmtId="0" fontId="4" fillId="0" borderId="2" xfId="0" applyFont="1" applyBorder="1" applyAlignment="1">
      <alignment horizontal="center"/>
    </xf>
    <xf numFmtId="0" fontId="0" fillId="0" borderId="0" xfId="0" applyAlignment="1">
      <alignment horizontal="left" wrapText="1"/>
    </xf>
    <xf numFmtId="0" fontId="3" fillId="0" borderId="12" xfId="0" applyFont="1" applyBorder="1" applyAlignment="1">
      <alignment horizontal="center"/>
    </xf>
    <xf numFmtId="0" fontId="0" fillId="0" borderId="27" xfId="0" applyBorder="1" applyAlignment="1">
      <alignment horizontal="left" wrapText="1"/>
    </xf>
    <xf numFmtId="0" fontId="3" fillId="0" borderId="24" xfId="0" applyFont="1" applyBorder="1" applyAlignment="1">
      <alignment horizontal="center"/>
    </xf>
    <xf numFmtId="0" fontId="3" fillId="0" borderId="25" xfId="0" applyFont="1" applyBorder="1" applyAlignment="1">
      <alignment horizontal="center"/>
    </xf>
    <xf numFmtId="0" fontId="3" fillId="0" borderId="8" xfId="0" applyFont="1" applyBorder="1" applyAlignment="1">
      <alignment horizontal="center"/>
    </xf>
    <xf numFmtId="0" fontId="3" fillId="0" borderId="1" xfId="0" applyFont="1" applyBorder="1" applyAlignment="1">
      <alignment horizontal="center"/>
    </xf>
    <xf numFmtId="0" fontId="3" fillId="0" borderId="26" xfId="0" applyFont="1" applyBorder="1" applyAlignment="1">
      <alignment horizontal="center"/>
    </xf>
    <xf numFmtId="0" fontId="3" fillId="0" borderId="2" xfId="0" applyFont="1" applyBorder="1" applyAlignment="1">
      <alignment horizontal="center"/>
    </xf>
    <xf numFmtId="0" fontId="13" fillId="0" borderId="0" xfId="0" applyFont="1" applyAlignment="1">
      <alignment horizontal="left"/>
    </xf>
    <xf numFmtId="0" fontId="3" fillId="0" borderId="0" xfId="0" applyFont="1" applyAlignment="1">
      <alignment horizontal="left"/>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mruColors>
      <color rgb="FFFFF1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0"/>
          <c:tx>
            <c:strRef>
              <c:f>'Problem #1'!$G$63</c:f>
              <c:strCache>
                <c:ptCount val="1"/>
                <c:pt idx="0">
                  <c:v>Yield to Maturity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'Problem #1'!$F$64:$F$112</c:f>
              <c:numCache>
                <c:formatCode>0.##</c:formatCode>
                <c:ptCount val="49"/>
                <c:pt idx="0">
                  <c:v>0.15</c:v>
                </c:pt>
                <c:pt idx="1">
                  <c:v>0.22</c:v>
                </c:pt>
                <c:pt idx="2">
                  <c:v>0.47</c:v>
                </c:pt>
                <c:pt idx="3">
                  <c:v>0.47</c:v>
                </c:pt>
                <c:pt idx="4">
                  <c:v>0.75</c:v>
                </c:pt>
                <c:pt idx="5" formatCode="#.##">
                  <c:v>1.22</c:v>
                </c:pt>
                <c:pt idx="6" formatCode="#.##">
                  <c:v>1.26</c:v>
                </c:pt>
                <c:pt idx="7" formatCode="#.##">
                  <c:v>1.46</c:v>
                </c:pt>
                <c:pt idx="8" formatCode="#.#0">
                  <c:v>1.7</c:v>
                </c:pt>
                <c:pt idx="9" formatCode="#.##">
                  <c:v>1.81</c:v>
                </c:pt>
                <c:pt idx="10" formatCode="#.##">
                  <c:v>2.2200000000000002</c:v>
                </c:pt>
                <c:pt idx="11" formatCode="#.##">
                  <c:v>2.4700000000000002</c:v>
                </c:pt>
                <c:pt idx="12" formatCode="#.##">
                  <c:v>2.58</c:v>
                </c:pt>
                <c:pt idx="13" formatCode="#.##">
                  <c:v>2.81</c:v>
                </c:pt>
                <c:pt idx="14" formatCode="#.##">
                  <c:v>2.98</c:v>
                </c:pt>
                <c:pt idx="15" formatCode="#.##">
                  <c:v>3.22</c:v>
                </c:pt>
                <c:pt idx="16" formatCode="#.##">
                  <c:v>3.47</c:v>
                </c:pt>
                <c:pt idx="17" formatCode="#.##">
                  <c:v>3.71</c:v>
                </c:pt>
                <c:pt idx="18" formatCode="#.##">
                  <c:v>4.72</c:v>
                </c:pt>
                <c:pt idx="19" formatCode="#.##">
                  <c:v>4.8099999999999996</c:v>
                </c:pt>
                <c:pt idx="20" formatCode="#.##">
                  <c:v>5.47</c:v>
                </c:pt>
                <c:pt idx="21" formatCode="#.##">
                  <c:v>5.47</c:v>
                </c:pt>
                <c:pt idx="22" formatCode="#.##">
                  <c:v>5.75</c:v>
                </c:pt>
                <c:pt idx="23" formatCode="#.##">
                  <c:v>6.22</c:v>
                </c:pt>
                <c:pt idx="24" formatCode="#.##">
                  <c:v>6.71</c:v>
                </c:pt>
                <c:pt idx="25" formatCode="#.##">
                  <c:v>7.72</c:v>
                </c:pt>
                <c:pt idx="26" formatCode="#.##">
                  <c:v>8.4700000000000006</c:v>
                </c:pt>
                <c:pt idx="27" formatCode="##.##">
                  <c:v>11.26</c:v>
                </c:pt>
                <c:pt idx="28" formatCode="##.##">
                  <c:v>16.23</c:v>
                </c:pt>
                <c:pt idx="29" formatCode="##.##">
                  <c:v>18.46</c:v>
                </c:pt>
                <c:pt idx="30" formatCode="##.##">
                  <c:v>19.47</c:v>
                </c:pt>
                <c:pt idx="31" formatCode="#0.##">
                  <c:v>20.23</c:v>
                </c:pt>
                <c:pt idx="32" formatCode="#0.##">
                  <c:v>20.49</c:v>
                </c:pt>
                <c:pt idx="33" formatCode="##.##">
                  <c:v>21.27</c:v>
                </c:pt>
                <c:pt idx="34" formatCode="##.##">
                  <c:v>21.72</c:v>
                </c:pt>
                <c:pt idx="35" formatCode="##.##">
                  <c:v>22.23</c:v>
                </c:pt>
                <c:pt idx="36" formatCode="##.##">
                  <c:v>22.82</c:v>
                </c:pt>
                <c:pt idx="37" formatCode="##.##">
                  <c:v>22.99</c:v>
                </c:pt>
                <c:pt idx="38" formatCode="##.##">
                  <c:v>24.82</c:v>
                </c:pt>
                <c:pt idx="39" formatCode="##.##">
                  <c:v>25.48</c:v>
                </c:pt>
                <c:pt idx="40" formatCode="##.##">
                  <c:v>25.76</c:v>
                </c:pt>
                <c:pt idx="41" formatCode="##.##">
                  <c:v>26.23</c:v>
                </c:pt>
                <c:pt idx="42" formatCode="##.##">
                  <c:v>26.72</c:v>
                </c:pt>
                <c:pt idx="43" formatCode="##.##">
                  <c:v>27.73</c:v>
                </c:pt>
                <c:pt idx="44" formatCode="##.##">
                  <c:v>28.48</c:v>
                </c:pt>
                <c:pt idx="45" formatCode="##.##">
                  <c:v>35.770000000000003</c:v>
                </c:pt>
                <c:pt idx="46" formatCode="##.##">
                  <c:v>36.24</c:v>
                </c:pt>
                <c:pt idx="47" formatCode="##.##">
                  <c:v>36.729999999999997</c:v>
                </c:pt>
                <c:pt idx="48" formatCode="##.##">
                  <c:v>37.74</c:v>
                </c:pt>
              </c:numCache>
            </c:numRef>
          </c:xVal>
          <c:yVal>
            <c:numRef>
              <c:f>'Problem #1'!$G$64:$G$112</c:f>
              <c:numCache>
                <c:formatCode>0.00%</c:formatCode>
                <c:ptCount val="49"/>
                <c:pt idx="0">
                  <c:v>4.6100000000000002E-2</c:v>
                </c:pt>
                <c:pt idx="1">
                  <c:v>4.7800000000000002E-2</c:v>
                </c:pt>
                <c:pt idx="2">
                  <c:v>4.5100000000000001E-2</c:v>
                </c:pt>
                <c:pt idx="3">
                  <c:v>4.4999999999999998E-2</c:v>
                </c:pt>
                <c:pt idx="4">
                  <c:v>4.53E-2</c:v>
                </c:pt>
                <c:pt idx="5">
                  <c:v>4.48E-2</c:v>
                </c:pt>
                <c:pt idx="6">
                  <c:v>4.48E-2</c:v>
                </c:pt>
                <c:pt idx="7">
                  <c:v>4.7300000000000002E-2</c:v>
                </c:pt>
                <c:pt idx="8">
                  <c:v>4.4900000000000002E-2</c:v>
                </c:pt>
                <c:pt idx="9">
                  <c:v>4.4900000000000002E-2</c:v>
                </c:pt>
                <c:pt idx="10">
                  <c:v>4.4499999999999998E-2</c:v>
                </c:pt>
                <c:pt idx="11">
                  <c:v>4.4400000000000002E-2</c:v>
                </c:pt>
                <c:pt idx="12">
                  <c:v>4.4200000000000003E-2</c:v>
                </c:pt>
                <c:pt idx="13">
                  <c:v>4.4200000000000003E-2</c:v>
                </c:pt>
                <c:pt idx="14">
                  <c:v>4.3700000000000003E-2</c:v>
                </c:pt>
                <c:pt idx="15">
                  <c:v>4.4600000000000001E-2</c:v>
                </c:pt>
                <c:pt idx="16">
                  <c:v>4.41E-2</c:v>
                </c:pt>
                <c:pt idx="17">
                  <c:v>4.4600000000000001E-2</c:v>
                </c:pt>
                <c:pt idx="18">
                  <c:v>4.4699999999999997E-2</c:v>
                </c:pt>
                <c:pt idx="19">
                  <c:v>4.5100000000000001E-2</c:v>
                </c:pt>
                <c:pt idx="20">
                  <c:v>4.3200000000000002E-2</c:v>
                </c:pt>
                <c:pt idx="21">
                  <c:v>4.5699999999999998E-2</c:v>
                </c:pt>
                <c:pt idx="22">
                  <c:v>4.4699999999999997E-2</c:v>
                </c:pt>
                <c:pt idx="23">
                  <c:v>4.5600000000000002E-2</c:v>
                </c:pt>
                <c:pt idx="24">
                  <c:v>4.58E-2</c:v>
                </c:pt>
                <c:pt idx="25">
                  <c:v>4.5499999999999999E-2</c:v>
                </c:pt>
                <c:pt idx="26">
                  <c:v>4.5199999999999997E-2</c:v>
                </c:pt>
                <c:pt idx="27">
                  <c:v>4.6699999999999998E-2</c:v>
                </c:pt>
                <c:pt idx="28">
                  <c:v>5.0799999999999998E-2</c:v>
                </c:pt>
                <c:pt idx="29">
                  <c:v>5.1700000000000003E-2</c:v>
                </c:pt>
                <c:pt idx="30">
                  <c:v>5.0299999999999997E-2</c:v>
                </c:pt>
                <c:pt idx="31">
                  <c:v>5.1900000000000002E-2</c:v>
                </c:pt>
                <c:pt idx="32">
                  <c:v>5.1999999999999998E-2</c:v>
                </c:pt>
                <c:pt idx="33">
                  <c:v>5.1999999999999998E-2</c:v>
                </c:pt>
                <c:pt idx="34">
                  <c:v>5.2299999999999999E-2</c:v>
                </c:pt>
                <c:pt idx="35">
                  <c:v>5.1799999999999999E-2</c:v>
                </c:pt>
                <c:pt idx="36">
                  <c:v>5.2699999999999997E-2</c:v>
                </c:pt>
                <c:pt idx="37">
                  <c:v>5.2499999999999998E-2</c:v>
                </c:pt>
                <c:pt idx="38">
                  <c:v>5.2299999999999999E-2</c:v>
                </c:pt>
                <c:pt idx="39">
                  <c:v>5.2299999999999999E-2</c:v>
                </c:pt>
                <c:pt idx="40">
                  <c:v>5.21E-2</c:v>
                </c:pt>
                <c:pt idx="41">
                  <c:v>5.2499999999999998E-2</c:v>
                </c:pt>
                <c:pt idx="42">
                  <c:v>5.2499999999999998E-2</c:v>
                </c:pt>
                <c:pt idx="43">
                  <c:v>5.2400000000000002E-2</c:v>
                </c:pt>
                <c:pt idx="44">
                  <c:v>5.0599999999999999E-2</c:v>
                </c:pt>
                <c:pt idx="45">
                  <c:v>4.9599999999999998E-2</c:v>
                </c:pt>
                <c:pt idx="46">
                  <c:v>5.2200000000000003E-2</c:v>
                </c:pt>
                <c:pt idx="47">
                  <c:v>5.1900000000000002E-2</c:v>
                </c:pt>
                <c:pt idx="48">
                  <c:v>5.2499999999999998E-2</c:v>
                </c:pt>
              </c:numCache>
            </c:numRef>
          </c:yVal>
          <c:smooth val="1"/>
          <c:extLst>
            <c:ext xmlns:c16="http://schemas.microsoft.com/office/drawing/2014/chart" uri="{C3380CC4-5D6E-409C-BE32-E72D297353CC}">
              <c16:uniqueId val="{00000001-A56A-CE47-AF71-1E3E399F40CA}"/>
            </c:ext>
          </c:extLst>
        </c:ser>
        <c:dLbls>
          <c:showLegendKey val="0"/>
          <c:showVal val="0"/>
          <c:showCatName val="0"/>
          <c:showSerName val="0"/>
          <c:showPercent val="0"/>
          <c:showBubbleSize val="0"/>
        </c:dLbls>
        <c:axId val="1401531600"/>
        <c:axId val="1401533312"/>
      </c:scatterChart>
      <c:valAx>
        <c:axId val="140153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33312"/>
        <c:crosses val="autoZero"/>
        <c:crossBetween val="midCat"/>
      </c:valAx>
      <c:valAx>
        <c:axId val="1401533312"/>
        <c:scaling>
          <c:orientation val="minMax"/>
          <c:min val="0.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Yield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316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Yield Spread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'Problem #1'!$B$117:$B$155</c:f>
              <c:numCache>
                <c:formatCode>General</c:formatCode>
                <c:ptCount val="39"/>
                <c:pt idx="0">
                  <c:v>0.5</c:v>
                </c:pt>
                <c:pt idx="1">
                  <c:v>1</c:v>
                </c:pt>
                <c:pt idx="2">
                  <c:v>1.5</c:v>
                </c:pt>
                <c:pt idx="3">
                  <c:v>2</c:v>
                </c:pt>
                <c:pt idx="4">
                  <c:v>2.5</c:v>
                </c:pt>
                <c:pt idx="5">
                  <c:v>3</c:v>
                </c:pt>
                <c:pt idx="6">
                  <c:v>3.5</c:v>
                </c:pt>
                <c:pt idx="7">
                  <c:v>4</c:v>
                </c:pt>
                <c:pt idx="8">
                  <c:v>4.5</c:v>
                </c:pt>
                <c:pt idx="9">
                  <c:v>5</c:v>
                </c:pt>
                <c:pt idx="10">
                  <c:v>5.5</c:v>
                </c:pt>
                <c:pt idx="11">
                  <c:v>6</c:v>
                </c:pt>
                <c:pt idx="12">
                  <c:v>6.5</c:v>
                </c:pt>
                <c:pt idx="13">
                  <c:v>7</c:v>
                </c:pt>
                <c:pt idx="14">
                  <c:v>7.5</c:v>
                </c:pt>
                <c:pt idx="15">
                  <c:v>8</c:v>
                </c:pt>
                <c:pt idx="16">
                  <c:v>8.5</c:v>
                </c:pt>
                <c:pt idx="17">
                  <c:v>9</c:v>
                </c:pt>
                <c:pt idx="18">
                  <c:v>9.5</c:v>
                </c:pt>
                <c:pt idx="19">
                  <c:v>10</c:v>
                </c:pt>
                <c:pt idx="20">
                  <c:v>10.5</c:v>
                </c:pt>
                <c:pt idx="21">
                  <c:v>11</c:v>
                </c:pt>
                <c:pt idx="22">
                  <c:v>11.5</c:v>
                </c:pt>
                <c:pt idx="23">
                  <c:v>12</c:v>
                </c:pt>
                <c:pt idx="24">
                  <c:v>12.5</c:v>
                </c:pt>
                <c:pt idx="25">
                  <c:v>13</c:v>
                </c:pt>
                <c:pt idx="26">
                  <c:v>13.5</c:v>
                </c:pt>
                <c:pt idx="27">
                  <c:v>14</c:v>
                </c:pt>
                <c:pt idx="28">
                  <c:v>14.5</c:v>
                </c:pt>
                <c:pt idx="29">
                  <c:v>15</c:v>
                </c:pt>
                <c:pt idx="30">
                  <c:v>15.5</c:v>
                </c:pt>
                <c:pt idx="31">
                  <c:v>16</c:v>
                </c:pt>
                <c:pt idx="32">
                  <c:v>16.5</c:v>
                </c:pt>
                <c:pt idx="33">
                  <c:v>17</c:v>
                </c:pt>
                <c:pt idx="34">
                  <c:v>17.5</c:v>
                </c:pt>
                <c:pt idx="35">
                  <c:v>18</c:v>
                </c:pt>
                <c:pt idx="36">
                  <c:v>18.5</c:v>
                </c:pt>
                <c:pt idx="37">
                  <c:v>19</c:v>
                </c:pt>
                <c:pt idx="38">
                  <c:v>19.5</c:v>
                </c:pt>
              </c:numCache>
            </c:numRef>
          </c:xVal>
          <c:yVal>
            <c:numRef>
              <c:f>'Problem #1'!$E$117:$E$155</c:f>
              <c:numCache>
                <c:formatCode>0.00%</c:formatCode>
                <c:ptCount val="39"/>
                <c:pt idx="0">
                  <c:v>5.1858749999999371E-4</c:v>
                </c:pt>
                <c:pt idx="1">
                  <c:v>8.7889999999999496E-4</c:v>
                </c:pt>
                <c:pt idx="2">
                  <c:v>1.1565874999999934E-3</c:v>
                </c:pt>
                <c:pt idx="3">
                  <c:v>1.3598999999999972E-3</c:v>
                </c:pt>
                <c:pt idx="4">
                  <c:v>1.4967874999999922E-3</c:v>
                </c:pt>
                <c:pt idx="5">
                  <c:v>1.5748999999999971E-3</c:v>
                </c:pt>
                <c:pt idx="6">
                  <c:v>1.6015874999999943E-3</c:v>
                </c:pt>
                <c:pt idx="7">
                  <c:v>1.5838999999999992E-3</c:v>
                </c:pt>
                <c:pt idx="8">
                  <c:v>1.5285874999999907E-3</c:v>
                </c:pt>
                <c:pt idx="9">
                  <c:v>1.4420999999999878E-3</c:v>
                </c:pt>
                <c:pt idx="10">
                  <c:v>1.3305874999999939E-3</c:v>
                </c:pt>
                <c:pt idx="11">
                  <c:v>1.1998999999999968E-3</c:v>
                </c:pt>
                <c:pt idx="12">
                  <c:v>1.0555874999999895E-3</c:v>
                </c:pt>
                <c:pt idx="13">
                  <c:v>9.0289999999999121E-4</c:v>
                </c:pt>
                <c:pt idx="14">
                  <c:v>7.4678749999999156E-4</c:v>
                </c:pt>
                <c:pt idx="15">
                  <c:v>5.9189999999999243E-4</c:v>
                </c:pt>
                <c:pt idx="16">
                  <c:v>4.4258749999998709E-4</c:v>
                </c:pt>
                <c:pt idx="17">
                  <c:v>3.028999999999879E-4</c:v>
                </c:pt>
                <c:pt idx="18">
                  <c:v>1.7658749999999168E-4</c:v>
                </c:pt>
                <c:pt idx="19">
                  <c:v>6.7099999999986615E-5</c:v>
                </c:pt>
                <c:pt idx="20">
                  <c:v>-2.2412500000006108E-5</c:v>
                </c:pt>
                <c:pt idx="21">
                  <c:v>-8.9100000000015556E-5</c:v>
                </c:pt>
                <c:pt idx="22">
                  <c:v>-1.304125000000031E-4</c:v>
                </c:pt>
                <c:pt idx="23">
                  <c:v>-1.4410000000000811E-4</c:v>
                </c:pt>
                <c:pt idx="24">
                  <c:v>-1.2821250000000922E-4</c:v>
                </c:pt>
                <c:pt idx="25">
                  <c:v>-8.1100000000000616E-5</c:v>
                </c:pt>
                <c:pt idx="26">
                  <c:v>-1.4125000000059229E-6</c:v>
                </c:pt>
                <c:pt idx="27">
                  <c:v>1.1189999999999811E-4</c:v>
                </c:pt>
                <c:pt idx="28">
                  <c:v>2.5958749999999836E-4</c:v>
                </c:pt>
                <c:pt idx="29">
                  <c:v>4.4209999999999389E-4</c:v>
                </c:pt>
                <c:pt idx="30">
                  <c:v>6.5958749999999594E-4</c:v>
                </c:pt>
                <c:pt idx="31">
                  <c:v>9.1190000000000021E-4</c:v>
                </c:pt>
                <c:pt idx="32">
                  <c:v>1.1985874999999938E-3</c:v>
                </c:pt>
                <c:pt idx="33">
                  <c:v>1.5189000000000036E-3</c:v>
                </c:pt>
                <c:pt idx="34">
                  <c:v>1.8717874999999926E-3</c:v>
                </c:pt>
                <c:pt idx="35">
                  <c:v>2.2559000000000051E-3</c:v>
                </c:pt>
                <c:pt idx="36">
                  <c:v>2.6695875000000147E-3</c:v>
                </c:pt>
                <c:pt idx="37">
                  <c:v>3.1109000000000137E-3</c:v>
                </c:pt>
                <c:pt idx="38">
                  <c:v>3.577587499999986E-3</c:v>
                </c:pt>
              </c:numCache>
            </c:numRef>
          </c:yVal>
          <c:smooth val="1"/>
          <c:extLst>
            <c:ext xmlns:c16="http://schemas.microsoft.com/office/drawing/2014/chart" uri="{C3380CC4-5D6E-409C-BE32-E72D297353CC}">
              <c16:uniqueId val="{00000000-0233-7C4D-9124-86E3CCD11779}"/>
            </c:ext>
          </c:extLst>
        </c:ser>
        <c:dLbls>
          <c:showLegendKey val="0"/>
          <c:showVal val="0"/>
          <c:showCatName val="0"/>
          <c:showSerName val="0"/>
          <c:showPercent val="0"/>
          <c:showBubbleSize val="0"/>
        </c:dLbls>
        <c:axId val="1603902688"/>
        <c:axId val="1604140816"/>
      </c:scatterChart>
      <c:valAx>
        <c:axId val="160390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40816"/>
        <c:crosses val="autoZero"/>
        <c:crossBetween val="midCat"/>
      </c:valAx>
      <c:valAx>
        <c:axId val="1604140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Yield</a:t>
                </a:r>
                <a:r>
                  <a:rPr lang="en-US" baseline="0"/>
                  <a:t> Spread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9026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Price-Yield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'Problem #1'!$K$203:$K$223</c:f>
              <c:numCache>
                <c:formatCode>0.000%</c:formatCode>
                <c:ptCount val="21"/>
                <c:pt idx="0">
                  <c:v>-5.1350000000000007E-2</c:v>
                </c:pt>
                <c:pt idx="1">
                  <c:v>-4.1349999999999998E-2</c:v>
                </c:pt>
                <c:pt idx="2">
                  <c:v>-3.1350000000000003E-2</c:v>
                </c:pt>
                <c:pt idx="3">
                  <c:v>-2.1350000000000008E-2</c:v>
                </c:pt>
                <c:pt idx="4">
                  <c:v>-1.1349999999999999E-2</c:v>
                </c:pt>
                <c:pt idx="5">
                  <c:v>-1.350000000000004E-3</c:v>
                </c:pt>
                <c:pt idx="6">
                  <c:v>8.649999999999998E-3</c:v>
                </c:pt>
                <c:pt idx="7">
                  <c:v>1.865E-2</c:v>
                </c:pt>
                <c:pt idx="8">
                  <c:v>2.8649999999999998E-2</c:v>
                </c:pt>
                <c:pt idx="9">
                  <c:v>3.8649999999999997E-2</c:v>
                </c:pt>
                <c:pt idx="10">
                  <c:v>4.8649999999999999E-2</c:v>
                </c:pt>
                <c:pt idx="11">
                  <c:v>5.8650000000000001E-2</c:v>
                </c:pt>
                <c:pt idx="12">
                  <c:v>6.8650000000000003E-2</c:v>
                </c:pt>
                <c:pt idx="13">
                  <c:v>7.8649999999999998E-2</c:v>
                </c:pt>
                <c:pt idx="14">
                  <c:v>8.8650000000000007E-2</c:v>
                </c:pt>
                <c:pt idx="15">
                  <c:v>9.8650000000000002E-2</c:v>
                </c:pt>
                <c:pt idx="16">
                  <c:v>0.10865</c:v>
                </c:pt>
                <c:pt idx="17">
                  <c:v>0.11865000000000001</c:v>
                </c:pt>
                <c:pt idx="18">
                  <c:v>0.12864999999999999</c:v>
                </c:pt>
                <c:pt idx="19">
                  <c:v>0.13865</c:v>
                </c:pt>
                <c:pt idx="20">
                  <c:v>0.14865</c:v>
                </c:pt>
              </c:numCache>
            </c:numRef>
          </c:cat>
          <c:val>
            <c:numRef>
              <c:f>'Problem #1'!$N$203:$N$223</c:f>
              <c:numCache>
                <c:formatCode>_("$"* #,##0.00_);_("$"* \(#,##0.00\);_("$"* "-"??_);_(@_)</c:formatCode>
                <c:ptCount val="21"/>
                <c:pt idx="0">
                  <c:v>4156562308.629097</c:v>
                </c:pt>
                <c:pt idx="1">
                  <c:v>3606129452.7661867</c:v>
                </c:pt>
                <c:pt idx="2">
                  <c:v>3106555846.9032774</c:v>
                </c:pt>
                <c:pt idx="3">
                  <c:v>2657841491.0403681</c:v>
                </c:pt>
                <c:pt idx="4">
                  <c:v>2259986385.1774578</c:v>
                </c:pt>
                <c:pt idx="5">
                  <c:v>1912990529.3145485</c:v>
                </c:pt>
                <c:pt idx="6">
                  <c:v>1616853923.4516387</c:v>
                </c:pt>
                <c:pt idx="7">
                  <c:v>1371576567.5887289</c:v>
                </c:pt>
                <c:pt idx="8">
                  <c:v>1177158461.7258193</c:v>
                </c:pt>
                <c:pt idx="9">
                  <c:v>1033599605.8629097</c:v>
                </c:pt>
                <c:pt idx="10">
                  <c:v>940900000</c:v>
                </c:pt>
                <c:pt idx="11">
                  <c:v>899059644.13709033</c:v>
                </c:pt>
                <c:pt idx="12">
                  <c:v>908078538.27418065</c:v>
                </c:pt>
                <c:pt idx="13">
                  <c:v>967956682.4112711</c:v>
                </c:pt>
                <c:pt idx="14">
                  <c:v>1078694076.5483613</c:v>
                </c:pt>
                <c:pt idx="15">
                  <c:v>1240290720.685452</c:v>
                </c:pt>
                <c:pt idx="16">
                  <c:v>1452746614.8225422</c:v>
                </c:pt>
                <c:pt idx="17">
                  <c:v>1716061758.9596326</c:v>
                </c:pt>
                <c:pt idx="18">
                  <c:v>2030236153.0967228</c:v>
                </c:pt>
                <c:pt idx="19">
                  <c:v>2395269797.2338133</c:v>
                </c:pt>
                <c:pt idx="20">
                  <c:v>2811162691.370904</c:v>
                </c:pt>
              </c:numCache>
            </c:numRef>
          </c:val>
          <c:smooth val="0"/>
          <c:extLst>
            <c:ext xmlns:c16="http://schemas.microsoft.com/office/drawing/2014/chart" uri="{C3380CC4-5D6E-409C-BE32-E72D297353CC}">
              <c16:uniqueId val="{00000000-8C6B-A944-9C38-0EF946D67021}"/>
            </c:ext>
          </c:extLst>
        </c:ser>
        <c:ser>
          <c:idx val="1"/>
          <c:order val="1"/>
          <c:spPr>
            <a:ln w="28575" cap="rnd">
              <a:solidFill>
                <a:schemeClr val="accent2"/>
              </a:solidFill>
              <a:round/>
            </a:ln>
            <a:effectLst/>
          </c:spPr>
          <c:marker>
            <c:symbol val="none"/>
          </c:marker>
          <c:cat>
            <c:numRef>
              <c:f>'Problem #1'!$K$203:$K$223</c:f>
              <c:numCache>
                <c:formatCode>0.000%</c:formatCode>
                <c:ptCount val="21"/>
                <c:pt idx="0">
                  <c:v>-5.1350000000000007E-2</c:v>
                </c:pt>
                <c:pt idx="1">
                  <c:v>-4.1349999999999998E-2</c:v>
                </c:pt>
                <c:pt idx="2">
                  <c:v>-3.1350000000000003E-2</c:v>
                </c:pt>
                <c:pt idx="3">
                  <c:v>-2.1350000000000008E-2</c:v>
                </c:pt>
                <c:pt idx="4">
                  <c:v>-1.1349999999999999E-2</c:v>
                </c:pt>
                <c:pt idx="5">
                  <c:v>-1.350000000000004E-3</c:v>
                </c:pt>
                <c:pt idx="6">
                  <c:v>8.649999999999998E-3</c:v>
                </c:pt>
                <c:pt idx="7">
                  <c:v>1.865E-2</c:v>
                </c:pt>
                <c:pt idx="8">
                  <c:v>2.8649999999999998E-2</c:v>
                </c:pt>
                <c:pt idx="9">
                  <c:v>3.8649999999999997E-2</c:v>
                </c:pt>
                <c:pt idx="10">
                  <c:v>4.8649999999999999E-2</c:v>
                </c:pt>
                <c:pt idx="11">
                  <c:v>5.8650000000000001E-2</c:v>
                </c:pt>
                <c:pt idx="12">
                  <c:v>6.8650000000000003E-2</c:v>
                </c:pt>
                <c:pt idx="13">
                  <c:v>7.8649999999999998E-2</c:v>
                </c:pt>
                <c:pt idx="14">
                  <c:v>8.8650000000000007E-2</c:v>
                </c:pt>
                <c:pt idx="15">
                  <c:v>9.8650000000000002E-2</c:v>
                </c:pt>
                <c:pt idx="16">
                  <c:v>0.10865</c:v>
                </c:pt>
                <c:pt idx="17">
                  <c:v>0.11865000000000001</c:v>
                </c:pt>
                <c:pt idx="18">
                  <c:v>0.12864999999999999</c:v>
                </c:pt>
                <c:pt idx="19">
                  <c:v>0.13865</c:v>
                </c:pt>
                <c:pt idx="20">
                  <c:v>0.14865</c:v>
                </c:pt>
              </c:numCache>
            </c:numRef>
          </c:cat>
          <c:val>
            <c:numRef>
              <c:f>'Problem #1'!$M$203:$M$223</c:f>
              <c:numCache>
                <c:formatCode>_("$"* #,##0.00_);_("$"* \(#,##0.00\);_("$"* "-"??_);_(@_)</c:formatCode>
                <c:ptCount val="21"/>
                <c:pt idx="0">
                  <c:v>1613599808.6290965</c:v>
                </c:pt>
                <c:pt idx="1">
                  <c:v>1546329827.7661867</c:v>
                </c:pt>
                <c:pt idx="2">
                  <c:v>1479059846.9032772</c:v>
                </c:pt>
                <c:pt idx="3">
                  <c:v>1411789866.0403676</c:v>
                </c:pt>
                <c:pt idx="4">
                  <c:v>1344519885.1774578</c:v>
                </c:pt>
                <c:pt idx="5">
                  <c:v>1277249904.3145483</c:v>
                </c:pt>
                <c:pt idx="6">
                  <c:v>1209979923.4516387</c:v>
                </c:pt>
                <c:pt idx="7">
                  <c:v>1142709942.5887289</c:v>
                </c:pt>
                <c:pt idx="8">
                  <c:v>1075439961.7258193</c:v>
                </c:pt>
                <c:pt idx="9">
                  <c:v>1008169980.8629097</c:v>
                </c:pt>
                <c:pt idx="10">
                  <c:v>940900000</c:v>
                </c:pt>
                <c:pt idx="11">
                  <c:v>873630019.13709033</c:v>
                </c:pt>
                <c:pt idx="12">
                  <c:v>806360038.27418065</c:v>
                </c:pt>
                <c:pt idx="13">
                  <c:v>739090057.4112711</c:v>
                </c:pt>
                <c:pt idx="14">
                  <c:v>671820076.54836142</c:v>
                </c:pt>
                <c:pt idx="15">
                  <c:v>604550095.68545175</c:v>
                </c:pt>
                <c:pt idx="16">
                  <c:v>537280114.82254219</c:v>
                </c:pt>
                <c:pt idx="17">
                  <c:v>470010133.9596324</c:v>
                </c:pt>
                <c:pt idx="18">
                  <c:v>402740153.09672284</c:v>
                </c:pt>
                <c:pt idx="19">
                  <c:v>335470172.23381317</c:v>
                </c:pt>
                <c:pt idx="20">
                  <c:v>268200191.37090349</c:v>
                </c:pt>
              </c:numCache>
            </c:numRef>
          </c:val>
          <c:smooth val="0"/>
          <c:extLst>
            <c:ext xmlns:c16="http://schemas.microsoft.com/office/drawing/2014/chart" uri="{C3380CC4-5D6E-409C-BE32-E72D297353CC}">
              <c16:uniqueId val="{00000002-8C6B-A944-9C38-0EF946D67021}"/>
            </c:ext>
          </c:extLst>
        </c:ser>
        <c:ser>
          <c:idx val="2"/>
          <c:order val="2"/>
          <c:spPr>
            <a:ln w="28575" cap="rnd">
              <a:solidFill>
                <a:schemeClr val="accent3"/>
              </a:solidFill>
              <a:round/>
            </a:ln>
            <a:effectLst/>
          </c:spPr>
          <c:marker>
            <c:symbol val="none"/>
          </c:marker>
          <c:cat>
            <c:numRef>
              <c:f>'Problem #1'!$K$203:$K$223</c:f>
              <c:numCache>
                <c:formatCode>0.000%</c:formatCode>
                <c:ptCount val="21"/>
                <c:pt idx="0">
                  <c:v>-5.1350000000000007E-2</c:v>
                </c:pt>
                <c:pt idx="1">
                  <c:v>-4.1349999999999998E-2</c:v>
                </c:pt>
                <c:pt idx="2">
                  <c:v>-3.1350000000000003E-2</c:v>
                </c:pt>
                <c:pt idx="3">
                  <c:v>-2.1350000000000008E-2</c:v>
                </c:pt>
                <c:pt idx="4">
                  <c:v>-1.1349999999999999E-2</c:v>
                </c:pt>
                <c:pt idx="5">
                  <c:v>-1.350000000000004E-3</c:v>
                </c:pt>
                <c:pt idx="6">
                  <c:v>8.649999999999998E-3</c:v>
                </c:pt>
                <c:pt idx="7">
                  <c:v>1.865E-2</c:v>
                </c:pt>
                <c:pt idx="8">
                  <c:v>2.8649999999999998E-2</c:v>
                </c:pt>
                <c:pt idx="9">
                  <c:v>3.8649999999999997E-2</c:v>
                </c:pt>
                <c:pt idx="10">
                  <c:v>4.8649999999999999E-2</c:v>
                </c:pt>
                <c:pt idx="11">
                  <c:v>5.8650000000000001E-2</c:v>
                </c:pt>
                <c:pt idx="12">
                  <c:v>6.8650000000000003E-2</c:v>
                </c:pt>
                <c:pt idx="13">
                  <c:v>7.8649999999999998E-2</c:v>
                </c:pt>
                <c:pt idx="14">
                  <c:v>8.8650000000000007E-2</c:v>
                </c:pt>
                <c:pt idx="15">
                  <c:v>9.8650000000000002E-2</c:v>
                </c:pt>
                <c:pt idx="16">
                  <c:v>0.10865</c:v>
                </c:pt>
                <c:pt idx="17">
                  <c:v>0.11865000000000001</c:v>
                </c:pt>
                <c:pt idx="18">
                  <c:v>0.12864999999999999</c:v>
                </c:pt>
                <c:pt idx="19">
                  <c:v>0.13865</c:v>
                </c:pt>
                <c:pt idx="20">
                  <c:v>0.14865</c:v>
                </c:pt>
              </c:numCache>
            </c:numRef>
          </c:cat>
          <c:val>
            <c:numRef>
              <c:f>'Problem #1'!$C$204:$C$229</c:f>
              <c:numCache>
                <c:formatCode>_("$"* #,##0.00_);_("$"* \(#,##0.00\);_("$"* "-"??_);_(@_)</c:formatCode>
                <c:ptCount val="26"/>
                <c:pt idx="0">
                  <c:v>867751000</c:v>
                </c:pt>
                <c:pt idx="1">
                  <c:v>715628162.06555045</c:v>
                </c:pt>
                <c:pt idx="2">
                  <c:v>598583063.31677639</c:v>
                </c:pt>
                <c:pt idx="3">
                  <c:v>507483102.47242212</c:v>
                </c:pt>
                <c:pt idx="4">
                  <c:v>435755004.283095</c:v>
                </c:pt>
                <c:pt idx="5">
                  <c:v>378629304.09316158</c:v>
                </c:pt>
                <c:pt idx="6">
                  <c:v>332617014.7704339</c:v>
                </c:pt>
                <c:pt idx="7">
                  <c:v>295144729.72612065</c:v>
                </c:pt>
                <c:pt idx="8">
                  <c:v>264298508.12333217</c:v>
                </c:pt>
                <c:pt idx="9">
                  <c:v>238642912.83799827</c:v>
                </c:pt>
                <c:pt idx="10">
                  <c:v>217092290.63917494</c:v>
                </c:pt>
                <c:pt idx="11">
                  <c:v>198818594.63450965</c:v>
                </c:pt>
                <c:pt idx="12">
                  <c:v>183184926.94722411</c:v>
                </c:pt>
                <c:pt idx="13">
                  <c:v>169697298.05831218</c:v>
                </c:pt>
                <c:pt idx="14">
                  <c:v>157969369.49650133</c:v>
                </c:pt>
                <c:pt idx="15">
                  <c:v>147696508.40612257</c:v>
                </c:pt>
                <c:pt idx="16">
                  <c:v>138636563.03719112</c:v>
                </c:pt>
                <c:pt idx="17">
                  <c:v>130595519.90658355</c:v>
                </c:pt>
                <c:pt idx="18">
                  <c:v>123416729.2607864</c:v>
                </c:pt>
                <c:pt idx="19">
                  <c:v>116972755.42870402</c:v>
                </c:pt>
                <c:pt idx="20">
                  <c:v>111159170.37524104</c:v>
                </c:pt>
                <c:pt idx="21">
                  <c:v>105889794.95476215</c:v>
                </c:pt>
                <c:pt idx="22">
                  <c:v>101093025.55865088</c:v>
                </c:pt>
                <c:pt idx="23">
                  <c:v>96708979.669223413</c:v>
                </c:pt>
                <c:pt idx="24">
                  <c:v>92687263.147415429</c:v>
                </c:pt>
                <c:pt idx="25">
                  <c:v>88985212.504700392</c:v>
                </c:pt>
              </c:numCache>
            </c:numRef>
          </c:val>
          <c:smooth val="0"/>
          <c:extLst>
            <c:ext xmlns:c16="http://schemas.microsoft.com/office/drawing/2014/chart" uri="{C3380CC4-5D6E-409C-BE32-E72D297353CC}">
              <c16:uniqueId val="{00000003-8C6B-A944-9C38-0EF946D67021}"/>
            </c:ext>
          </c:extLst>
        </c:ser>
        <c:dLbls>
          <c:showLegendKey val="0"/>
          <c:showVal val="0"/>
          <c:showCatName val="0"/>
          <c:showSerName val="0"/>
          <c:showPercent val="0"/>
          <c:showBubbleSize val="0"/>
        </c:dLbls>
        <c:smooth val="0"/>
        <c:axId val="1539370192"/>
        <c:axId val="1539383424"/>
      </c:lineChart>
      <c:catAx>
        <c:axId val="1539370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Annual</a:t>
                </a:r>
                <a:r>
                  <a:rPr lang="en-US" baseline="0"/>
                  <a:t> Rate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383424"/>
        <c:crosses val="autoZero"/>
        <c:auto val="1"/>
        <c:lblAlgn val="ctr"/>
        <c:lblOffset val="100"/>
        <c:noMultiLvlLbl val="0"/>
      </c:catAx>
      <c:valAx>
        <c:axId val="1539383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370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50800</xdr:colOff>
      <xdr:row>0</xdr:row>
      <xdr:rowOff>76200</xdr:rowOff>
    </xdr:from>
    <xdr:to>
      <xdr:col>5</xdr:col>
      <xdr:colOff>213583</xdr:colOff>
      <xdr:row>18</xdr:row>
      <xdr:rowOff>84873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0800" y="76200"/>
          <a:ext cx="6616700" cy="3911600"/>
        </a:xfrm>
        <a:prstGeom prst="rect">
          <a:avLst/>
        </a:prstGeom>
      </xdr:spPr>
    </xdr:pic>
    <xdr:clientData/>
  </xdr:twoCellAnchor>
  <xdr:twoCellAnchor editAs="oneCell">
    <xdr:from>
      <xdr:col>0</xdr:col>
      <xdr:colOff>609600</xdr:colOff>
      <xdr:row>39</xdr:row>
      <xdr:rowOff>165100</xdr:rowOff>
    </xdr:from>
    <xdr:to>
      <xdr:col>5</xdr:col>
      <xdr:colOff>760878</xdr:colOff>
      <xdr:row>58</xdr:row>
      <xdr:rowOff>185543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09600" y="8115300"/>
          <a:ext cx="6604000" cy="4140200"/>
        </a:xfrm>
        <a:prstGeom prst="rect">
          <a:avLst/>
        </a:prstGeom>
      </xdr:spPr>
    </xdr:pic>
    <xdr:clientData/>
  </xdr:twoCellAnchor>
  <xdr:twoCellAnchor>
    <xdr:from>
      <xdr:col>8</xdr:col>
      <xdr:colOff>552450</xdr:colOff>
      <xdr:row>62</xdr:row>
      <xdr:rowOff>0</xdr:rowOff>
    </xdr:from>
    <xdr:to>
      <xdr:col>12</xdr:col>
      <xdr:colOff>552450</xdr:colOff>
      <xdr:row>75</xdr:row>
      <xdr:rowOff>101600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851277</xdr:colOff>
      <xdr:row>117</xdr:row>
      <xdr:rowOff>124737</xdr:rowOff>
    </xdr:from>
    <xdr:to>
      <xdr:col>10</xdr:col>
      <xdr:colOff>846248</xdr:colOff>
      <xdr:row>131</xdr:row>
      <xdr:rowOff>51303</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474133</xdr:colOff>
      <xdr:row>225</xdr:row>
      <xdr:rowOff>16933</xdr:rowOff>
    </xdr:from>
    <xdr:to>
      <xdr:col>13</xdr:col>
      <xdr:colOff>677333</xdr:colOff>
      <xdr:row>243</xdr:row>
      <xdr:rowOff>186266</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254000</xdr:colOff>
      <xdr:row>0</xdr:row>
      <xdr:rowOff>139700</xdr:rowOff>
    </xdr:from>
    <xdr:to>
      <xdr:col>8</xdr:col>
      <xdr:colOff>38100</xdr:colOff>
      <xdr:row>18</xdr:row>
      <xdr:rowOff>119323</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54000" y="139700"/>
          <a:ext cx="7772400" cy="363722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723900</xdr:colOff>
          <xdr:row>24</xdr:row>
          <xdr:rowOff>152400</xdr:rowOff>
        </xdr:from>
        <xdr:to>
          <xdr:col>18</xdr:col>
          <xdr:colOff>292100</xdr:colOff>
          <xdr:row>43</xdr:row>
          <xdr:rowOff>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solidFill>
                <a:srgbClr val="000000"/>
              </a:solidFill>
              <a:miter lim="800000"/>
              <a:headEnd/>
              <a:tailEnd/>
            </a:ln>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5075E-EEC3-1445-9DC1-B2ABBBA82B59}">
  <dimension ref="A20:AP293"/>
  <sheetViews>
    <sheetView showGridLines="0" tabSelected="1" topLeftCell="A166" zoomScale="50" zoomScaleNormal="41" workbookViewId="0">
      <selection activeCell="AF206" sqref="AF206"/>
    </sheetView>
  </sheetViews>
  <sheetFormatPr baseColWidth="10" defaultRowHeight="16" x14ac:dyDescent="0.2"/>
  <cols>
    <col min="2" max="2" width="20" bestFit="1" customWidth="1"/>
    <col min="3" max="3" width="19" bestFit="1" customWidth="1"/>
    <col min="4" max="6" width="17.5" bestFit="1" customWidth="1"/>
    <col min="7" max="7" width="21.5" bestFit="1" customWidth="1"/>
    <col min="8" max="9" width="17.5" bestFit="1" customWidth="1"/>
    <col min="10" max="13" width="19.33203125" bestFit="1" customWidth="1"/>
    <col min="14" max="14" width="19.6640625" bestFit="1" customWidth="1"/>
    <col min="15" max="17" width="18.83203125" bestFit="1" customWidth="1"/>
    <col min="18" max="23" width="19.33203125" bestFit="1" customWidth="1"/>
    <col min="24" max="28" width="20.33203125" bestFit="1" customWidth="1"/>
    <col min="29" max="41" width="22.5" bestFit="1" customWidth="1"/>
    <col min="42" max="42" width="25.33203125" bestFit="1" customWidth="1"/>
  </cols>
  <sheetData>
    <row r="20" spans="1:7" ht="17" thickBot="1" x14ac:dyDescent="0.25"/>
    <row r="21" spans="1:7" ht="17" thickBot="1" x14ac:dyDescent="0.25">
      <c r="A21" s="2" t="s">
        <v>0</v>
      </c>
      <c r="B21" s="108" t="s">
        <v>1</v>
      </c>
      <c r="C21" s="109"/>
      <c r="D21" s="3"/>
    </row>
    <row r="22" spans="1:7" x14ac:dyDescent="0.2">
      <c r="B22" t="s">
        <v>2</v>
      </c>
      <c r="C22" s="5">
        <v>1000000000</v>
      </c>
      <c r="G22" s="1"/>
    </row>
    <row r="23" spans="1:7" x14ac:dyDescent="0.2">
      <c r="B23" t="s">
        <v>3</v>
      </c>
      <c r="C23" s="5">
        <v>1000</v>
      </c>
      <c r="G23" s="1"/>
    </row>
    <row r="24" spans="1:7" x14ac:dyDescent="0.2">
      <c r="B24" t="s">
        <v>4</v>
      </c>
      <c r="C24" s="6">
        <v>52541</v>
      </c>
    </row>
    <row r="25" spans="1:7" x14ac:dyDescent="0.2">
      <c r="B25" t="s">
        <v>5</v>
      </c>
      <c r="C25" s="4" t="s">
        <v>6</v>
      </c>
    </row>
    <row r="26" spans="1:7" x14ac:dyDescent="0.2">
      <c r="B26" t="s">
        <v>7</v>
      </c>
      <c r="C26" s="4">
        <v>39</v>
      </c>
    </row>
    <row r="27" spans="1:7" x14ac:dyDescent="0.2">
      <c r="B27" t="s">
        <v>11</v>
      </c>
      <c r="C27" s="7">
        <f>C22*0.9409</f>
        <v>940900000</v>
      </c>
    </row>
    <row r="28" spans="1:7" x14ac:dyDescent="0.2">
      <c r="B28" t="s">
        <v>12</v>
      </c>
      <c r="C28" s="10">
        <v>4.4499999999999998E-2</v>
      </c>
    </row>
    <row r="29" spans="1:7" x14ac:dyDescent="0.2">
      <c r="C29" s="4"/>
    </row>
    <row r="30" spans="1:7" x14ac:dyDescent="0.2">
      <c r="C30" s="4"/>
    </row>
    <row r="31" spans="1:7" x14ac:dyDescent="0.2">
      <c r="C31" s="4"/>
    </row>
    <row r="32" spans="1:7" x14ac:dyDescent="0.2">
      <c r="C32" s="4"/>
    </row>
    <row r="35" spans="1:42" x14ac:dyDescent="0.2">
      <c r="A35" s="2" t="s">
        <v>8</v>
      </c>
      <c r="B35" s="19" t="s">
        <v>9</v>
      </c>
      <c r="C35" s="14">
        <v>0</v>
      </c>
      <c r="D35" s="14">
        <v>1</v>
      </c>
      <c r="E35" s="14">
        <v>2</v>
      </c>
      <c r="F35" s="14">
        <v>3</v>
      </c>
      <c r="G35" s="14">
        <v>4</v>
      </c>
      <c r="H35" s="14">
        <v>5</v>
      </c>
      <c r="I35" s="14">
        <v>6</v>
      </c>
      <c r="J35" s="14">
        <v>7</v>
      </c>
      <c r="K35" s="14">
        <v>8</v>
      </c>
      <c r="L35" s="14">
        <v>9</v>
      </c>
      <c r="M35" s="14">
        <v>10</v>
      </c>
      <c r="N35" s="14">
        <v>11</v>
      </c>
      <c r="O35" s="14">
        <v>12</v>
      </c>
      <c r="P35" s="14">
        <v>13</v>
      </c>
      <c r="Q35" s="14">
        <v>14</v>
      </c>
      <c r="R35" s="14">
        <v>15</v>
      </c>
      <c r="S35" s="14">
        <v>16</v>
      </c>
      <c r="T35" s="14">
        <v>17</v>
      </c>
      <c r="U35" s="14">
        <v>18</v>
      </c>
      <c r="V35" s="14">
        <v>19</v>
      </c>
      <c r="W35" s="14">
        <v>20</v>
      </c>
      <c r="X35" s="14">
        <v>21</v>
      </c>
      <c r="Y35" s="14">
        <v>22</v>
      </c>
      <c r="Z35" s="14">
        <v>23</v>
      </c>
      <c r="AA35" s="14">
        <v>24</v>
      </c>
      <c r="AB35" s="14">
        <v>25</v>
      </c>
      <c r="AC35" s="14">
        <v>26</v>
      </c>
      <c r="AD35" s="14">
        <v>27</v>
      </c>
      <c r="AE35" s="14">
        <v>28</v>
      </c>
      <c r="AF35" s="14">
        <v>29</v>
      </c>
      <c r="AG35" s="14">
        <v>30</v>
      </c>
      <c r="AH35" s="14">
        <v>31</v>
      </c>
      <c r="AI35" s="14">
        <v>32</v>
      </c>
      <c r="AJ35" s="14">
        <v>33</v>
      </c>
      <c r="AK35" s="14">
        <v>34</v>
      </c>
      <c r="AL35" s="14">
        <v>35</v>
      </c>
      <c r="AM35" s="14">
        <v>36</v>
      </c>
      <c r="AN35" s="14">
        <v>37</v>
      </c>
      <c r="AO35" s="14">
        <v>38</v>
      </c>
      <c r="AP35" s="14">
        <v>39</v>
      </c>
    </row>
    <row r="36" spans="1:42" x14ac:dyDescent="0.2">
      <c r="B36" s="20" t="s">
        <v>10</v>
      </c>
      <c r="C36" s="17">
        <f>-C27</f>
        <v>-940900000</v>
      </c>
      <c r="D36" s="18">
        <f>$C$28/2*$C$22</f>
        <v>22250000</v>
      </c>
      <c r="E36" s="18">
        <f t="shared" ref="E36:AO36" si="0">$C$28/2*$C$22</f>
        <v>22250000</v>
      </c>
      <c r="F36" s="18">
        <f t="shared" si="0"/>
        <v>22250000</v>
      </c>
      <c r="G36" s="18">
        <f t="shared" si="0"/>
        <v>22250000</v>
      </c>
      <c r="H36" s="18">
        <f t="shared" si="0"/>
        <v>22250000</v>
      </c>
      <c r="I36" s="18">
        <f t="shared" si="0"/>
        <v>22250000</v>
      </c>
      <c r="J36" s="18">
        <f t="shared" si="0"/>
        <v>22250000</v>
      </c>
      <c r="K36" s="18">
        <f t="shared" si="0"/>
        <v>22250000</v>
      </c>
      <c r="L36" s="18">
        <f t="shared" si="0"/>
        <v>22250000</v>
      </c>
      <c r="M36" s="18">
        <f t="shared" si="0"/>
        <v>22250000</v>
      </c>
      <c r="N36" s="18">
        <f t="shared" si="0"/>
        <v>22250000</v>
      </c>
      <c r="O36" s="18">
        <f t="shared" si="0"/>
        <v>22250000</v>
      </c>
      <c r="P36" s="18">
        <f t="shared" si="0"/>
        <v>22250000</v>
      </c>
      <c r="Q36" s="18">
        <f t="shared" si="0"/>
        <v>22250000</v>
      </c>
      <c r="R36" s="18">
        <f t="shared" si="0"/>
        <v>22250000</v>
      </c>
      <c r="S36" s="18">
        <f t="shared" si="0"/>
        <v>22250000</v>
      </c>
      <c r="T36" s="18">
        <f t="shared" si="0"/>
        <v>22250000</v>
      </c>
      <c r="U36" s="18">
        <f t="shared" si="0"/>
        <v>22250000</v>
      </c>
      <c r="V36" s="18">
        <f t="shared" si="0"/>
        <v>22250000</v>
      </c>
      <c r="W36" s="18">
        <f t="shared" si="0"/>
        <v>22250000</v>
      </c>
      <c r="X36" s="18">
        <f t="shared" si="0"/>
        <v>22250000</v>
      </c>
      <c r="Y36" s="18">
        <f t="shared" si="0"/>
        <v>22250000</v>
      </c>
      <c r="Z36" s="18">
        <f t="shared" si="0"/>
        <v>22250000</v>
      </c>
      <c r="AA36" s="18">
        <f t="shared" si="0"/>
        <v>22250000</v>
      </c>
      <c r="AB36" s="18">
        <f t="shared" si="0"/>
        <v>22250000</v>
      </c>
      <c r="AC36" s="18">
        <f t="shared" si="0"/>
        <v>22250000</v>
      </c>
      <c r="AD36" s="18">
        <f t="shared" si="0"/>
        <v>22250000</v>
      </c>
      <c r="AE36" s="18">
        <f t="shared" si="0"/>
        <v>22250000</v>
      </c>
      <c r="AF36" s="18">
        <f t="shared" si="0"/>
        <v>22250000</v>
      </c>
      <c r="AG36" s="18">
        <f t="shared" si="0"/>
        <v>22250000</v>
      </c>
      <c r="AH36" s="18">
        <f t="shared" si="0"/>
        <v>22250000</v>
      </c>
      <c r="AI36" s="18">
        <f t="shared" si="0"/>
        <v>22250000</v>
      </c>
      <c r="AJ36" s="18">
        <f t="shared" si="0"/>
        <v>22250000</v>
      </c>
      <c r="AK36" s="18">
        <f t="shared" si="0"/>
        <v>22250000</v>
      </c>
      <c r="AL36" s="18">
        <f t="shared" si="0"/>
        <v>22250000</v>
      </c>
      <c r="AM36" s="18">
        <f t="shared" si="0"/>
        <v>22250000</v>
      </c>
      <c r="AN36" s="18">
        <f t="shared" si="0"/>
        <v>22250000</v>
      </c>
      <c r="AO36" s="18">
        <f t="shared" si="0"/>
        <v>22250000</v>
      </c>
      <c r="AP36" s="18">
        <f>$C$28/2*$C$22+C22</f>
        <v>1022250000</v>
      </c>
    </row>
    <row r="61" spans="1:9" x14ac:dyDescent="0.2">
      <c r="A61" s="2" t="s">
        <v>13</v>
      </c>
    </row>
    <row r="62" spans="1:9" x14ac:dyDescent="0.2">
      <c r="B62" s="21" t="s">
        <v>14</v>
      </c>
    </row>
    <row r="63" spans="1:9" x14ac:dyDescent="0.2">
      <c r="B63" s="22" t="s">
        <v>15</v>
      </c>
      <c r="C63" s="22" t="s">
        <v>16</v>
      </c>
      <c r="D63" s="22" t="s">
        <v>17</v>
      </c>
      <c r="E63" s="22" t="s">
        <v>18</v>
      </c>
      <c r="F63" s="22" t="s">
        <v>19</v>
      </c>
      <c r="G63" s="22" t="s">
        <v>20</v>
      </c>
      <c r="I63" s="34" t="s">
        <v>170</v>
      </c>
    </row>
    <row r="64" spans="1:9" x14ac:dyDescent="0.2">
      <c r="B64" s="23" t="s">
        <v>21</v>
      </c>
      <c r="C64" s="23" t="s">
        <v>22</v>
      </c>
      <c r="D64" s="23" t="s">
        <v>23</v>
      </c>
      <c r="E64" s="23" t="s">
        <v>24</v>
      </c>
      <c r="F64" s="24">
        <v>0.15</v>
      </c>
      <c r="G64" s="35">
        <v>4.6100000000000002E-2</v>
      </c>
    </row>
    <row r="65" spans="2:7" x14ac:dyDescent="0.2">
      <c r="B65" s="22" t="s">
        <v>25</v>
      </c>
      <c r="C65" s="22" t="s">
        <v>26</v>
      </c>
      <c r="D65" s="22" t="s">
        <v>23</v>
      </c>
      <c r="E65" s="22" t="s">
        <v>27</v>
      </c>
      <c r="F65" s="26">
        <v>0.22</v>
      </c>
      <c r="G65" s="9">
        <v>4.7800000000000002E-2</v>
      </c>
    </row>
    <row r="66" spans="2:7" x14ac:dyDescent="0.2">
      <c r="B66" s="23" t="s">
        <v>28</v>
      </c>
      <c r="C66" s="23" t="s">
        <v>29</v>
      </c>
      <c r="D66" s="23" t="s">
        <v>23</v>
      </c>
      <c r="E66" s="23" t="s">
        <v>30</v>
      </c>
      <c r="F66" s="24">
        <v>0.47</v>
      </c>
      <c r="G66" s="35">
        <v>4.5100000000000001E-2</v>
      </c>
    </row>
    <row r="67" spans="2:7" x14ac:dyDescent="0.2">
      <c r="B67" s="22" t="s">
        <v>31</v>
      </c>
      <c r="C67" s="22" t="s">
        <v>32</v>
      </c>
      <c r="D67" s="22" t="s">
        <v>23</v>
      </c>
      <c r="E67" s="22" t="s">
        <v>33</v>
      </c>
      <c r="F67" s="26">
        <v>0.47</v>
      </c>
      <c r="G67" s="9">
        <v>4.4999999999999998E-2</v>
      </c>
    </row>
    <row r="68" spans="2:7" x14ac:dyDescent="0.2">
      <c r="B68" s="23" t="s">
        <v>34</v>
      </c>
      <c r="C68" s="23" t="s">
        <v>35</v>
      </c>
      <c r="D68" s="23" t="s">
        <v>23</v>
      </c>
      <c r="E68" s="23" t="s">
        <v>36</v>
      </c>
      <c r="F68" s="24">
        <v>0.75</v>
      </c>
      <c r="G68" s="35">
        <v>4.53E-2</v>
      </c>
    </row>
    <row r="69" spans="2:7" x14ac:dyDescent="0.2">
      <c r="B69" s="22" t="s">
        <v>37</v>
      </c>
      <c r="C69" s="22" t="s">
        <v>38</v>
      </c>
      <c r="D69" s="22" t="s">
        <v>23</v>
      </c>
      <c r="E69" s="22" t="s">
        <v>39</v>
      </c>
      <c r="F69" s="27">
        <v>1.22</v>
      </c>
      <c r="G69" s="9">
        <v>4.48E-2</v>
      </c>
    </row>
    <row r="70" spans="2:7" x14ac:dyDescent="0.2">
      <c r="B70" s="23" t="s">
        <v>40</v>
      </c>
      <c r="C70" s="23" t="s">
        <v>41</v>
      </c>
      <c r="D70" s="23" t="s">
        <v>23</v>
      </c>
      <c r="E70" s="23" t="s">
        <v>42</v>
      </c>
      <c r="F70" s="25">
        <v>1.26</v>
      </c>
      <c r="G70" s="35">
        <v>4.48E-2</v>
      </c>
    </row>
    <row r="71" spans="2:7" x14ac:dyDescent="0.2">
      <c r="B71" s="22" t="s">
        <v>43</v>
      </c>
      <c r="C71" s="22" t="s">
        <v>44</v>
      </c>
      <c r="D71" s="22" t="s">
        <v>23</v>
      </c>
      <c r="E71" s="22" t="s">
        <v>45</v>
      </c>
      <c r="F71" s="27">
        <v>1.46</v>
      </c>
      <c r="G71" s="9">
        <v>4.7300000000000002E-2</v>
      </c>
    </row>
    <row r="72" spans="2:7" x14ac:dyDescent="0.2">
      <c r="B72" s="23" t="s">
        <v>46</v>
      </c>
      <c r="C72" s="23" t="s">
        <v>47</v>
      </c>
      <c r="D72" s="23" t="s">
        <v>23</v>
      </c>
      <c r="E72" s="23" t="s">
        <v>48</v>
      </c>
      <c r="F72" s="28">
        <v>1.7</v>
      </c>
      <c r="G72" s="35">
        <v>4.4900000000000002E-2</v>
      </c>
    </row>
    <row r="73" spans="2:7" x14ac:dyDescent="0.2">
      <c r="B73" s="22" t="s">
        <v>49</v>
      </c>
      <c r="C73" s="22" t="s">
        <v>50</v>
      </c>
      <c r="D73" s="22" t="s">
        <v>23</v>
      </c>
      <c r="E73" s="22" t="s">
        <v>51</v>
      </c>
      <c r="F73" s="27">
        <v>1.81</v>
      </c>
      <c r="G73" s="9">
        <v>4.4900000000000002E-2</v>
      </c>
    </row>
    <row r="74" spans="2:7" x14ac:dyDescent="0.2">
      <c r="B74" s="23" t="s">
        <v>52</v>
      </c>
      <c r="C74" s="23" t="s">
        <v>53</v>
      </c>
      <c r="D74" s="23" t="s">
        <v>23</v>
      </c>
      <c r="E74" s="23" t="s">
        <v>54</v>
      </c>
      <c r="F74" s="25">
        <v>2.2200000000000002</v>
      </c>
      <c r="G74" s="35">
        <v>4.4499999999999998E-2</v>
      </c>
    </row>
    <row r="75" spans="2:7" x14ac:dyDescent="0.2">
      <c r="B75" s="22" t="s">
        <v>55</v>
      </c>
      <c r="C75" s="22" t="s">
        <v>56</v>
      </c>
      <c r="D75" s="22" t="s">
        <v>23</v>
      </c>
      <c r="E75" s="22" t="s">
        <v>57</v>
      </c>
      <c r="F75" s="27">
        <v>2.4700000000000002</v>
      </c>
      <c r="G75" s="9">
        <v>4.4400000000000002E-2</v>
      </c>
    </row>
    <row r="76" spans="2:7" x14ac:dyDescent="0.2">
      <c r="B76" s="23" t="s">
        <v>58</v>
      </c>
      <c r="C76" s="23" t="s">
        <v>59</v>
      </c>
      <c r="D76" s="23" t="s">
        <v>23</v>
      </c>
      <c r="E76" s="23" t="s">
        <v>60</v>
      </c>
      <c r="F76" s="25">
        <v>2.58</v>
      </c>
      <c r="G76" s="35">
        <v>4.4200000000000003E-2</v>
      </c>
    </row>
    <row r="77" spans="2:7" x14ac:dyDescent="0.2">
      <c r="B77" s="22" t="s">
        <v>61</v>
      </c>
      <c r="C77" s="22" t="s">
        <v>62</v>
      </c>
      <c r="D77" s="22" t="s">
        <v>23</v>
      </c>
      <c r="E77" s="22" t="s">
        <v>63</v>
      </c>
      <c r="F77" s="27">
        <v>2.81</v>
      </c>
      <c r="G77" s="9">
        <v>4.4200000000000003E-2</v>
      </c>
    </row>
    <row r="78" spans="2:7" x14ac:dyDescent="0.2">
      <c r="B78" s="23" t="s">
        <v>64</v>
      </c>
      <c r="C78" s="23" t="s">
        <v>65</v>
      </c>
      <c r="D78" s="23" t="s">
        <v>23</v>
      </c>
      <c r="E78" s="23" t="s">
        <v>66</v>
      </c>
      <c r="F78" s="25">
        <v>2.98</v>
      </c>
      <c r="G78" s="35">
        <v>4.3700000000000003E-2</v>
      </c>
    </row>
    <row r="79" spans="2:7" x14ac:dyDescent="0.2">
      <c r="B79" s="22" t="s">
        <v>67</v>
      </c>
      <c r="C79" s="22" t="s">
        <v>68</v>
      </c>
      <c r="D79" s="22" t="s">
        <v>23</v>
      </c>
      <c r="E79" s="22" t="s">
        <v>69</v>
      </c>
      <c r="F79" s="27">
        <v>3.22</v>
      </c>
      <c r="G79" s="9">
        <v>4.4600000000000001E-2</v>
      </c>
    </row>
    <row r="80" spans="2:7" x14ac:dyDescent="0.2">
      <c r="B80" s="23" t="s">
        <v>70</v>
      </c>
      <c r="C80" s="23" t="s">
        <v>71</v>
      </c>
      <c r="D80" s="23" t="s">
        <v>23</v>
      </c>
      <c r="E80" s="23" t="s">
        <v>72</v>
      </c>
      <c r="F80" s="25">
        <v>3.47</v>
      </c>
      <c r="G80" s="35">
        <v>4.41E-2</v>
      </c>
    </row>
    <row r="81" spans="2:7" x14ac:dyDescent="0.2">
      <c r="B81" s="22" t="s">
        <v>73</v>
      </c>
      <c r="C81" s="22" t="s">
        <v>74</v>
      </c>
      <c r="D81" s="22" t="s">
        <v>23</v>
      </c>
      <c r="E81" s="22" t="s">
        <v>75</v>
      </c>
      <c r="F81" s="27">
        <v>3.71</v>
      </c>
      <c r="G81" s="9">
        <v>4.4600000000000001E-2</v>
      </c>
    </row>
    <row r="82" spans="2:7" x14ac:dyDescent="0.2">
      <c r="B82" s="23" t="s">
        <v>76</v>
      </c>
      <c r="C82" s="23" t="s">
        <v>77</v>
      </c>
      <c r="D82" s="23" t="s">
        <v>23</v>
      </c>
      <c r="E82" s="23" t="s">
        <v>78</v>
      </c>
      <c r="F82" s="25">
        <v>4.72</v>
      </c>
      <c r="G82" s="35">
        <v>4.4699999999999997E-2</v>
      </c>
    </row>
    <row r="83" spans="2:7" x14ac:dyDescent="0.2">
      <c r="B83" s="22" t="s">
        <v>79</v>
      </c>
      <c r="C83" s="22" t="s">
        <v>80</v>
      </c>
      <c r="D83" s="22" t="s">
        <v>23</v>
      </c>
      <c r="E83" s="22" t="s">
        <v>81</v>
      </c>
      <c r="F83" s="27">
        <v>4.8099999999999996</v>
      </c>
      <c r="G83" s="9">
        <v>4.5100000000000001E-2</v>
      </c>
    </row>
    <row r="84" spans="2:7" x14ac:dyDescent="0.2">
      <c r="B84" s="23" t="s">
        <v>82</v>
      </c>
      <c r="C84" s="23" t="s">
        <v>83</v>
      </c>
      <c r="D84" s="23" t="s">
        <v>23</v>
      </c>
      <c r="E84" s="23" t="s">
        <v>84</v>
      </c>
      <c r="F84" s="25">
        <v>5.47</v>
      </c>
      <c r="G84" s="35">
        <v>4.3200000000000002E-2</v>
      </c>
    </row>
    <row r="85" spans="2:7" x14ac:dyDescent="0.2">
      <c r="B85" s="22" t="s">
        <v>85</v>
      </c>
      <c r="C85" s="22" t="s">
        <v>86</v>
      </c>
      <c r="D85" s="22" t="s">
        <v>23</v>
      </c>
      <c r="E85" s="22" t="s">
        <v>87</v>
      </c>
      <c r="F85" s="27">
        <v>5.47</v>
      </c>
      <c r="G85" s="9">
        <v>4.5699999999999998E-2</v>
      </c>
    </row>
    <row r="86" spans="2:7" x14ac:dyDescent="0.2">
      <c r="B86" s="23" t="s">
        <v>88</v>
      </c>
      <c r="C86" s="23" t="s">
        <v>89</v>
      </c>
      <c r="D86" s="23" t="s">
        <v>23</v>
      </c>
      <c r="E86" s="23" t="s">
        <v>90</v>
      </c>
      <c r="F86" s="25">
        <v>5.75</v>
      </c>
      <c r="G86" s="35">
        <v>4.4699999999999997E-2</v>
      </c>
    </row>
    <row r="87" spans="2:7" x14ac:dyDescent="0.2">
      <c r="B87" s="22" t="s">
        <v>91</v>
      </c>
      <c r="C87" s="22" t="s">
        <v>92</v>
      </c>
      <c r="D87" s="22" t="s">
        <v>23</v>
      </c>
      <c r="E87" s="22" t="s">
        <v>93</v>
      </c>
      <c r="F87" s="27">
        <v>6.22</v>
      </c>
      <c r="G87" s="9">
        <v>4.5600000000000002E-2</v>
      </c>
    </row>
    <row r="88" spans="2:7" x14ac:dyDescent="0.2">
      <c r="B88" s="23" t="s">
        <v>94</v>
      </c>
      <c r="C88" s="23" t="s">
        <v>95</v>
      </c>
      <c r="D88" s="23" t="s">
        <v>23</v>
      </c>
      <c r="E88" s="23" t="s">
        <v>96</v>
      </c>
      <c r="F88" s="25">
        <v>6.71</v>
      </c>
      <c r="G88" s="35">
        <v>4.58E-2</v>
      </c>
    </row>
    <row r="89" spans="2:7" x14ac:dyDescent="0.2">
      <c r="B89" s="22" t="s">
        <v>97</v>
      </c>
      <c r="C89" s="22" t="s">
        <v>98</v>
      </c>
      <c r="D89" s="22" t="s">
        <v>23</v>
      </c>
      <c r="E89" s="22" t="s">
        <v>99</v>
      </c>
      <c r="F89" s="27">
        <v>7.72</v>
      </c>
      <c r="G89" s="9">
        <v>4.5499999999999999E-2</v>
      </c>
    </row>
    <row r="90" spans="2:7" x14ac:dyDescent="0.2">
      <c r="B90" s="23" t="s">
        <v>100</v>
      </c>
      <c r="C90" s="23" t="s">
        <v>101</v>
      </c>
      <c r="D90" s="23" t="s">
        <v>23</v>
      </c>
      <c r="E90" s="23" t="s">
        <v>102</v>
      </c>
      <c r="F90" s="25">
        <v>8.4700000000000006</v>
      </c>
      <c r="G90" s="35">
        <v>4.5199999999999997E-2</v>
      </c>
    </row>
    <row r="91" spans="2:7" x14ac:dyDescent="0.2">
      <c r="B91" s="22" t="s">
        <v>103</v>
      </c>
      <c r="C91" s="22" t="s">
        <v>104</v>
      </c>
      <c r="D91" s="22" t="s">
        <v>23</v>
      </c>
      <c r="E91" s="22" t="s">
        <v>105</v>
      </c>
      <c r="F91" s="29">
        <v>11.26</v>
      </c>
      <c r="G91" s="9">
        <v>4.6699999999999998E-2</v>
      </c>
    </row>
    <row r="92" spans="2:7" x14ac:dyDescent="0.2">
      <c r="B92" s="23" t="s">
        <v>106</v>
      </c>
      <c r="C92" s="23" t="s">
        <v>107</v>
      </c>
      <c r="D92" s="23" t="s">
        <v>23</v>
      </c>
      <c r="E92" s="23" t="s">
        <v>108</v>
      </c>
      <c r="F92" s="30">
        <v>16.23</v>
      </c>
      <c r="G92" s="35">
        <v>5.0799999999999998E-2</v>
      </c>
    </row>
    <row r="93" spans="2:7" x14ac:dyDescent="0.2">
      <c r="B93" s="22" t="s">
        <v>109</v>
      </c>
      <c r="C93" s="22" t="s">
        <v>110</v>
      </c>
      <c r="D93" s="22" t="s">
        <v>23</v>
      </c>
      <c r="E93" s="22" t="s">
        <v>111</v>
      </c>
      <c r="F93" s="29">
        <v>18.46</v>
      </c>
      <c r="G93" s="9">
        <v>5.1700000000000003E-2</v>
      </c>
    </row>
    <row r="94" spans="2:7" x14ac:dyDescent="0.2">
      <c r="B94" s="23" t="s">
        <v>112</v>
      </c>
      <c r="C94" s="23" t="s">
        <v>113</v>
      </c>
      <c r="D94" s="23" t="s">
        <v>23</v>
      </c>
      <c r="E94" s="23" t="s">
        <v>114</v>
      </c>
      <c r="F94" s="30">
        <v>19.47</v>
      </c>
      <c r="G94" s="35">
        <v>5.0299999999999997E-2</v>
      </c>
    </row>
    <row r="95" spans="2:7" x14ac:dyDescent="0.2">
      <c r="B95" s="22" t="s">
        <v>115</v>
      </c>
      <c r="C95" s="22" t="s">
        <v>116</v>
      </c>
      <c r="D95" s="22" t="s">
        <v>23</v>
      </c>
      <c r="E95" s="22" t="s">
        <v>117</v>
      </c>
      <c r="F95" s="31">
        <v>20.23</v>
      </c>
      <c r="G95" s="9">
        <v>5.1900000000000002E-2</v>
      </c>
    </row>
    <row r="96" spans="2:7" x14ac:dyDescent="0.2">
      <c r="B96" s="23" t="s">
        <v>118</v>
      </c>
      <c r="C96" s="23" t="s">
        <v>119</v>
      </c>
      <c r="D96" s="23" t="s">
        <v>23</v>
      </c>
      <c r="E96" s="23" t="s">
        <v>120</v>
      </c>
      <c r="F96" s="32">
        <v>20.49</v>
      </c>
      <c r="G96" s="35">
        <v>5.1999999999999998E-2</v>
      </c>
    </row>
    <row r="97" spans="2:7" x14ac:dyDescent="0.2">
      <c r="B97" s="22" t="s">
        <v>121</v>
      </c>
      <c r="C97" s="22" t="s">
        <v>122</v>
      </c>
      <c r="D97" s="22" t="s">
        <v>23</v>
      </c>
      <c r="E97" s="22" t="s">
        <v>123</v>
      </c>
      <c r="F97" s="29">
        <v>21.27</v>
      </c>
      <c r="G97" s="9">
        <v>5.1999999999999998E-2</v>
      </c>
    </row>
    <row r="98" spans="2:7" x14ac:dyDescent="0.2">
      <c r="B98" s="23" t="s">
        <v>124</v>
      </c>
      <c r="C98" s="23" t="s">
        <v>125</v>
      </c>
      <c r="D98" s="23" t="s">
        <v>23</v>
      </c>
      <c r="E98" s="23" t="s">
        <v>126</v>
      </c>
      <c r="F98" s="30">
        <v>21.72</v>
      </c>
      <c r="G98" s="35">
        <v>5.2299999999999999E-2</v>
      </c>
    </row>
    <row r="99" spans="2:7" x14ac:dyDescent="0.2">
      <c r="B99" s="22" t="s">
        <v>127</v>
      </c>
      <c r="C99" s="22" t="s">
        <v>128</v>
      </c>
      <c r="D99" s="22" t="s">
        <v>23</v>
      </c>
      <c r="E99" s="22" t="s">
        <v>129</v>
      </c>
      <c r="F99" s="29">
        <v>22.23</v>
      </c>
      <c r="G99" s="9">
        <v>5.1799999999999999E-2</v>
      </c>
    </row>
    <row r="100" spans="2:7" x14ac:dyDescent="0.2">
      <c r="B100" s="23" t="s">
        <v>130</v>
      </c>
      <c r="C100" s="23" t="s">
        <v>131</v>
      </c>
      <c r="D100" s="23" t="s">
        <v>23</v>
      </c>
      <c r="E100" s="23" t="s">
        <v>132</v>
      </c>
      <c r="F100" s="30">
        <v>22.82</v>
      </c>
      <c r="G100" s="35">
        <v>5.2699999999999997E-2</v>
      </c>
    </row>
    <row r="101" spans="2:7" x14ac:dyDescent="0.2">
      <c r="B101" s="22" t="s">
        <v>133</v>
      </c>
      <c r="C101" s="22" t="s">
        <v>134</v>
      </c>
      <c r="D101" s="22" t="s">
        <v>23</v>
      </c>
      <c r="E101" s="22" t="s">
        <v>135</v>
      </c>
      <c r="F101" s="29">
        <v>22.99</v>
      </c>
      <c r="G101" s="9">
        <v>5.2499999999999998E-2</v>
      </c>
    </row>
    <row r="102" spans="2:7" x14ac:dyDescent="0.2">
      <c r="B102" s="23" t="s">
        <v>136</v>
      </c>
      <c r="C102" s="23" t="s">
        <v>137</v>
      </c>
      <c r="D102" s="23" t="s">
        <v>23</v>
      </c>
      <c r="E102" s="23" t="s">
        <v>138</v>
      </c>
      <c r="F102" s="30">
        <v>24.82</v>
      </c>
      <c r="G102" s="35">
        <v>5.2299999999999999E-2</v>
      </c>
    </row>
    <row r="103" spans="2:7" x14ac:dyDescent="0.2">
      <c r="B103" s="22" t="s">
        <v>139</v>
      </c>
      <c r="C103" s="22" t="s">
        <v>140</v>
      </c>
      <c r="D103" s="22" t="s">
        <v>23</v>
      </c>
      <c r="E103" s="22" t="s">
        <v>141</v>
      </c>
      <c r="F103" s="29">
        <v>25.48</v>
      </c>
      <c r="G103" s="9">
        <v>5.2299999999999999E-2</v>
      </c>
    </row>
    <row r="104" spans="2:7" x14ac:dyDescent="0.2">
      <c r="B104" s="23" t="s">
        <v>142</v>
      </c>
      <c r="C104" s="23" t="s">
        <v>143</v>
      </c>
      <c r="D104" s="23" t="s">
        <v>23</v>
      </c>
      <c r="E104" s="23" t="s">
        <v>144</v>
      </c>
      <c r="F104" s="30">
        <v>25.76</v>
      </c>
      <c r="G104" s="35">
        <v>5.21E-2</v>
      </c>
    </row>
    <row r="105" spans="2:7" x14ac:dyDescent="0.2">
      <c r="B105" s="22" t="s">
        <v>145</v>
      </c>
      <c r="C105" s="22" t="s">
        <v>146</v>
      </c>
      <c r="D105" s="22" t="s">
        <v>23</v>
      </c>
      <c r="E105" s="22" t="s">
        <v>147</v>
      </c>
      <c r="F105" s="29">
        <v>26.23</v>
      </c>
      <c r="G105" s="9">
        <v>5.2499999999999998E-2</v>
      </c>
    </row>
    <row r="106" spans="2:7" x14ac:dyDescent="0.2">
      <c r="B106" s="23" t="s">
        <v>148</v>
      </c>
      <c r="C106" s="23" t="s">
        <v>149</v>
      </c>
      <c r="D106" s="23" t="s">
        <v>23</v>
      </c>
      <c r="E106" s="23" t="s">
        <v>150</v>
      </c>
      <c r="F106" s="30">
        <v>26.72</v>
      </c>
      <c r="G106" s="35">
        <v>5.2499999999999998E-2</v>
      </c>
    </row>
    <row r="107" spans="2:7" x14ac:dyDescent="0.2">
      <c r="B107" s="22" t="s">
        <v>151</v>
      </c>
      <c r="C107" s="22" t="s">
        <v>152</v>
      </c>
      <c r="D107" s="22" t="s">
        <v>23</v>
      </c>
      <c r="E107" s="22" t="s">
        <v>153</v>
      </c>
      <c r="F107" s="29">
        <v>27.73</v>
      </c>
      <c r="G107" s="9">
        <v>5.2400000000000002E-2</v>
      </c>
    </row>
    <row r="108" spans="2:7" x14ac:dyDescent="0.2">
      <c r="B108" s="23" t="s">
        <v>154</v>
      </c>
      <c r="C108" s="23" t="s">
        <v>155</v>
      </c>
      <c r="D108" s="23" t="s">
        <v>23</v>
      </c>
      <c r="E108" s="23" t="s">
        <v>156</v>
      </c>
      <c r="F108" s="30">
        <v>28.48</v>
      </c>
      <c r="G108" s="35">
        <v>5.0599999999999999E-2</v>
      </c>
    </row>
    <row r="109" spans="2:7" x14ac:dyDescent="0.2">
      <c r="B109" s="22" t="s">
        <v>157</v>
      </c>
      <c r="C109" s="22" t="s">
        <v>158</v>
      </c>
      <c r="D109" s="22" t="s">
        <v>23</v>
      </c>
      <c r="E109" s="22" t="s">
        <v>159</v>
      </c>
      <c r="F109" s="29">
        <v>35.770000000000003</v>
      </c>
      <c r="G109" s="9">
        <v>4.9599999999999998E-2</v>
      </c>
    </row>
    <row r="110" spans="2:7" x14ac:dyDescent="0.2">
      <c r="B110" s="23" t="s">
        <v>160</v>
      </c>
      <c r="C110" s="23" t="s">
        <v>161</v>
      </c>
      <c r="D110" s="23" t="s">
        <v>23</v>
      </c>
      <c r="E110" s="23" t="s">
        <v>162</v>
      </c>
      <c r="F110" s="30">
        <v>36.24</v>
      </c>
      <c r="G110" s="35">
        <v>5.2200000000000003E-2</v>
      </c>
    </row>
    <row r="111" spans="2:7" x14ac:dyDescent="0.2">
      <c r="B111" s="22" t="s">
        <v>163</v>
      </c>
      <c r="C111" s="22" t="s">
        <v>164</v>
      </c>
      <c r="D111" s="22" t="s">
        <v>23</v>
      </c>
      <c r="E111" s="22" t="s">
        <v>165</v>
      </c>
      <c r="F111" s="29">
        <v>36.729999999999997</v>
      </c>
      <c r="G111" s="9">
        <v>5.1900000000000002E-2</v>
      </c>
    </row>
    <row r="112" spans="2:7" x14ac:dyDescent="0.2">
      <c r="B112" s="23" t="s">
        <v>166</v>
      </c>
      <c r="C112" s="23" t="s">
        <v>167</v>
      </c>
      <c r="D112" s="23" t="s">
        <v>23</v>
      </c>
      <c r="E112" s="23" t="s">
        <v>168</v>
      </c>
      <c r="F112" s="30">
        <v>37.74</v>
      </c>
      <c r="G112" s="35">
        <v>5.2499999999999998E-2</v>
      </c>
    </row>
    <row r="113" spans="1:5" x14ac:dyDescent="0.2">
      <c r="B113" s="33" t="s">
        <v>169</v>
      </c>
    </row>
    <row r="116" spans="1:5" x14ac:dyDescent="0.2">
      <c r="A116" s="2" t="s">
        <v>171</v>
      </c>
      <c r="B116" t="s">
        <v>172</v>
      </c>
      <c r="C116" t="s">
        <v>173</v>
      </c>
      <c r="D116" t="s">
        <v>174</v>
      </c>
      <c r="E116" t="s">
        <v>175</v>
      </c>
    </row>
    <row r="117" spans="1:5" x14ac:dyDescent="0.2">
      <c r="B117">
        <v>0.5</v>
      </c>
      <c r="C117" s="36">
        <f>0.0000001*(B117)^4 -0.000008*(B117)^3+0.0002*(B117)^2-0.0014*(B117)+0.0459671</f>
        <v>4.5316106249999995E-2</v>
      </c>
      <c r="D117" s="36">
        <f>(0.0000003)*(B117^4)+(-0.00002)*(B117^3)+(0.0004)*(B117^2)+(-0.0024)*(B117)+0.0459</f>
        <v>4.4797518750000001E-2</v>
      </c>
      <c r="E117" s="37">
        <f>C117-D117</f>
        <v>5.1858749999999371E-4</v>
      </c>
    </row>
    <row r="118" spans="1:5" x14ac:dyDescent="0.2">
      <c r="B118">
        <v>1</v>
      </c>
      <c r="C118" s="36">
        <f t="shared" ref="C118:C155" si="1">0.0000001*(B118)^4 -0.000008*(B118)^3+0.0002*(B118)^2-0.0014*(B118)+0.0459671</f>
        <v>4.4759199999999999E-2</v>
      </c>
      <c r="D118" s="36">
        <f t="shared" ref="D118:D155" si="2">(0.0000003)*(B118^4)+(-0.00002)*(B118^3)+(0.0004)*(B118^2)+(-0.0024)*(B118)+0.0459</f>
        <v>4.3880300000000004E-2</v>
      </c>
      <c r="E118" s="37">
        <f t="shared" ref="E118:E155" si="3">C118-D118</f>
        <v>8.7889999999999496E-4</v>
      </c>
    </row>
    <row r="119" spans="1:5" x14ac:dyDescent="0.2">
      <c r="B119">
        <v>1.5</v>
      </c>
      <c r="C119" s="36">
        <f t="shared" si="1"/>
        <v>4.4290606249999996E-2</v>
      </c>
      <c r="D119" s="36">
        <f t="shared" si="2"/>
        <v>4.3134018750000003E-2</v>
      </c>
      <c r="E119" s="37">
        <f t="shared" si="3"/>
        <v>1.1565874999999934E-3</v>
      </c>
    </row>
    <row r="120" spans="1:5" x14ac:dyDescent="0.2">
      <c r="B120">
        <v>2</v>
      </c>
      <c r="C120" s="36">
        <f t="shared" si="1"/>
        <v>4.3904699999999998E-2</v>
      </c>
      <c r="D120" s="36">
        <f t="shared" si="2"/>
        <v>4.2544800000000001E-2</v>
      </c>
      <c r="E120" s="37">
        <f t="shared" si="3"/>
        <v>1.3598999999999972E-3</v>
      </c>
    </row>
    <row r="121" spans="1:5" x14ac:dyDescent="0.2">
      <c r="B121">
        <v>2.5</v>
      </c>
      <c r="C121" s="36">
        <f t="shared" si="1"/>
        <v>4.359600625E-2</v>
      </c>
      <c r="D121" s="36">
        <f t="shared" si="2"/>
        <v>4.2099218750000007E-2</v>
      </c>
      <c r="E121" s="37">
        <f t="shared" si="3"/>
        <v>1.4967874999999922E-3</v>
      </c>
    </row>
    <row r="122" spans="1:5" x14ac:dyDescent="0.2">
      <c r="B122">
        <v>3</v>
      </c>
      <c r="C122" s="36">
        <f t="shared" si="1"/>
        <v>4.3359200000000001E-2</v>
      </c>
      <c r="D122" s="36">
        <f t="shared" si="2"/>
        <v>4.1784300000000003E-2</v>
      </c>
      <c r="E122" s="37">
        <f t="shared" si="3"/>
        <v>1.5748999999999971E-3</v>
      </c>
    </row>
    <row r="123" spans="1:5" x14ac:dyDescent="0.2">
      <c r="B123">
        <v>3.5</v>
      </c>
      <c r="C123" s="36">
        <f t="shared" si="1"/>
        <v>4.3189106249999998E-2</v>
      </c>
      <c r="D123" s="36">
        <f t="shared" si="2"/>
        <v>4.1587518750000003E-2</v>
      </c>
      <c r="E123" s="37">
        <f t="shared" si="3"/>
        <v>1.6015874999999943E-3</v>
      </c>
    </row>
    <row r="124" spans="1:5" x14ac:dyDescent="0.2">
      <c r="B124">
        <v>4</v>
      </c>
      <c r="C124" s="36">
        <f t="shared" si="1"/>
        <v>4.30807E-2</v>
      </c>
      <c r="D124" s="36">
        <f t="shared" si="2"/>
        <v>4.14968E-2</v>
      </c>
      <c r="E124" s="37">
        <f t="shared" si="3"/>
        <v>1.5838999999999992E-3</v>
      </c>
    </row>
    <row r="125" spans="1:5" x14ac:dyDescent="0.2">
      <c r="B125">
        <v>4.5</v>
      </c>
      <c r="C125" s="36">
        <f t="shared" si="1"/>
        <v>4.3029106249999997E-2</v>
      </c>
      <c r="D125" s="36">
        <f t="shared" si="2"/>
        <v>4.1500518750000007E-2</v>
      </c>
      <c r="E125" s="37">
        <f t="shared" si="3"/>
        <v>1.5285874999999907E-3</v>
      </c>
    </row>
    <row r="126" spans="1:5" x14ac:dyDescent="0.2">
      <c r="B126">
        <v>5</v>
      </c>
      <c r="C126" s="36">
        <f t="shared" si="1"/>
        <v>4.3029599999999994E-2</v>
      </c>
      <c r="D126" s="36">
        <f t="shared" si="2"/>
        <v>4.1587500000000006E-2</v>
      </c>
      <c r="E126" s="37">
        <f t="shared" si="3"/>
        <v>1.4420999999999878E-3</v>
      </c>
    </row>
    <row r="127" spans="1:5" x14ac:dyDescent="0.2">
      <c r="B127">
        <v>5.5</v>
      </c>
      <c r="C127" s="36">
        <f t="shared" si="1"/>
        <v>4.3077606249999997E-2</v>
      </c>
      <c r="D127" s="36">
        <f t="shared" si="2"/>
        <v>4.1747018750000003E-2</v>
      </c>
      <c r="E127" s="37">
        <f t="shared" si="3"/>
        <v>1.3305874999999939E-3</v>
      </c>
    </row>
    <row r="128" spans="1:5" x14ac:dyDescent="0.2">
      <c r="B128">
        <v>6</v>
      </c>
      <c r="C128" s="36">
        <f t="shared" si="1"/>
        <v>4.3168699999999997E-2</v>
      </c>
      <c r="D128" s="36">
        <f t="shared" si="2"/>
        <v>4.1968800000000001E-2</v>
      </c>
      <c r="E128" s="37">
        <f t="shared" si="3"/>
        <v>1.1998999999999968E-3</v>
      </c>
    </row>
    <row r="129" spans="2:5" x14ac:dyDescent="0.2">
      <c r="B129">
        <v>6.5</v>
      </c>
      <c r="C129" s="36">
        <f t="shared" si="1"/>
        <v>4.3298606249999996E-2</v>
      </c>
      <c r="D129" s="36">
        <f t="shared" si="2"/>
        <v>4.2243018750000007E-2</v>
      </c>
      <c r="E129" s="37">
        <f t="shared" si="3"/>
        <v>1.0555874999999895E-3</v>
      </c>
    </row>
    <row r="130" spans="2:5" x14ac:dyDescent="0.2">
      <c r="B130">
        <v>7</v>
      </c>
      <c r="C130" s="36">
        <f t="shared" si="1"/>
        <v>4.3463199999999994E-2</v>
      </c>
      <c r="D130" s="36">
        <f t="shared" si="2"/>
        <v>4.2560300000000002E-2</v>
      </c>
      <c r="E130" s="37">
        <f t="shared" si="3"/>
        <v>9.0289999999999121E-4</v>
      </c>
    </row>
    <row r="131" spans="2:5" x14ac:dyDescent="0.2">
      <c r="B131">
        <v>7.5</v>
      </c>
      <c r="C131" s="36">
        <f t="shared" si="1"/>
        <v>4.365850625E-2</v>
      </c>
      <c r="D131" s="36">
        <f t="shared" si="2"/>
        <v>4.2911718750000008E-2</v>
      </c>
      <c r="E131" s="37">
        <f t="shared" si="3"/>
        <v>7.4678749999999156E-4</v>
      </c>
    </row>
    <row r="132" spans="2:5" x14ac:dyDescent="0.2">
      <c r="B132">
        <v>8</v>
      </c>
      <c r="C132" s="36">
        <f t="shared" si="1"/>
        <v>4.3880699999999995E-2</v>
      </c>
      <c r="D132" s="36">
        <f t="shared" si="2"/>
        <v>4.3288800000000002E-2</v>
      </c>
      <c r="E132" s="37">
        <f t="shared" si="3"/>
        <v>5.9189999999999243E-4</v>
      </c>
    </row>
    <row r="133" spans="2:5" x14ac:dyDescent="0.2">
      <c r="B133">
        <v>8.5</v>
      </c>
      <c r="C133" s="36">
        <f t="shared" si="1"/>
        <v>4.4126106249999998E-2</v>
      </c>
      <c r="D133" s="36">
        <f t="shared" si="2"/>
        <v>4.3683518750000011E-2</v>
      </c>
      <c r="E133" s="37">
        <f t="shared" si="3"/>
        <v>4.4258749999998709E-4</v>
      </c>
    </row>
    <row r="134" spans="2:5" x14ac:dyDescent="0.2">
      <c r="B134">
        <v>9</v>
      </c>
      <c r="C134" s="36">
        <f t="shared" si="1"/>
        <v>4.4391199999999992E-2</v>
      </c>
      <c r="D134" s="36">
        <f t="shared" si="2"/>
        <v>4.4088300000000004E-2</v>
      </c>
      <c r="E134" s="37">
        <f t="shared" si="3"/>
        <v>3.028999999999879E-4</v>
      </c>
    </row>
    <row r="135" spans="2:5" x14ac:dyDescent="0.2">
      <c r="B135">
        <v>9.5</v>
      </c>
      <c r="C135" s="36">
        <f t="shared" si="1"/>
        <v>4.4672606249999997E-2</v>
      </c>
      <c r="D135" s="36">
        <f t="shared" si="2"/>
        <v>4.4496018750000005E-2</v>
      </c>
      <c r="E135" s="37">
        <f t="shared" si="3"/>
        <v>1.7658749999999168E-4</v>
      </c>
    </row>
    <row r="136" spans="2:5" x14ac:dyDescent="0.2">
      <c r="B136">
        <v>10</v>
      </c>
      <c r="C136" s="36">
        <f t="shared" si="1"/>
        <v>4.4967099999999996E-2</v>
      </c>
      <c r="D136" s="36">
        <f t="shared" si="2"/>
        <v>4.4900000000000009E-2</v>
      </c>
      <c r="E136" s="37">
        <f t="shared" si="3"/>
        <v>6.7099999999986615E-5</v>
      </c>
    </row>
    <row r="137" spans="2:5" x14ac:dyDescent="0.2">
      <c r="B137">
        <v>10.5</v>
      </c>
      <c r="C137" s="36">
        <f t="shared" si="1"/>
        <v>4.5271606249999999E-2</v>
      </c>
      <c r="D137" s="36">
        <f t="shared" si="2"/>
        <v>4.5294018750000005E-2</v>
      </c>
      <c r="E137" s="37">
        <f t="shared" si="3"/>
        <v>-2.2412500000006108E-5</v>
      </c>
    </row>
    <row r="138" spans="2:5" x14ac:dyDescent="0.2">
      <c r="B138">
        <v>11</v>
      </c>
      <c r="C138" s="36">
        <f t="shared" si="1"/>
        <v>4.5583199999999997E-2</v>
      </c>
      <c r="D138" s="36">
        <f t="shared" si="2"/>
        <v>4.5672300000000013E-2</v>
      </c>
      <c r="E138" s="37">
        <f t="shared" si="3"/>
        <v>-8.9100000000015556E-5</v>
      </c>
    </row>
    <row r="139" spans="2:5" x14ac:dyDescent="0.2">
      <c r="B139">
        <v>11.5</v>
      </c>
      <c r="C139" s="36">
        <f t="shared" si="1"/>
        <v>4.5899106250000002E-2</v>
      </c>
      <c r="D139" s="36">
        <f t="shared" si="2"/>
        <v>4.6029518750000005E-2</v>
      </c>
      <c r="E139" s="37">
        <f t="shared" si="3"/>
        <v>-1.304125000000031E-4</v>
      </c>
    </row>
    <row r="140" spans="2:5" x14ac:dyDescent="0.2">
      <c r="B140">
        <v>12</v>
      </c>
      <c r="C140" s="36">
        <f t="shared" si="1"/>
        <v>4.6216699999999999E-2</v>
      </c>
      <c r="D140" s="36">
        <f t="shared" si="2"/>
        <v>4.6360800000000008E-2</v>
      </c>
      <c r="E140" s="37">
        <f t="shared" si="3"/>
        <v>-1.4410000000000811E-4</v>
      </c>
    </row>
    <row r="141" spans="2:5" x14ac:dyDescent="0.2">
      <c r="B141">
        <v>12.5</v>
      </c>
      <c r="C141" s="36">
        <f t="shared" si="1"/>
        <v>4.6533506249999995E-2</v>
      </c>
      <c r="D141" s="36">
        <f t="shared" si="2"/>
        <v>4.6661718750000004E-2</v>
      </c>
      <c r="E141" s="37">
        <f t="shared" si="3"/>
        <v>-1.2821250000000922E-4</v>
      </c>
    </row>
    <row r="142" spans="2:5" x14ac:dyDescent="0.2">
      <c r="B142">
        <v>13</v>
      </c>
      <c r="C142" s="36">
        <f t="shared" si="1"/>
        <v>4.6847200000000006E-2</v>
      </c>
      <c r="D142" s="36">
        <f t="shared" si="2"/>
        <v>4.6928300000000006E-2</v>
      </c>
      <c r="E142" s="37">
        <f t="shared" si="3"/>
        <v>-8.1100000000000616E-5</v>
      </c>
    </row>
    <row r="143" spans="2:5" x14ac:dyDescent="0.2">
      <c r="B143">
        <v>13.5</v>
      </c>
      <c r="C143" s="36">
        <f t="shared" si="1"/>
        <v>4.7155606250000003E-2</v>
      </c>
      <c r="D143" s="36">
        <f t="shared" si="2"/>
        <v>4.7157018750000008E-2</v>
      </c>
      <c r="E143" s="37">
        <f t="shared" si="3"/>
        <v>-1.4125000000059229E-6</v>
      </c>
    </row>
    <row r="144" spans="2:5" x14ac:dyDescent="0.2">
      <c r="B144">
        <v>14</v>
      </c>
      <c r="C144" s="36">
        <f t="shared" si="1"/>
        <v>4.7456699999999997E-2</v>
      </c>
      <c r="D144" s="36">
        <f t="shared" si="2"/>
        <v>4.7344799999999999E-2</v>
      </c>
      <c r="E144" s="37">
        <f t="shared" si="3"/>
        <v>1.1189999999999811E-4</v>
      </c>
    </row>
    <row r="145" spans="2:6" x14ac:dyDescent="0.2">
      <c r="B145">
        <v>14.5</v>
      </c>
      <c r="C145" s="36">
        <f t="shared" si="1"/>
        <v>4.7748606250000006E-2</v>
      </c>
      <c r="D145" s="36">
        <f t="shared" si="2"/>
        <v>4.7489018750000007E-2</v>
      </c>
      <c r="E145" s="37">
        <f t="shared" si="3"/>
        <v>2.5958749999999836E-4</v>
      </c>
    </row>
    <row r="146" spans="2:6" x14ac:dyDescent="0.2">
      <c r="B146">
        <v>15</v>
      </c>
      <c r="C146" s="36">
        <f t="shared" si="1"/>
        <v>4.8029600000000006E-2</v>
      </c>
      <c r="D146" s="36">
        <f t="shared" si="2"/>
        <v>4.7587500000000012E-2</v>
      </c>
      <c r="E146" s="37">
        <f t="shared" si="3"/>
        <v>4.4209999999999389E-4</v>
      </c>
    </row>
    <row r="147" spans="2:6" x14ac:dyDescent="0.2">
      <c r="B147">
        <v>15.5</v>
      </c>
      <c r="C147" s="36">
        <f t="shared" si="1"/>
        <v>4.829810625E-2</v>
      </c>
      <c r="D147" s="36">
        <f t="shared" si="2"/>
        <v>4.7638518750000004E-2</v>
      </c>
      <c r="E147" s="37">
        <f t="shared" si="3"/>
        <v>6.5958749999999594E-4</v>
      </c>
    </row>
    <row r="148" spans="2:6" x14ac:dyDescent="0.2">
      <c r="B148">
        <v>16</v>
      </c>
      <c r="C148" s="36">
        <f t="shared" si="1"/>
        <v>4.8552700000000004E-2</v>
      </c>
      <c r="D148" s="36">
        <f t="shared" si="2"/>
        <v>4.7640800000000004E-2</v>
      </c>
      <c r="E148" s="37">
        <f t="shared" si="3"/>
        <v>9.1190000000000021E-4</v>
      </c>
    </row>
    <row r="149" spans="2:6" x14ac:dyDescent="0.2">
      <c r="B149">
        <v>16.5</v>
      </c>
      <c r="C149" s="36">
        <f t="shared" si="1"/>
        <v>4.8792106250000009E-2</v>
      </c>
      <c r="D149" s="36">
        <f t="shared" si="2"/>
        <v>4.7593518750000015E-2</v>
      </c>
      <c r="E149" s="37">
        <f t="shared" si="3"/>
        <v>1.1985874999999938E-3</v>
      </c>
    </row>
    <row r="150" spans="2:6" x14ac:dyDescent="0.2">
      <c r="B150">
        <v>17</v>
      </c>
      <c r="C150" s="36">
        <f t="shared" si="1"/>
        <v>4.9015200000000009E-2</v>
      </c>
      <c r="D150" s="36">
        <f t="shared" si="2"/>
        <v>4.7496300000000005E-2</v>
      </c>
      <c r="E150" s="37">
        <f t="shared" si="3"/>
        <v>1.5189000000000036E-3</v>
      </c>
    </row>
    <row r="151" spans="2:6" x14ac:dyDescent="0.2">
      <c r="B151">
        <v>17.5</v>
      </c>
      <c r="C151" s="36">
        <f t="shared" si="1"/>
        <v>4.9221006250000005E-2</v>
      </c>
      <c r="D151" s="36">
        <f t="shared" si="2"/>
        <v>4.7349218750000012E-2</v>
      </c>
      <c r="E151" s="37">
        <f t="shared" si="3"/>
        <v>1.8717874999999926E-3</v>
      </c>
    </row>
    <row r="152" spans="2:6" x14ac:dyDescent="0.2">
      <c r="B152">
        <v>18</v>
      </c>
      <c r="C152" s="36">
        <f t="shared" si="1"/>
        <v>4.94087E-2</v>
      </c>
      <c r="D152" s="36">
        <f t="shared" si="2"/>
        <v>4.7152799999999995E-2</v>
      </c>
      <c r="E152" s="37">
        <f t="shared" si="3"/>
        <v>2.2559000000000051E-3</v>
      </c>
    </row>
    <row r="153" spans="2:6" x14ac:dyDescent="0.2">
      <c r="B153">
        <v>18.5</v>
      </c>
      <c r="C153" s="36">
        <f t="shared" si="1"/>
        <v>4.9577606249999996E-2</v>
      </c>
      <c r="D153" s="36">
        <f t="shared" si="2"/>
        <v>4.6908018749999982E-2</v>
      </c>
      <c r="E153" s="37">
        <f t="shared" si="3"/>
        <v>2.6695875000000147E-3</v>
      </c>
    </row>
    <row r="154" spans="2:6" x14ac:dyDescent="0.2">
      <c r="B154">
        <v>19</v>
      </c>
      <c r="C154" s="36">
        <f t="shared" si="1"/>
        <v>4.9727199999999999E-2</v>
      </c>
      <c r="D154" s="36">
        <f t="shared" si="2"/>
        <v>4.6616299999999986E-2</v>
      </c>
      <c r="E154" s="37">
        <f t="shared" si="3"/>
        <v>3.1109000000000137E-3</v>
      </c>
    </row>
    <row r="155" spans="2:6" x14ac:dyDescent="0.2">
      <c r="B155">
        <v>19.5</v>
      </c>
      <c r="C155" s="36">
        <f t="shared" si="1"/>
        <v>4.9857106250000005E-2</v>
      </c>
      <c r="D155" s="36">
        <f t="shared" si="2"/>
        <v>4.6279518750000019E-2</v>
      </c>
      <c r="E155" s="37">
        <f t="shared" si="3"/>
        <v>3.577587499999986E-3</v>
      </c>
    </row>
    <row r="157" spans="2:6" x14ac:dyDescent="0.2">
      <c r="B157" s="110" t="s">
        <v>177</v>
      </c>
      <c r="C157" s="110"/>
      <c r="D157" s="110"/>
      <c r="E157" s="110"/>
      <c r="F157" s="110"/>
    </row>
    <row r="158" spans="2:6" x14ac:dyDescent="0.2">
      <c r="B158" s="110"/>
      <c r="C158" s="110"/>
      <c r="D158" s="110"/>
      <c r="E158" s="110"/>
      <c r="F158" s="110"/>
    </row>
    <row r="159" spans="2:6" x14ac:dyDescent="0.2">
      <c r="B159" s="110"/>
      <c r="C159" s="110"/>
      <c r="D159" s="110"/>
      <c r="E159" s="110"/>
      <c r="F159" s="110"/>
    </row>
    <row r="160" spans="2:6" x14ac:dyDescent="0.2">
      <c r="B160" s="110"/>
      <c r="C160" s="110"/>
      <c r="D160" s="110"/>
      <c r="E160" s="110"/>
      <c r="F160" s="110"/>
    </row>
    <row r="161" spans="1:6" x14ac:dyDescent="0.2">
      <c r="B161" s="110"/>
      <c r="C161" s="110"/>
      <c r="D161" s="110"/>
      <c r="E161" s="110"/>
      <c r="F161" s="110"/>
    </row>
    <row r="164" spans="1:6" ht="17" thickBot="1" x14ac:dyDescent="0.25"/>
    <row r="165" spans="1:6" ht="17" thickBot="1" x14ac:dyDescent="0.25">
      <c r="A165" s="2" t="s">
        <v>178</v>
      </c>
      <c r="B165" s="108" t="s">
        <v>1</v>
      </c>
      <c r="C165" s="109"/>
    </row>
    <row r="166" spans="1:6" x14ac:dyDescent="0.2">
      <c r="B166" t="s">
        <v>2</v>
      </c>
      <c r="C166" s="5">
        <v>1000000000</v>
      </c>
      <c r="E166" t="s">
        <v>180</v>
      </c>
      <c r="F166" s="38">
        <v>4.2959999999999998E-2</v>
      </c>
    </row>
    <row r="167" spans="1:6" x14ac:dyDescent="0.2">
      <c r="B167" t="s">
        <v>3</v>
      </c>
      <c r="C167" s="5">
        <v>1000</v>
      </c>
      <c r="E167" t="s">
        <v>185</v>
      </c>
      <c r="F167" s="107">
        <v>4.8649999999999999E-2</v>
      </c>
    </row>
    <row r="168" spans="1:6" x14ac:dyDescent="0.2">
      <c r="B168" t="s">
        <v>4</v>
      </c>
      <c r="C168" s="6">
        <v>52541</v>
      </c>
    </row>
    <row r="169" spans="1:6" x14ac:dyDescent="0.2">
      <c r="B169" t="s">
        <v>5</v>
      </c>
      <c r="C169" s="4" t="s">
        <v>6</v>
      </c>
      <c r="E169" s="39" t="s">
        <v>181</v>
      </c>
      <c r="F169" s="40">
        <f>C171</f>
        <v>940900000</v>
      </c>
    </row>
    <row r="170" spans="1:6" x14ac:dyDescent="0.2">
      <c r="B170" t="s">
        <v>7</v>
      </c>
      <c r="C170" s="4">
        <v>39</v>
      </c>
      <c r="E170" s="39" t="s">
        <v>182</v>
      </c>
      <c r="F170" s="40">
        <f>AP184</f>
        <v>611394755.14677453</v>
      </c>
    </row>
    <row r="171" spans="1:6" x14ac:dyDescent="0.2">
      <c r="B171" t="s">
        <v>11</v>
      </c>
      <c r="C171" s="7">
        <f>C166*0.9409</f>
        <v>940900000</v>
      </c>
    </row>
    <row r="172" spans="1:6" x14ac:dyDescent="0.2">
      <c r="B172" t="s">
        <v>12</v>
      </c>
      <c r="C172" s="10">
        <v>4.4499999999999998E-2</v>
      </c>
      <c r="E172" t="s">
        <v>176</v>
      </c>
    </row>
    <row r="173" spans="1:6" x14ac:dyDescent="0.2">
      <c r="C173" s="10"/>
    </row>
    <row r="174" spans="1:6" x14ac:dyDescent="0.2">
      <c r="C174" s="10"/>
    </row>
    <row r="175" spans="1:6" x14ac:dyDescent="0.2">
      <c r="C175" s="10"/>
    </row>
    <row r="176" spans="1:6" x14ac:dyDescent="0.2">
      <c r="C176" s="10"/>
    </row>
    <row r="177" spans="1:42" x14ac:dyDescent="0.2">
      <c r="C177" s="10"/>
    </row>
    <row r="178" spans="1:42" x14ac:dyDescent="0.2">
      <c r="C178" s="10"/>
    </row>
    <row r="179" spans="1:42" x14ac:dyDescent="0.2">
      <c r="C179" s="10"/>
    </row>
    <row r="180" spans="1:42" x14ac:dyDescent="0.2">
      <c r="C180" s="10"/>
    </row>
    <row r="181" spans="1:42" x14ac:dyDescent="0.2">
      <c r="B181" s="2" t="s">
        <v>9</v>
      </c>
      <c r="C181">
        <v>0</v>
      </c>
      <c r="D181">
        <v>1</v>
      </c>
      <c r="E181">
        <v>2</v>
      </c>
      <c r="F181">
        <v>3</v>
      </c>
      <c r="G181">
        <v>4</v>
      </c>
      <c r="H181">
        <v>5</v>
      </c>
      <c r="I181">
        <v>6</v>
      </c>
      <c r="J181">
        <v>7</v>
      </c>
      <c r="K181">
        <v>8</v>
      </c>
      <c r="L181">
        <v>9</v>
      </c>
      <c r="M181">
        <v>10</v>
      </c>
      <c r="N181">
        <v>11</v>
      </c>
      <c r="O181">
        <v>12</v>
      </c>
      <c r="P181">
        <v>13</v>
      </c>
      <c r="Q181">
        <v>14</v>
      </c>
      <c r="R181">
        <v>15</v>
      </c>
      <c r="S181">
        <v>16</v>
      </c>
      <c r="T181">
        <v>17</v>
      </c>
      <c r="U181">
        <v>18</v>
      </c>
      <c r="V181">
        <v>19</v>
      </c>
      <c r="W181">
        <v>20</v>
      </c>
      <c r="X181">
        <v>21</v>
      </c>
      <c r="Y181">
        <v>22</v>
      </c>
      <c r="Z181">
        <v>23</v>
      </c>
      <c r="AA181">
        <v>24</v>
      </c>
      <c r="AB181">
        <v>25</v>
      </c>
      <c r="AC181">
        <v>26</v>
      </c>
      <c r="AD181">
        <v>27</v>
      </c>
      <c r="AE181">
        <v>28</v>
      </c>
      <c r="AF181">
        <v>29</v>
      </c>
      <c r="AG181">
        <v>30</v>
      </c>
      <c r="AH181">
        <v>31</v>
      </c>
      <c r="AI181">
        <v>32</v>
      </c>
      <c r="AJ181">
        <v>33</v>
      </c>
      <c r="AK181">
        <v>34</v>
      </c>
      <c r="AL181">
        <v>35</v>
      </c>
      <c r="AM181">
        <v>36</v>
      </c>
      <c r="AN181">
        <v>37</v>
      </c>
      <c r="AO181">
        <v>38</v>
      </c>
      <c r="AP181">
        <v>39</v>
      </c>
    </row>
    <row r="182" spans="1:42" x14ac:dyDescent="0.2">
      <c r="B182" s="2" t="s">
        <v>10</v>
      </c>
      <c r="C182" s="8">
        <f>-C171</f>
        <v>-940900000</v>
      </c>
      <c r="D182" s="11">
        <f>$C$172/2*$C$166</f>
        <v>22250000</v>
      </c>
      <c r="E182" s="11">
        <f t="shared" ref="E182:AO182" si="4">$C$172/2*$C$166</f>
        <v>22250000</v>
      </c>
      <c r="F182" s="11">
        <f t="shared" si="4"/>
        <v>22250000</v>
      </c>
      <c r="G182" s="11">
        <f t="shared" si="4"/>
        <v>22250000</v>
      </c>
      <c r="H182" s="11">
        <f t="shared" si="4"/>
        <v>22250000</v>
      </c>
      <c r="I182" s="11">
        <f t="shared" si="4"/>
        <v>22250000</v>
      </c>
      <c r="J182" s="11">
        <f t="shared" si="4"/>
        <v>22250000</v>
      </c>
      <c r="K182" s="11">
        <f t="shared" si="4"/>
        <v>22250000</v>
      </c>
      <c r="L182" s="11">
        <f t="shared" si="4"/>
        <v>22250000</v>
      </c>
      <c r="M182" s="11">
        <f t="shared" si="4"/>
        <v>22250000</v>
      </c>
      <c r="N182" s="11">
        <f t="shared" si="4"/>
        <v>22250000</v>
      </c>
      <c r="O182" s="11">
        <f t="shared" si="4"/>
        <v>22250000</v>
      </c>
      <c r="P182" s="11">
        <f t="shared" si="4"/>
        <v>22250000</v>
      </c>
      <c r="Q182" s="11">
        <f t="shared" si="4"/>
        <v>22250000</v>
      </c>
      <c r="R182" s="11">
        <f t="shared" si="4"/>
        <v>22250000</v>
      </c>
      <c r="S182" s="11">
        <f t="shared" si="4"/>
        <v>22250000</v>
      </c>
      <c r="T182" s="11">
        <f t="shared" si="4"/>
        <v>22250000</v>
      </c>
      <c r="U182" s="11">
        <f t="shared" si="4"/>
        <v>22250000</v>
      </c>
      <c r="V182" s="11">
        <f t="shared" si="4"/>
        <v>22250000</v>
      </c>
      <c r="W182" s="11">
        <f t="shared" si="4"/>
        <v>22250000</v>
      </c>
      <c r="X182" s="11">
        <f t="shared" si="4"/>
        <v>22250000</v>
      </c>
      <c r="Y182" s="11">
        <f t="shared" si="4"/>
        <v>22250000</v>
      </c>
      <c r="Z182" s="11">
        <f t="shared" si="4"/>
        <v>22250000</v>
      </c>
      <c r="AA182" s="11">
        <f t="shared" si="4"/>
        <v>22250000</v>
      </c>
      <c r="AB182" s="11">
        <f t="shared" si="4"/>
        <v>22250000</v>
      </c>
      <c r="AC182" s="11">
        <f t="shared" si="4"/>
        <v>22250000</v>
      </c>
      <c r="AD182" s="11">
        <f t="shared" si="4"/>
        <v>22250000</v>
      </c>
      <c r="AE182" s="11">
        <f t="shared" si="4"/>
        <v>22250000</v>
      </c>
      <c r="AF182" s="11">
        <f t="shared" si="4"/>
        <v>22250000</v>
      </c>
      <c r="AG182" s="11">
        <f t="shared" si="4"/>
        <v>22250000</v>
      </c>
      <c r="AH182" s="11">
        <f t="shared" si="4"/>
        <v>22250000</v>
      </c>
      <c r="AI182" s="11">
        <f t="shared" si="4"/>
        <v>22250000</v>
      </c>
      <c r="AJ182" s="11">
        <f t="shared" si="4"/>
        <v>22250000</v>
      </c>
      <c r="AK182" s="11">
        <f t="shared" si="4"/>
        <v>22250000</v>
      </c>
      <c r="AL182" s="11">
        <f t="shared" si="4"/>
        <v>22250000</v>
      </c>
      <c r="AM182" s="11">
        <f t="shared" si="4"/>
        <v>22250000</v>
      </c>
      <c r="AN182" s="11">
        <f t="shared" si="4"/>
        <v>22250000</v>
      </c>
      <c r="AO182" s="11">
        <f t="shared" si="4"/>
        <v>22250000</v>
      </c>
      <c r="AP182" s="11">
        <f>$C$172/2*$C$166+C166</f>
        <v>1022250000</v>
      </c>
    </row>
    <row r="183" spans="1:42" x14ac:dyDescent="0.2">
      <c r="B183" s="2" t="s">
        <v>179</v>
      </c>
      <c r="C183" s="8">
        <f>C182/(1+$F$166)^C181</f>
        <v>-940900000</v>
      </c>
      <c r="D183" s="8">
        <f t="shared" ref="D183:AP183" si="5">D182/(1+$F$166)^D181</f>
        <v>21333512.311114524</v>
      </c>
      <c r="E183" s="8">
        <f t="shared" si="5"/>
        <v>20454775.169819098</v>
      </c>
      <c r="F183" s="8">
        <f t="shared" si="5"/>
        <v>19612233.61377148</v>
      </c>
      <c r="G183" s="8">
        <f t="shared" si="5"/>
        <v>18804396.730240356</v>
      </c>
      <c r="H183" s="8">
        <f t="shared" si="5"/>
        <v>18029835.017872553</v>
      </c>
      <c r="I183" s="8">
        <f t="shared" si="5"/>
        <v>17287177.857130241</v>
      </c>
      <c r="J183" s="8">
        <f t="shared" si="5"/>
        <v>16575111.084921995</v>
      </c>
      <c r="K183" s="8">
        <f t="shared" si="5"/>
        <v>15892374.669135919</v>
      </c>
      <c r="L183" s="8">
        <f t="shared" si="5"/>
        <v>15237760.478959806</v>
      </c>
      <c r="M183" s="8">
        <f t="shared" si="5"/>
        <v>14610110.147042848</v>
      </c>
      <c r="N183" s="8">
        <f t="shared" si="5"/>
        <v>14008313.019715859</v>
      </c>
      <c r="O183" s="8">
        <f t="shared" si="5"/>
        <v>13431304.191642882</v>
      </c>
      <c r="P183" s="8">
        <f t="shared" si="5"/>
        <v>12878062.621426405</v>
      </c>
      <c r="Q183" s="8">
        <f t="shared" si="5"/>
        <v>12347609.32483164</v>
      </c>
      <c r="R183" s="8">
        <f t="shared" si="5"/>
        <v>11839005.642432733</v>
      </c>
      <c r="S183" s="8">
        <f t="shared" si="5"/>
        <v>11351351.578615414</v>
      </c>
      <c r="T183" s="8">
        <f t="shared" si="5"/>
        <v>10883784.208996909</v>
      </c>
      <c r="U183" s="8">
        <f t="shared" si="5"/>
        <v>10435476.153444918</v>
      </c>
      <c r="V183" s="8">
        <f t="shared" si="5"/>
        <v>10005634.11199367</v>
      </c>
      <c r="W183" s="8">
        <f t="shared" si="5"/>
        <v>9593497.4610662665</v>
      </c>
      <c r="X183" s="8">
        <f t="shared" si="5"/>
        <v>9198336.9075192399</v>
      </c>
      <c r="Y183" s="8">
        <f t="shared" si="5"/>
        <v>8819453.1981276777</v>
      </c>
      <c r="Z183" s="8">
        <f t="shared" si="5"/>
        <v>8456175.8822271992</v>
      </c>
      <c r="AA183" s="8">
        <f t="shared" si="5"/>
        <v>8107862.1253233096</v>
      </c>
      <c r="AB183" s="8">
        <f t="shared" si="5"/>
        <v>7773895.5715687182</v>
      </c>
      <c r="AC183" s="8">
        <f t="shared" si="5"/>
        <v>7453685.2530957274</v>
      </c>
      <c r="AD183" s="8">
        <f t="shared" si="5"/>
        <v>7146664.5442737285</v>
      </c>
      <c r="AE183" s="8">
        <f t="shared" si="5"/>
        <v>6852290.1590413153</v>
      </c>
      <c r="AF183" s="8">
        <f t="shared" si="5"/>
        <v>6570041.1895387322</v>
      </c>
      <c r="AG183" s="8">
        <f t="shared" si="5"/>
        <v>6299418.1843395075</v>
      </c>
      <c r="AH183" s="8">
        <f t="shared" si="5"/>
        <v>6039942.26465014</v>
      </c>
      <c r="AI183" s="8">
        <f t="shared" si="5"/>
        <v>5791154.2769139176</v>
      </c>
      <c r="AJ183" s="8">
        <f t="shared" si="5"/>
        <v>5552613.9803193966</v>
      </c>
      <c r="AK183" s="8">
        <f t="shared" si="5"/>
        <v>5323899.2677757507</v>
      </c>
      <c r="AL183" s="8">
        <f t="shared" si="5"/>
        <v>5104605.4189765211</v>
      </c>
      <c r="AM183" s="8">
        <f t="shared" si="5"/>
        <v>4894344.3842300009</v>
      </c>
      <c r="AN183" s="8">
        <f t="shared" si="5"/>
        <v>4692744.0977889867</v>
      </c>
      <c r="AO183" s="8">
        <f t="shared" si="5"/>
        <v>4499447.8194647804</v>
      </c>
      <c r="AP183" s="8">
        <f t="shared" si="5"/>
        <v>198206855.22742414</v>
      </c>
    </row>
    <row r="184" spans="1:42" x14ac:dyDescent="0.2">
      <c r="AO184" s="39" t="s">
        <v>11</v>
      </c>
      <c r="AP184" s="40">
        <f>SUM(D183:AQ183)</f>
        <v>611394755.14677453</v>
      </c>
    </row>
    <row r="187" spans="1:42" x14ac:dyDescent="0.2">
      <c r="A187" s="2" t="s">
        <v>183</v>
      </c>
      <c r="B187" s="20" t="s">
        <v>9</v>
      </c>
      <c r="C187" s="14">
        <v>0</v>
      </c>
      <c r="D187" s="14">
        <v>1</v>
      </c>
      <c r="E187" s="16">
        <v>2</v>
      </c>
      <c r="F187" s="16">
        <v>3</v>
      </c>
      <c r="G187" s="16">
        <v>4</v>
      </c>
      <c r="H187" s="16">
        <v>5</v>
      </c>
      <c r="I187" s="16">
        <v>6</v>
      </c>
      <c r="J187" s="16">
        <v>7</v>
      </c>
      <c r="K187" s="14">
        <v>8</v>
      </c>
      <c r="L187" s="16">
        <v>9</v>
      </c>
      <c r="M187" s="16">
        <v>10</v>
      </c>
      <c r="N187" s="16">
        <v>11</v>
      </c>
      <c r="O187" s="14">
        <v>12</v>
      </c>
      <c r="P187" s="16">
        <v>13</v>
      </c>
      <c r="Q187" s="16">
        <v>14</v>
      </c>
      <c r="R187" s="16">
        <v>15</v>
      </c>
      <c r="S187" s="16">
        <v>16</v>
      </c>
      <c r="T187" s="16">
        <v>17</v>
      </c>
      <c r="U187" s="16">
        <v>18</v>
      </c>
      <c r="V187" s="16">
        <v>19</v>
      </c>
      <c r="W187" s="16">
        <v>20</v>
      </c>
      <c r="X187" s="16">
        <v>21</v>
      </c>
      <c r="Y187" s="16">
        <v>22</v>
      </c>
      <c r="Z187" s="16">
        <v>23</v>
      </c>
      <c r="AA187" s="16">
        <v>24</v>
      </c>
      <c r="AB187" s="16">
        <v>25</v>
      </c>
      <c r="AC187" s="16">
        <v>26</v>
      </c>
      <c r="AD187" s="16">
        <v>27</v>
      </c>
      <c r="AE187" s="16">
        <v>28</v>
      </c>
      <c r="AF187" s="16">
        <v>29</v>
      </c>
      <c r="AG187" s="16">
        <v>30</v>
      </c>
      <c r="AH187" s="16">
        <v>31</v>
      </c>
      <c r="AI187" s="16">
        <v>32</v>
      </c>
      <c r="AJ187" s="16">
        <v>33</v>
      </c>
      <c r="AK187" s="16">
        <v>34</v>
      </c>
      <c r="AL187" s="16">
        <v>35</v>
      </c>
      <c r="AM187" s="16">
        <v>36</v>
      </c>
      <c r="AN187" s="16">
        <v>37</v>
      </c>
      <c r="AO187" s="16">
        <v>38</v>
      </c>
      <c r="AP187" s="16">
        <v>39</v>
      </c>
    </row>
    <row r="188" spans="1:42" x14ac:dyDescent="0.2">
      <c r="B188" s="20" t="s">
        <v>10</v>
      </c>
      <c r="C188" s="17">
        <f>-C183</f>
        <v>940900000</v>
      </c>
      <c r="D188" s="50">
        <f>$C$172/2*$C$166</f>
        <v>22250000</v>
      </c>
      <c r="E188" s="51">
        <f t="shared" ref="E188:AO188" si="6">$C$172/2*$C$166</f>
        <v>22250000</v>
      </c>
      <c r="F188" s="51">
        <f t="shared" si="6"/>
        <v>22250000</v>
      </c>
      <c r="G188" s="51">
        <f t="shared" si="6"/>
        <v>22250000</v>
      </c>
      <c r="H188" s="51">
        <f t="shared" si="6"/>
        <v>22250000</v>
      </c>
      <c r="I188" s="51">
        <f t="shared" si="6"/>
        <v>22250000</v>
      </c>
      <c r="J188" s="51">
        <f t="shared" si="6"/>
        <v>22250000</v>
      </c>
      <c r="K188" s="50">
        <f t="shared" si="6"/>
        <v>22250000</v>
      </c>
      <c r="L188" s="51">
        <f t="shared" si="6"/>
        <v>22250000</v>
      </c>
      <c r="M188" s="51">
        <f t="shared" si="6"/>
        <v>22250000</v>
      </c>
      <c r="N188" s="51">
        <f t="shared" si="6"/>
        <v>22250000</v>
      </c>
      <c r="O188" s="50">
        <f t="shared" si="6"/>
        <v>22250000</v>
      </c>
      <c r="P188" s="51">
        <f t="shared" si="6"/>
        <v>22250000</v>
      </c>
      <c r="Q188" s="51">
        <f t="shared" si="6"/>
        <v>22250000</v>
      </c>
      <c r="R188" s="51">
        <f t="shared" si="6"/>
        <v>22250000</v>
      </c>
      <c r="S188" s="51">
        <f t="shared" si="6"/>
        <v>22250000</v>
      </c>
      <c r="T188" s="51">
        <f t="shared" si="6"/>
        <v>22250000</v>
      </c>
      <c r="U188" s="51">
        <f t="shared" si="6"/>
        <v>22250000</v>
      </c>
      <c r="V188" s="51">
        <f t="shared" si="6"/>
        <v>22250000</v>
      </c>
      <c r="W188" s="51">
        <f t="shared" si="6"/>
        <v>22250000</v>
      </c>
      <c r="X188" s="51">
        <f t="shared" si="6"/>
        <v>22250000</v>
      </c>
      <c r="Y188" s="51">
        <f t="shared" si="6"/>
        <v>22250000</v>
      </c>
      <c r="Z188" s="51">
        <f t="shared" si="6"/>
        <v>22250000</v>
      </c>
      <c r="AA188" s="51">
        <f t="shared" si="6"/>
        <v>22250000</v>
      </c>
      <c r="AB188" s="51">
        <f t="shared" si="6"/>
        <v>22250000</v>
      </c>
      <c r="AC188" s="51">
        <f t="shared" si="6"/>
        <v>22250000</v>
      </c>
      <c r="AD188" s="51">
        <f t="shared" si="6"/>
        <v>22250000</v>
      </c>
      <c r="AE188" s="51">
        <f t="shared" si="6"/>
        <v>22250000</v>
      </c>
      <c r="AF188" s="51">
        <f t="shared" si="6"/>
        <v>22250000</v>
      </c>
      <c r="AG188" s="51">
        <f t="shared" si="6"/>
        <v>22250000</v>
      </c>
      <c r="AH188" s="51">
        <f t="shared" si="6"/>
        <v>22250000</v>
      </c>
      <c r="AI188" s="51">
        <f t="shared" si="6"/>
        <v>22250000</v>
      </c>
      <c r="AJ188" s="51">
        <f t="shared" si="6"/>
        <v>22250000</v>
      </c>
      <c r="AK188" s="51">
        <f t="shared" si="6"/>
        <v>22250000</v>
      </c>
      <c r="AL188" s="51">
        <f t="shared" si="6"/>
        <v>22250000</v>
      </c>
      <c r="AM188" s="51">
        <f t="shared" si="6"/>
        <v>22250000</v>
      </c>
      <c r="AN188" s="51">
        <f t="shared" si="6"/>
        <v>22250000</v>
      </c>
      <c r="AO188" s="51">
        <f t="shared" si="6"/>
        <v>22250000</v>
      </c>
      <c r="AP188" s="51">
        <f>$C$172/2*$C$166+C166</f>
        <v>1022250000</v>
      </c>
    </row>
    <row r="189" spans="1:42" x14ac:dyDescent="0.2">
      <c r="B189" s="20" t="s">
        <v>179</v>
      </c>
      <c r="C189" s="17">
        <f>C188/(1+$F$166)^C187</f>
        <v>940900000</v>
      </c>
      <c r="D189" s="17">
        <f t="shared" ref="D189" si="7">D188/(1+$F$166)^D187</f>
        <v>21333512.311114524</v>
      </c>
      <c r="E189" s="52">
        <f t="shared" ref="E189" si="8">E188/(1+$F$166)^E187</f>
        <v>20454775.169819098</v>
      </c>
      <c r="F189" s="52">
        <f t="shared" ref="F189" si="9">F188/(1+$F$166)^F187</f>
        <v>19612233.61377148</v>
      </c>
      <c r="G189" s="52">
        <f t="shared" ref="G189" si="10">G188/(1+$F$166)^G187</f>
        <v>18804396.730240356</v>
      </c>
      <c r="H189" s="52">
        <f t="shared" ref="H189" si="11">H188/(1+$F$166)^H187</f>
        <v>18029835.017872553</v>
      </c>
      <c r="I189" s="52">
        <f t="shared" ref="I189" si="12">I188/(1+$F$166)^I187</f>
        <v>17287177.857130241</v>
      </c>
      <c r="J189" s="52">
        <f t="shared" ref="J189" si="13">J188/(1+$F$166)^J187</f>
        <v>16575111.084921995</v>
      </c>
      <c r="K189" s="17">
        <f t="shared" ref="K189" si="14">K188/(1+$F$166)^K187</f>
        <v>15892374.669135919</v>
      </c>
      <c r="L189" s="52">
        <f t="shared" ref="L189" si="15">L188/(1+$F$166)^L187</f>
        <v>15237760.478959806</v>
      </c>
      <c r="M189" s="52">
        <f t="shared" ref="M189" si="16">M188/(1+$F$166)^M187</f>
        <v>14610110.147042848</v>
      </c>
      <c r="N189" s="52">
        <f t="shared" ref="N189" si="17">N188/(1+$F$166)^N187</f>
        <v>14008313.019715859</v>
      </c>
      <c r="O189" s="17">
        <f t="shared" ref="O189" si="18">O188/(1+$F$166)^O187</f>
        <v>13431304.191642882</v>
      </c>
      <c r="P189" s="52">
        <f t="shared" ref="P189" si="19">P188/(1+$F$166)^P187</f>
        <v>12878062.621426405</v>
      </c>
      <c r="Q189" s="52">
        <f t="shared" ref="Q189" si="20">Q188/(1+$F$166)^Q187</f>
        <v>12347609.32483164</v>
      </c>
      <c r="R189" s="52">
        <f t="shared" ref="R189" si="21">R188/(1+$F$166)^R187</f>
        <v>11839005.642432733</v>
      </c>
      <c r="S189" s="52">
        <f t="shared" ref="S189" si="22">S188/(1+$F$166)^S187</f>
        <v>11351351.578615414</v>
      </c>
      <c r="T189" s="52">
        <f t="shared" ref="T189" si="23">T188/(1+$F$166)^T187</f>
        <v>10883784.208996909</v>
      </c>
      <c r="U189" s="52">
        <f t="shared" ref="U189" si="24">U188/(1+$F$166)^U187</f>
        <v>10435476.153444918</v>
      </c>
      <c r="V189" s="52">
        <f t="shared" ref="V189" si="25">V188/(1+$F$166)^V187</f>
        <v>10005634.11199367</v>
      </c>
      <c r="W189" s="52">
        <f t="shared" ref="W189" si="26">W188/(1+$F$166)^W187</f>
        <v>9593497.4610662665</v>
      </c>
      <c r="X189" s="52">
        <f t="shared" ref="X189" si="27">X188/(1+$F$166)^X187</f>
        <v>9198336.9075192399</v>
      </c>
      <c r="Y189" s="52">
        <f t="shared" ref="Y189" si="28">Y188/(1+$F$166)^Y187</f>
        <v>8819453.1981276777</v>
      </c>
      <c r="Z189" s="52">
        <f t="shared" ref="Z189" si="29">Z188/(1+$F$166)^Z187</f>
        <v>8456175.8822271992</v>
      </c>
      <c r="AA189" s="52">
        <f t="shared" ref="AA189" si="30">AA188/(1+$F$166)^AA187</f>
        <v>8107862.1253233096</v>
      </c>
      <c r="AB189" s="52">
        <f t="shared" ref="AB189" si="31">AB188/(1+$F$166)^AB187</f>
        <v>7773895.5715687182</v>
      </c>
      <c r="AC189" s="52">
        <f t="shared" ref="AC189" si="32">AC188/(1+$F$166)^AC187</f>
        <v>7453685.2530957274</v>
      </c>
      <c r="AD189" s="52">
        <f t="shared" ref="AD189" si="33">AD188/(1+$F$166)^AD187</f>
        <v>7146664.5442737285</v>
      </c>
      <c r="AE189" s="52">
        <f t="shared" ref="AE189" si="34">AE188/(1+$F$166)^AE187</f>
        <v>6852290.1590413153</v>
      </c>
      <c r="AF189" s="52">
        <f t="shared" ref="AF189" si="35">AF188/(1+$F$166)^AF187</f>
        <v>6570041.1895387322</v>
      </c>
      <c r="AG189" s="52">
        <f t="shared" ref="AG189" si="36">AG188/(1+$F$166)^AG187</f>
        <v>6299418.1843395075</v>
      </c>
      <c r="AH189" s="52">
        <f t="shared" ref="AH189" si="37">AH188/(1+$F$166)^AH187</f>
        <v>6039942.26465014</v>
      </c>
      <c r="AI189" s="52">
        <f t="shared" ref="AI189" si="38">AI188/(1+$F$166)^AI187</f>
        <v>5791154.2769139176</v>
      </c>
      <c r="AJ189" s="52">
        <f t="shared" ref="AJ189" si="39">AJ188/(1+$F$166)^AJ187</f>
        <v>5552613.9803193966</v>
      </c>
      <c r="AK189" s="52">
        <f t="shared" ref="AK189" si="40">AK188/(1+$F$166)^AK187</f>
        <v>5323899.2677757507</v>
      </c>
      <c r="AL189" s="52">
        <f t="shared" ref="AL189" si="41">AL188/(1+$F$166)^AL187</f>
        <v>5104605.4189765211</v>
      </c>
      <c r="AM189" s="52">
        <f t="shared" ref="AM189" si="42">AM188/(1+$F$166)^AM187</f>
        <v>4894344.3842300009</v>
      </c>
      <c r="AN189" s="52">
        <f t="shared" ref="AN189" si="43">AN188/(1+$F$166)^AN187</f>
        <v>4692744.0977889867</v>
      </c>
      <c r="AO189" s="52">
        <f t="shared" ref="AO189" si="44">AO188/(1+$F$166)^AO187</f>
        <v>4499447.8194647804</v>
      </c>
      <c r="AP189" s="52">
        <f t="shared" ref="AP189" si="45">AP188/(1+$F$166)^AP187</f>
        <v>198206855.22742414</v>
      </c>
    </row>
    <row r="190" spans="1:42" x14ac:dyDescent="0.2">
      <c r="B190" s="19" t="s">
        <v>184</v>
      </c>
      <c r="C190" s="53">
        <f>C189*C187</f>
        <v>0</v>
      </c>
      <c r="D190" s="53">
        <f t="shared" ref="D190:AP190" si="46">D189*D187</f>
        <v>21333512.311114524</v>
      </c>
      <c r="E190" s="47">
        <f t="shared" si="46"/>
        <v>40909550.339638196</v>
      </c>
      <c r="F190" s="47">
        <f t="shared" si="46"/>
        <v>58836700.841314435</v>
      </c>
      <c r="G190" s="47">
        <f t="shared" si="46"/>
        <v>75217586.920961425</v>
      </c>
      <c r="H190" s="47">
        <f t="shared" si="46"/>
        <v>90149175.08936277</v>
      </c>
      <c r="I190" s="47">
        <f t="shared" si="46"/>
        <v>103723067.14278144</v>
      </c>
      <c r="J190" s="47">
        <f t="shared" si="46"/>
        <v>116025777.59445396</v>
      </c>
      <c r="K190" s="53">
        <f t="shared" si="46"/>
        <v>127138997.35308735</v>
      </c>
      <c r="L190" s="47">
        <f t="shared" si="46"/>
        <v>137139844.31063825</v>
      </c>
      <c r="M190" s="47">
        <f t="shared" si="46"/>
        <v>146101101.47042847</v>
      </c>
      <c r="N190" s="47">
        <f t="shared" si="46"/>
        <v>154091443.21687445</v>
      </c>
      <c r="O190" s="53">
        <f t="shared" si="46"/>
        <v>161175650.2997146</v>
      </c>
      <c r="P190" s="47">
        <f t="shared" si="46"/>
        <v>167414814.07854328</v>
      </c>
      <c r="Q190" s="47">
        <f t="shared" si="46"/>
        <v>172866530.54764298</v>
      </c>
      <c r="R190" s="47">
        <f t="shared" si="46"/>
        <v>177585084.636491</v>
      </c>
      <c r="S190" s="47">
        <f t="shared" si="46"/>
        <v>181621625.25784662</v>
      </c>
      <c r="T190" s="47">
        <f t="shared" si="46"/>
        <v>185024331.55294746</v>
      </c>
      <c r="U190" s="47">
        <f t="shared" si="46"/>
        <v>187838570.76200852</v>
      </c>
      <c r="V190" s="47">
        <f t="shared" si="46"/>
        <v>190107048.12787974</v>
      </c>
      <c r="W190" s="47">
        <f t="shared" si="46"/>
        <v>191869949.22132534</v>
      </c>
      <c r="X190" s="47">
        <f t="shared" si="46"/>
        <v>193165075.05790403</v>
      </c>
      <c r="Y190" s="47">
        <f t="shared" si="46"/>
        <v>194027970.3588089</v>
      </c>
      <c r="Z190" s="47">
        <f t="shared" si="46"/>
        <v>194492045.29122558</v>
      </c>
      <c r="AA190" s="47">
        <f t="shared" si="46"/>
        <v>194588691.00775942</v>
      </c>
      <c r="AB190" s="47">
        <f t="shared" si="46"/>
        <v>194347389.28921795</v>
      </c>
      <c r="AC190" s="47">
        <f t="shared" si="46"/>
        <v>193795816.58048892</v>
      </c>
      <c r="AD190" s="47">
        <f t="shared" si="46"/>
        <v>192959942.69539067</v>
      </c>
      <c r="AE190" s="47">
        <f t="shared" si="46"/>
        <v>191864124.45315683</v>
      </c>
      <c r="AF190" s="47">
        <f t="shared" si="46"/>
        <v>190531194.49662322</v>
      </c>
      <c r="AG190" s="47">
        <f t="shared" si="46"/>
        <v>188982545.53018522</v>
      </c>
      <c r="AH190" s="47">
        <f t="shared" si="46"/>
        <v>187238210.20415434</v>
      </c>
      <c r="AI190" s="47">
        <f t="shared" si="46"/>
        <v>185316936.86124536</v>
      </c>
      <c r="AJ190" s="47">
        <f t="shared" si="46"/>
        <v>183236261.3505401</v>
      </c>
      <c r="AK190" s="47">
        <f t="shared" si="46"/>
        <v>181012575.10437551</v>
      </c>
      <c r="AL190" s="47">
        <f t="shared" si="46"/>
        <v>178661189.66417825</v>
      </c>
      <c r="AM190" s="47">
        <f t="shared" si="46"/>
        <v>176196397.83228004</v>
      </c>
      <c r="AN190" s="47">
        <f t="shared" si="46"/>
        <v>173631531.61819252</v>
      </c>
      <c r="AO190" s="47">
        <f t="shared" si="46"/>
        <v>170979017.13966167</v>
      </c>
      <c r="AP190" s="47">
        <f t="shared" si="46"/>
        <v>7730067353.8695412</v>
      </c>
    </row>
    <row r="191" spans="1:42" ht="34" x14ac:dyDescent="0.2">
      <c r="B191" s="43"/>
      <c r="C191" s="43"/>
      <c r="D191" s="43"/>
      <c r="E191" s="42"/>
      <c r="F191" s="42"/>
      <c r="G191" s="42"/>
      <c r="H191" s="42"/>
      <c r="I191" s="42"/>
      <c r="J191" s="42"/>
      <c r="K191" s="43"/>
      <c r="L191" s="42"/>
      <c r="M191" s="42"/>
      <c r="N191" s="42"/>
      <c r="O191" s="43"/>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54" t="s">
        <v>187</v>
      </c>
      <c r="AP191" s="44">
        <f>SUM(C190:AP190)/F169</f>
        <v>14.646896194579641</v>
      </c>
    </row>
    <row r="192" spans="1:42" ht="17" x14ac:dyDescent="0.2">
      <c r="B192" s="13"/>
      <c r="C192" s="13"/>
      <c r="D192" s="13"/>
      <c r="E192" s="49"/>
      <c r="F192" s="49"/>
      <c r="G192" s="49"/>
      <c r="H192" s="49"/>
      <c r="I192" s="49"/>
      <c r="J192" s="49"/>
      <c r="K192" s="13"/>
      <c r="L192" s="49"/>
      <c r="M192" s="49"/>
      <c r="N192" s="49"/>
      <c r="O192" s="13"/>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55" t="s">
        <v>189</v>
      </c>
      <c r="AP192" s="46">
        <f>AP191/2</f>
        <v>7.3234480972898206</v>
      </c>
    </row>
    <row r="193" spans="1:42" ht="34" x14ac:dyDescent="0.2">
      <c r="B193" s="19" t="s">
        <v>190</v>
      </c>
      <c r="C193" s="12"/>
      <c r="D193" s="12"/>
      <c r="E193" s="15"/>
      <c r="F193" s="15"/>
      <c r="G193" s="15"/>
      <c r="H193" s="15"/>
      <c r="I193" s="15"/>
      <c r="J193" s="15"/>
      <c r="K193" s="12"/>
      <c r="L193" s="15"/>
      <c r="M193" s="15"/>
      <c r="N193" s="15"/>
      <c r="O193" s="12"/>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56" t="s">
        <v>188</v>
      </c>
      <c r="AP193" s="48">
        <f>AP191/(1+F167/2)</f>
        <v>14.299071285558433</v>
      </c>
    </row>
    <row r="194" spans="1:42" ht="17" x14ac:dyDescent="0.2">
      <c r="B194" s="43"/>
      <c r="C194" s="43"/>
      <c r="D194" s="43"/>
      <c r="E194" s="42"/>
      <c r="F194" s="42"/>
      <c r="G194" s="42"/>
      <c r="H194" s="42"/>
      <c r="I194" s="42"/>
      <c r="J194" s="42"/>
      <c r="K194" s="43"/>
      <c r="L194" s="42"/>
      <c r="M194" s="42"/>
      <c r="N194" s="42"/>
      <c r="O194" s="43"/>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57" t="s">
        <v>189</v>
      </c>
      <c r="AP194" s="45">
        <f>AP193/2</f>
        <v>7.1495356427792167</v>
      </c>
    </row>
    <row r="195" spans="1:42" x14ac:dyDescent="0.2">
      <c r="B195" s="13"/>
      <c r="C195" s="13"/>
      <c r="D195" s="13"/>
      <c r="E195" s="49"/>
      <c r="F195" s="49"/>
      <c r="G195" s="49"/>
      <c r="H195" s="49"/>
      <c r="I195" s="49"/>
      <c r="J195" s="49"/>
      <c r="K195" s="13"/>
      <c r="L195" s="49"/>
      <c r="M195" s="49"/>
      <c r="N195" s="49"/>
      <c r="O195" s="13"/>
      <c r="P195" s="49"/>
      <c r="Q195" s="49"/>
      <c r="R195" s="49"/>
      <c r="S195" s="49"/>
      <c r="T195" s="49"/>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row>
    <row r="196" spans="1:42" x14ac:dyDescent="0.2">
      <c r="B196" s="19" t="s">
        <v>186</v>
      </c>
      <c r="C196" s="53">
        <f>C188*(C187^2+C187)</f>
        <v>0</v>
      </c>
      <c r="D196" s="53">
        <f t="shared" ref="D196:AP196" si="47">D188*(D187^2+D187)</f>
        <v>44500000</v>
      </c>
      <c r="E196" s="47">
        <f t="shared" si="47"/>
        <v>133500000</v>
      </c>
      <c r="F196" s="47">
        <f t="shared" si="47"/>
        <v>267000000</v>
      </c>
      <c r="G196" s="47">
        <f t="shared" si="47"/>
        <v>445000000</v>
      </c>
      <c r="H196" s="47">
        <f t="shared" si="47"/>
        <v>667500000</v>
      </c>
      <c r="I196" s="47">
        <f t="shared" si="47"/>
        <v>934500000</v>
      </c>
      <c r="J196" s="47">
        <f t="shared" si="47"/>
        <v>1246000000</v>
      </c>
      <c r="K196" s="53">
        <f t="shared" si="47"/>
        <v>1602000000</v>
      </c>
      <c r="L196" s="47">
        <f t="shared" si="47"/>
        <v>2002500000</v>
      </c>
      <c r="M196" s="47">
        <f t="shared" si="47"/>
        <v>2447500000</v>
      </c>
      <c r="N196" s="47">
        <f t="shared" si="47"/>
        <v>2937000000</v>
      </c>
      <c r="O196" s="53">
        <f t="shared" si="47"/>
        <v>3471000000</v>
      </c>
      <c r="P196" s="47">
        <f t="shared" si="47"/>
        <v>4049500000</v>
      </c>
      <c r="Q196" s="47">
        <f t="shared" si="47"/>
        <v>4672500000</v>
      </c>
      <c r="R196" s="47">
        <f t="shared" si="47"/>
        <v>5340000000</v>
      </c>
      <c r="S196" s="47">
        <f t="shared" si="47"/>
        <v>6052000000</v>
      </c>
      <c r="T196" s="47">
        <f t="shared" si="47"/>
        <v>6808500000</v>
      </c>
      <c r="U196" s="47">
        <f t="shared" si="47"/>
        <v>7609500000</v>
      </c>
      <c r="V196" s="47">
        <f t="shared" si="47"/>
        <v>8455000000</v>
      </c>
      <c r="W196" s="47">
        <f t="shared" si="47"/>
        <v>9345000000</v>
      </c>
      <c r="X196" s="47">
        <f t="shared" si="47"/>
        <v>10279500000</v>
      </c>
      <c r="Y196" s="47">
        <f t="shared" si="47"/>
        <v>11258500000</v>
      </c>
      <c r="Z196" s="47">
        <f t="shared" si="47"/>
        <v>12282000000</v>
      </c>
      <c r="AA196" s="47">
        <f t="shared" si="47"/>
        <v>13350000000</v>
      </c>
      <c r="AB196" s="47">
        <f t="shared" si="47"/>
        <v>14462500000</v>
      </c>
      <c r="AC196" s="47">
        <f t="shared" si="47"/>
        <v>15619500000</v>
      </c>
      <c r="AD196" s="47">
        <f t="shared" si="47"/>
        <v>16821000000</v>
      </c>
      <c r="AE196" s="47">
        <f t="shared" si="47"/>
        <v>18067000000</v>
      </c>
      <c r="AF196" s="47">
        <f t="shared" si="47"/>
        <v>19357500000</v>
      </c>
      <c r="AG196" s="47">
        <f t="shared" si="47"/>
        <v>20692500000</v>
      </c>
      <c r="AH196" s="47">
        <f t="shared" si="47"/>
        <v>22072000000</v>
      </c>
      <c r="AI196" s="47">
        <f t="shared" si="47"/>
        <v>23496000000</v>
      </c>
      <c r="AJ196" s="47">
        <f t="shared" si="47"/>
        <v>24964500000</v>
      </c>
      <c r="AK196" s="47">
        <f t="shared" si="47"/>
        <v>26477500000</v>
      </c>
      <c r="AL196" s="47">
        <f t="shared" si="47"/>
        <v>28035000000</v>
      </c>
      <c r="AM196" s="47">
        <f t="shared" si="47"/>
        <v>29637000000</v>
      </c>
      <c r="AN196" s="47">
        <f t="shared" si="47"/>
        <v>31283500000</v>
      </c>
      <c r="AO196" s="47">
        <f t="shared" si="47"/>
        <v>32974500000</v>
      </c>
      <c r="AP196" s="47">
        <f t="shared" si="47"/>
        <v>1594710000000</v>
      </c>
    </row>
    <row r="197" spans="1:42" x14ac:dyDescent="0.2">
      <c r="B197" s="13"/>
      <c r="C197" s="13"/>
      <c r="D197" s="13"/>
      <c r="E197" s="49"/>
      <c r="F197" s="49"/>
      <c r="G197" s="49"/>
      <c r="H197" s="49"/>
      <c r="I197" s="49"/>
      <c r="J197" s="49"/>
      <c r="K197" s="13"/>
      <c r="L197" s="49"/>
      <c r="M197" s="49"/>
      <c r="N197" s="49"/>
      <c r="O197" s="13"/>
      <c r="P197" s="49"/>
      <c r="Q197" s="49"/>
      <c r="R197" s="49"/>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67" t="s">
        <v>186</v>
      </c>
      <c r="AP197" s="68">
        <f>SUM(D196:AP196)/C171</f>
        <v>2162.1532575193964</v>
      </c>
    </row>
    <row r="198" spans="1:42" x14ac:dyDescent="0.2">
      <c r="AO198" s="65" t="s">
        <v>189</v>
      </c>
      <c r="AP198" s="66">
        <f>AP197/4</f>
        <v>540.53831437984911</v>
      </c>
    </row>
    <row r="200" spans="1:42" ht="25" x14ac:dyDescent="0.25">
      <c r="AN200" s="41"/>
    </row>
    <row r="202" spans="1:42" x14ac:dyDescent="0.2">
      <c r="A202" s="2" t="s">
        <v>191</v>
      </c>
      <c r="B202" s="19" t="s">
        <v>192</v>
      </c>
      <c r="C202" s="19" t="s">
        <v>11</v>
      </c>
      <c r="D202" s="19" t="s">
        <v>193</v>
      </c>
      <c r="E202" s="19" t="s">
        <v>194</v>
      </c>
      <c r="G202" s="2" t="s">
        <v>201</v>
      </c>
      <c r="I202" s="69" t="s">
        <v>195</v>
      </c>
      <c r="J202" s="69" t="s">
        <v>196</v>
      </c>
      <c r="K202" s="69" t="s">
        <v>197</v>
      </c>
      <c r="L202" s="69" t="s">
        <v>198</v>
      </c>
      <c r="M202" s="69" t="s">
        <v>199</v>
      </c>
      <c r="N202" s="69" t="s">
        <v>200</v>
      </c>
    </row>
    <row r="203" spans="1:42" x14ac:dyDescent="0.2">
      <c r="A203" s="2"/>
      <c r="B203" s="58"/>
      <c r="C203" s="59">
        <f>C171</f>
        <v>940900000</v>
      </c>
      <c r="D203" s="60">
        <f>$AP$192</f>
        <v>7.3234480972898206</v>
      </c>
      <c r="E203" s="61">
        <f>AP194</f>
        <v>7.1495356427792167</v>
      </c>
      <c r="G203" s="8">
        <f>-AP193*L203</f>
        <v>-13453996172.58193</v>
      </c>
      <c r="I203" s="70">
        <v>-0.1</v>
      </c>
      <c r="J203" s="71">
        <f>$F$167</f>
        <v>4.8649999999999999E-2</v>
      </c>
      <c r="K203" s="71">
        <f>J203+I203</f>
        <v>-5.1350000000000007E-2</v>
      </c>
      <c r="L203" s="72">
        <f>$C$171</f>
        <v>940900000</v>
      </c>
      <c r="M203" s="72">
        <f>L203+I203*$G$204</f>
        <v>1613599808.6290965</v>
      </c>
      <c r="N203" s="72">
        <f>M203+1/2*$G$205*I203^2</f>
        <v>4156562308.629097</v>
      </c>
    </row>
    <row r="204" spans="1:42" x14ac:dyDescent="0.2">
      <c r="B204" s="62">
        <v>0</v>
      </c>
      <c r="C204" s="63">
        <f>ABS(PV(B204,$C$170,$D$188,$C$167))</f>
        <v>867751000</v>
      </c>
      <c r="D204" s="60">
        <f t="shared" ref="D204:D229" si="48">$AP$192</f>
        <v>7.3234480972898206</v>
      </c>
      <c r="E204" s="61">
        <f>D204/(1+B204)</f>
        <v>7.3234480972898206</v>
      </c>
      <c r="G204" s="8">
        <f>G203/2</f>
        <v>-6726998086.2909651</v>
      </c>
      <c r="I204" s="70">
        <v>-0.09</v>
      </c>
      <c r="J204" s="71">
        <f t="shared" ref="J204:J223" si="49">$F$167</f>
        <v>4.8649999999999999E-2</v>
      </c>
      <c r="K204" s="71">
        <f t="shared" ref="K204:K223" si="50">J204+I204</f>
        <v>-4.1349999999999998E-2</v>
      </c>
      <c r="L204" s="72">
        <f t="shared" ref="L204:L223" si="51">$C$171</f>
        <v>940900000</v>
      </c>
      <c r="M204" s="72">
        <f t="shared" ref="M204:M223" si="52">L204+I204*$G$204</f>
        <v>1546329827.7661867</v>
      </c>
      <c r="N204" s="72">
        <f t="shared" ref="N204:N223" si="53">M204+1/2*$G$205*I204^2</f>
        <v>3606129452.7661867</v>
      </c>
    </row>
    <row r="205" spans="1:42" x14ac:dyDescent="0.2">
      <c r="B205" s="62">
        <v>0.01</v>
      </c>
      <c r="C205" s="63">
        <f t="shared" ref="C205:C229" si="54">ABS(PV(B205,$C$170,$D$188,$C$167))</f>
        <v>715628162.06555045</v>
      </c>
      <c r="D205" s="60">
        <f t="shared" si="48"/>
        <v>7.3234480972898206</v>
      </c>
      <c r="E205" s="61">
        <f t="shared" ref="E205:E229" si="55">D205/(1+B205)</f>
        <v>7.250938710187941</v>
      </c>
      <c r="G205" s="8">
        <f>SUM(C196:AP196)/4</f>
        <v>508592500000</v>
      </c>
      <c r="I205" s="70">
        <v>-0.08</v>
      </c>
      <c r="J205" s="71">
        <f t="shared" si="49"/>
        <v>4.8649999999999999E-2</v>
      </c>
      <c r="K205" s="71">
        <f t="shared" si="50"/>
        <v>-3.1350000000000003E-2</v>
      </c>
      <c r="L205" s="72">
        <f t="shared" si="51"/>
        <v>940900000</v>
      </c>
      <c r="M205" s="72">
        <f t="shared" si="52"/>
        <v>1479059846.9032772</v>
      </c>
      <c r="N205" s="72">
        <f t="shared" si="53"/>
        <v>3106555846.9032774</v>
      </c>
    </row>
    <row r="206" spans="1:42" x14ac:dyDescent="0.2">
      <c r="B206" s="62">
        <v>0.02</v>
      </c>
      <c r="C206" s="63">
        <f t="shared" si="54"/>
        <v>598583063.31677639</v>
      </c>
      <c r="D206" s="60">
        <f t="shared" si="48"/>
        <v>7.3234480972898206</v>
      </c>
      <c r="E206" s="61">
        <f t="shared" si="55"/>
        <v>7.1798510757743337</v>
      </c>
      <c r="I206" s="70">
        <v>-7.0000000000000007E-2</v>
      </c>
      <c r="J206" s="71">
        <f t="shared" si="49"/>
        <v>4.8649999999999999E-2</v>
      </c>
      <c r="K206" s="71">
        <f t="shared" si="50"/>
        <v>-2.1350000000000008E-2</v>
      </c>
      <c r="L206" s="72">
        <f t="shared" si="51"/>
        <v>940900000</v>
      </c>
      <c r="M206" s="72">
        <f t="shared" si="52"/>
        <v>1411789866.0403676</v>
      </c>
      <c r="N206" s="72">
        <f t="shared" si="53"/>
        <v>2657841491.0403681</v>
      </c>
    </row>
    <row r="207" spans="1:42" x14ac:dyDescent="0.2">
      <c r="B207" s="62">
        <v>0.03</v>
      </c>
      <c r="C207" s="63">
        <f t="shared" si="54"/>
        <v>507483102.47242212</v>
      </c>
      <c r="D207" s="60">
        <f t="shared" si="48"/>
        <v>7.3234480972898206</v>
      </c>
      <c r="E207" s="61">
        <f t="shared" si="55"/>
        <v>7.1101437837765245</v>
      </c>
      <c r="I207" s="70">
        <v>-0.06</v>
      </c>
      <c r="J207" s="71">
        <f t="shared" si="49"/>
        <v>4.8649999999999999E-2</v>
      </c>
      <c r="K207" s="71">
        <f t="shared" si="50"/>
        <v>-1.1349999999999999E-2</v>
      </c>
      <c r="L207" s="72">
        <f t="shared" si="51"/>
        <v>940900000</v>
      </c>
      <c r="M207" s="72">
        <f t="shared" si="52"/>
        <v>1344519885.1774578</v>
      </c>
      <c r="N207" s="72">
        <f t="shared" si="53"/>
        <v>2259986385.1774578</v>
      </c>
    </row>
    <row r="208" spans="1:42" x14ac:dyDescent="0.2">
      <c r="B208" s="62">
        <v>0.04</v>
      </c>
      <c r="C208" s="63">
        <f t="shared" si="54"/>
        <v>435755004.283095</v>
      </c>
      <c r="D208" s="60">
        <f t="shared" si="48"/>
        <v>7.3234480972898206</v>
      </c>
      <c r="E208" s="61">
        <f t="shared" si="55"/>
        <v>7.0417770166248275</v>
      </c>
      <c r="I208" s="70">
        <v>-0.05</v>
      </c>
      <c r="J208" s="71">
        <f t="shared" si="49"/>
        <v>4.8649999999999999E-2</v>
      </c>
      <c r="K208" s="71">
        <f t="shared" si="50"/>
        <v>-1.350000000000004E-3</v>
      </c>
      <c r="L208" s="72">
        <f t="shared" si="51"/>
        <v>940900000</v>
      </c>
      <c r="M208" s="72">
        <f t="shared" si="52"/>
        <v>1277249904.3145483</v>
      </c>
      <c r="N208" s="72">
        <f t="shared" si="53"/>
        <v>1912990529.3145485</v>
      </c>
    </row>
    <row r="209" spans="2:14" x14ac:dyDescent="0.2">
      <c r="B209" s="62">
        <v>0.05</v>
      </c>
      <c r="C209" s="63">
        <f t="shared" si="54"/>
        <v>378629304.09316158</v>
      </c>
      <c r="D209" s="60">
        <f t="shared" si="48"/>
        <v>7.3234480972898206</v>
      </c>
      <c r="E209" s="61">
        <f t="shared" si="55"/>
        <v>6.9747124736093529</v>
      </c>
      <c r="I209" s="70">
        <v>-0.04</v>
      </c>
      <c r="J209" s="71">
        <f t="shared" si="49"/>
        <v>4.8649999999999999E-2</v>
      </c>
      <c r="K209" s="71">
        <f t="shared" si="50"/>
        <v>8.649999999999998E-3</v>
      </c>
      <c r="L209" s="72">
        <f t="shared" si="51"/>
        <v>940900000</v>
      </c>
      <c r="M209" s="72">
        <f t="shared" si="52"/>
        <v>1209979923.4516387</v>
      </c>
      <c r="N209" s="72">
        <f t="shared" si="53"/>
        <v>1616853923.4516387</v>
      </c>
    </row>
    <row r="210" spans="2:14" x14ac:dyDescent="0.2">
      <c r="B210" s="62">
        <v>0.06</v>
      </c>
      <c r="C210" s="63">
        <f t="shared" si="54"/>
        <v>332617014.7704339</v>
      </c>
      <c r="D210" s="60">
        <f t="shared" si="48"/>
        <v>7.3234480972898206</v>
      </c>
      <c r="E210" s="61">
        <f t="shared" si="55"/>
        <v>6.9089132993300195</v>
      </c>
      <c r="I210" s="70">
        <v>-0.03</v>
      </c>
      <c r="J210" s="71">
        <f t="shared" si="49"/>
        <v>4.8649999999999999E-2</v>
      </c>
      <c r="K210" s="71">
        <f t="shared" si="50"/>
        <v>1.865E-2</v>
      </c>
      <c r="L210" s="72">
        <f t="shared" si="51"/>
        <v>940900000</v>
      </c>
      <c r="M210" s="72">
        <f t="shared" si="52"/>
        <v>1142709942.5887289</v>
      </c>
      <c r="N210" s="72">
        <f t="shared" si="53"/>
        <v>1371576567.5887289</v>
      </c>
    </row>
    <row r="211" spans="2:14" x14ac:dyDescent="0.2">
      <c r="B211" s="62">
        <v>7.0000000000000007E-2</v>
      </c>
      <c r="C211" s="63">
        <f t="shared" si="54"/>
        <v>295144729.72612065</v>
      </c>
      <c r="D211" s="60">
        <f t="shared" si="48"/>
        <v>7.3234480972898206</v>
      </c>
      <c r="E211" s="61">
        <f t="shared" si="55"/>
        <v>6.8443440161587104</v>
      </c>
      <c r="I211" s="70">
        <v>-0.02</v>
      </c>
      <c r="J211" s="71">
        <f t="shared" si="49"/>
        <v>4.8649999999999999E-2</v>
      </c>
      <c r="K211" s="71">
        <f t="shared" si="50"/>
        <v>2.8649999999999998E-2</v>
      </c>
      <c r="L211" s="72">
        <f t="shared" si="51"/>
        <v>940900000</v>
      </c>
      <c r="M211" s="72">
        <f t="shared" si="52"/>
        <v>1075439961.7258193</v>
      </c>
      <c r="N211" s="72">
        <f t="shared" si="53"/>
        <v>1177158461.7258193</v>
      </c>
    </row>
    <row r="212" spans="2:14" x14ac:dyDescent="0.2">
      <c r="B212" s="62">
        <v>0.08</v>
      </c>
      <c r="C212" s="63">
        <f t="shared" si="54"/>
        <v>264298508.12333217</v>
      </c>
      <c r="D212" s="60">
        <f t="shared" si="48"/>
        <v>7.3234480972898206</v>
      </c>
      <c r="E212" s="61">
        <f t="shared" si="55"/>
        <v>6.7809704604535375</v>
      </c>
      <c r="I212" s="70">
        <v>-0.01</v>
      </c>
      <c r="J212" s="71">
        <f t="shared" si="49"/>
        <v>4.8649999999999999E-2</v>
      </c>
      <c r="K212" s="71">
        <f t="shared" si="50"/>
        <v>3.8649999999999997E-2</v>
      </c>
      <c r="L212" s="72">
        <f t="shared" si="51"/>
        <v>940900000</v>
      </c>
      <c r="M212" s="72">
        <f t="shared" si="52"/>
        <v>1008169980.8629097</v>
      </c>
      <c r="N212" s="72">
        <f t="shared" si="53"/>
        <v>1033599605.8629097</v>
      </c>
    </row>
    <row r="213" spans="2:14" x14ac:dyDescent="0.2">
      <c r="B213" s="62">
        <v>0.09</v>
      </c>
      <c r="C213" s="63">
        <f t="shared" si="54"/>
        <v>238642912.83799827</v>
      </c>
      <c r="D213" s="60">
        <f t="shared" si="48"/>
        <v>7.3234480972898206</v>
      </c>
      <c r="E213" s="61">
        <f t="shared" si="55"/>
        <v>6.718759722284239</v>
      </c>
      <c r="I213" s="70">
        <v>0</v>
      </c>
      <c r="J213" s="71">
        <f t="shared" si="49"/>
        <v>4.8649999999999999E-2</v>
      </c>
      <c r="K213" s="71">
        <f t="shared" si="50"/>
        <v>4.8649999999999999E-2</v>
      </c>
      <c r="L213" s="72">
        <f t="shared" si="51"/>
        <v>940900000</v>
      </c>
      <c r="M213" s="72">
        <f t="shared" si="52"/>
        <v>940900000</v>
      </c>
      <c r="N213" s="72">
        <f t="shared" si="53"/>
        <v>940900000</v>
      </c>
    </row>
    <row r="214" spans="2:14" x14ac:dyDescent="0.2">
      <c r="B214" s="62">
        <v>0.1</v>
      </c>
      <c r="C214" s="63">
        <f t="shared" si="54"/>
        <v>217092290.63917494</v>
      </c>
      <c r="D214" s="60">
        <f t="shared" si="48"/>
        <v>7.3234480972898206</v>
      </c>
      <c r="E214" s="61">
        <f t="shared" si="55"/>
        <v>6.6576800884452911</v>
      </c>
      <c r="I214" s="70">
        <v>0.01</v>
      </c>
      <c r="J214" s="71">
        <f t="shared" si="49"/>
        <v>4.8649999999999999E-2</v>
      </c>
      <c r="K214" s="71">
        <f t="shared" si="50"/>
        <v>5.8650000000000001E-2</v>
      </c>
      <c r="L214" s="72">
        <f t="shared" si="51"/>
        <v>940900000</v>
      </c>
      <c r="M214" s="72">
        <f t="shared" si="52"/>
        <v>873630019.13709033</v>
      </c>
      <c r="N214" s="72">
        <f t="shared" si="53"/>
        <v>899059644.13709033</v>
      </c>
    </row>
    <row r="215" spans="2:14" x14ac:dyDescent="0.2">
      <c r="B215" s="62">
        <v>0.11</v>
      </c>
      <c r="C215" s="63">
        <f t="shared" si="54"/>
        <v>198818594.63450965</v>
      </c>
      <c r="D215" s="60">
        <f t="shared" si="48"/>
        <v>7.3234480972898206</v>
      </c>
      <c r="E215" s="61">
        <f t="shared" si="55"/>
        <v>6.5977009885493869</v>
      </c>
      <c r="I215" s="70">
        <v>0.02</v>
      </c>
      <c r="J215" s="71">
        <f t="shared" si="49"/>
        <v>4.8649999999999999E-2</v>
      </c>
      <c r="K215" s="71">
        <f t="shared" si="50"/>
        <v>6.8650000000000003E-2</v>
      </c>
      <c r="L215" s="72">
        <f t="shared" si="51"/>
        <v>940900000</v>
      </c>
      <c r="M215" s="72">
        <f t="shared" si="52"/>
        <v>806360038.27418065</v>
      </c>
      <c r="N215" s="72">
        <f t="shared" si="53"/>
        <v>908078538.27418065</v>
      </c>
    </row>
    <row r="216" spans="2:14" x14ac:dyDescent="0.2">
      <c r="B216" s="62">
        <v>0.12</v>
      </c>
      <c r="C216" s="63">
        <f t="shared" si="54"/>
        <v>183184926.94722411</v>
      </c>
      <c r="D216" s="60">
        <f t="shared" si="48"/>
        <v>7.3234480972898206</v>
      </c>
      <c r="E216" s="61">
        <f t="shared" si="55"/>
        <v>6.538792944008768</v>
      </c>
      <c r="I216" s="70">
        <v>0.03</v>
      </c>
      <c r="J216" s="71">
        <f t="shared" si="49"/>
        <v>4.8649999999999999E-2</v>
      </c>
      <c r="K216" s="71">
        <f t="shared" si="50"/>
        <v>7.8649999999999998E-2</v>
      </c>
      <c r="L216" s="72">
        <f t="shared" si="51"/>
        <v>940900000</v>
      </c>
      <c r="M216" s="72">
        <f t="shared" si="52"/>
        <v>739090057.4112711</v>
      </c>
      <c r="N216" s="72">
        <f t="shared" si="53"/>
        <v>967956682.4112711</v>
      </c>
    </row>
    <row r="217" spans="2:14" x14ac:dyDescent="0.2">
      <c r="B217" s="62">
        <v>0.13</v>
      </c>
      <c r="C217" s="63">
        <f t="shared" si="54"/>
        <v>169697298.05831218</v>
      </c>
      <c r="D217" s="60">
        <f t="shared" si="48"/>
        <v>7.3234480972898206</v>
      </c>
      <c r="E217" s="61">
        <f t="shared" si="55"/>
        <v>6.4809275197255056</v>
      </c>
      <c r="I217" s="70">
        <v>0.04</v>
      </c>
      <c r="J217" s="71">
        <f t="shared" si="49"/>
        <v>4.8649999999999999E-2</v>
      </c>
      <c r="K217" s="71">
        <f t="shared" si="50"/>
        <v>8.8650000000000007E-2</v>
      </c>
      <c r="L217" s="72">
        <f t="shared" si="51"/>
        <v>940900000</v>
      </c>
      <c r="M217" s="72">
        <f t="shared" si="52"/>
        <v>671820076.54836142</v>
      </c>
      <c r="N217" s="72">
        <f t="shared" si="53"/>
        <v>1078694076.5483613</v>
      </c>
    </row>
    <row r="218" spans="2:14" x14ac:dyDescent="0.2">
      <c r="B218" s="62">
        <v>0.14000000000000001</v>
      </c>
      <c r="C218" s="63">
        <f t="shared" si="54"/>
        <v>157969369.49650133</v>
      </c>
      <c r="D218" s="60">
        <f t="shared" si="48"/>
        <v>7.3234480972898206</v>
      </c>
      <c r="E218" s="61">
        <f t="shared" si="55"/>
        <v>6.4240772783244031</v>
      </c>
      <c r="I218" s="70">
        <v>0.05</v>
      </c>
      <c r="J218" s="71">
        <f t="shared" si="49"/>
        <v>4.8649999999999999E-2</v>
      </c>
      <c r="K218" s="71">
        <f t="shared" si="50"/>
        <v>9.8650000000000002E-2</v>
      </c>
      <c r="L218" s="72">
        <f t="shared" si="51"/>
        <v>940900000</v>
      </c>
      <c r="M218" s="72">
        <f t="shared" si="52"/>
        <v>604550095.68545175</v>
      </c>
      <c r="N218" s="72">
        <f t="shared" si="53"/>
        <v>1240290720.685452</v>
      </c>
    </row>
    <row r="219" spans="2:14" x14ac:dyDescent="0.2">
      <c r="B219" s="62">
        <v>0.15</v>
      </c>
      <c r="C219" s="63">
        <f t="shared" si="54"/>
        <v>147696508.40612257</v>
      </c>
      <c r="D219" s="60">
        <f t="shared" si="48"/>
        <v>7.3234480972898206</v>
      </c>
      <c r="E219" s="61">
        <f t="shared" si="55"/>
        <v>6.3682157367737577</v>
      </c>
      <c r="I219" s="70">
        <v>0.06</v>
      </c>
      <c r="J219" s="71">
        <f t="shared" si="49"/>
        <v>4.8649999999999999E-2</v>
      </c>
      <c r="K219" s="71">
        <f t="shared" si="50"/>
        <v>0.10865</v>
      </c>
      <c r="L219" s="72">
        <f t="shared" si="51"/>
        <v>940900000</v>
      </c>
      <c r="M219" s="72">
        <f t="shared" si="52"/>
        <v>537280114.82254219</v>
      </c>
      <c r="N219" s="72">
        <f t="shared" si="53"/>
        <v>1452746614.8225422</v>
      </c>
    </row>
    <row r="220" spans="2:14" x14ac:dyDescent="0.2">
      <c r="B220" s="62">
        <v>0.16</v>
      </c>
      <c r="C220" s="63">
        <f t="shared" si="54"/>
        <v>138636563.03719112</v>
      </c>
      <c r="D220" s="60">
        <f t="shared" si="48"/>
        <v>7.3234480972898206</v>
      </c>
      <c r="E220" s="61">
        <f t="shared" si="55"/>
        <v>6.3133173252498453</v>
      </c>
      <c r="I220" s="70">
        <v>7.0000000000000007E-2</v>
      </c>
      <c r="J220" s="71">
        <f t="shared" si="49"/>
        <v>4.8649999999999999E-2</v>
      </c>
      <c r="K220" s="71">
        <f t="shared" si="50"/>
        <v>0.11865000000000001</v>
      </c>
      <c r="L220" s="72">
        <f t="shared" si="51"/>
        <v>940900000</v>
      </c>
      <c r="M220" s="72">
        <f t="shared" si="52"/>
        <v>470010133.9596324</v>
      </c>
      <c r="N220" s="72">
        <f t="shared" si="53"/>
        <v>1716061758.9596326</v>
      </c>
    </row>
    <row r="221" spans="2:14" x14ac:dyDescent="0.2">
      <c r="B221" s="62">
        <v>0.17</v>
      </c>
      <c r="C221" s="63">
        <f t="shared" si="54"/>
        <v>130595519.90658355</v>
      </c>
      <c r="D221" s="60">
        <f t="shared" si="48"/>
        <v>7.3234480972898206</v>
      </c>
      <c r="E221" s="61">
        <f t="shared" si="55"/>
        <v>6.2593573481109583</v>
      </c>
      <c r="I221" s="70">
        <v>0.08</v>
      </c>
      <c r="J221" s="71">
        <f t="shared" si="49"/>
        <v>4.8649999999999999E-2</v>
      </c>
      <c r="K221" s="71">
        <f t="shared" si="50"/>
        <v>0.12864999999999999</v>
      </c>
      <c r="L221" s="72">
        <f t="shared" si="51"/>
        <v>940900000</v>
      </c>
      <c r="M221" s="72">
        <f t="shared" si="52"/>
        <v>402740153.09672284</v>
      </c>
      <c r="N221" s="72">
        <f t="shared" si="53"/>
        <v>2030236153.0967228</v>
      </c>
    </row>
    <row r="222" spans="2:14" x14ac:dyDescent="0.2">
      <c r="B222" s="62">
        <v>0.18</v>
      </c>
      <c r="C222" s="63">
        <f t="shared" si="54"/>
        <v>123416729.2607864</v>
      </c>
      <c r="D222" s="60">
        <f t="shared" si="48"/>
        <v>7.3234480972898206</v>
      </c>
      <c r="E222" s="61">
        <f t="shared" si="55"/>
        <v>6.2063119468557808</v>
      </c>
      <c r="I222" s="70">
        <v>0.09</v>
      </c>
      <c r="J222" s="71">
        <f t="shared" si="49"/>
        <v>4.8649999999999999E-2</v>
      </c>
      <c r="K222" s="71">
        <f t="shared" si="50"/>
        <v>0.13865</v>
      </c>
      <c r="L222" s="72">
        <f t="shared" si="51"/>
        <v>940900000</v>
      </c>
      <c r="M222" s="72">
        <f t="shared" si="52"/>
        <v>335470172.23381317</v>
      </c>
      <c r="N222" s="72">
        <f t="shared" si="53"/>
        <v>2395269797.2338133</v>
      </c>
    </row>
    <row r="223" spans="2:14" x14ac:dyDescent="0.2">
      <c r="B223" s="62">
        <v>0.19</v>
      </c>
      <c r="C223" s="63">
        <f t="shared" si="54"/>
        <v>116972755.42870402</v>
      </c>
      <c r="D223" s="60">
        <f t="shared" si="48"/>
        <v>7.3234480972898206</v>
      </c>
      <c r="E223" s="61">
        <f t="shared" si="55"/>
        <v>6.1541580649494296</v>
      </c>
      <c r="I223" s="70">
        <v>0.1</v>
      </c>
      <c r="J223" s="71">
        <f t="shared" si="49"/>
        <v>4.8649999999999999E-2</v>
      </c>
      <c r="K223" s="71">
        <f t="shared" si="50"/>
        <v>0.14865</v>
      </c>
      <c r="L223" s="72">
        <f t="shared" si="51"/>
        <v>940900000</v>
      </c>
      <c r="M223" s="72">
        <f t="shared" si="52"/>
        <v>268200191.37090349</v>
      </c>
      <c r="N223" s="72">
        <f t="shared" si="53"/>
        <v>2811162691.370904</v>
      </c>
    </row>
    <row r="224" spans="2:14" x14ac:dyDescent="0.2">
      <c r="B224" s="62">
        <v>0.2</v>
      </c>
      <c r="C224" s="63">
        <f t="shared" si="54"/>
        <v>111159170.37524104</v>
      </c>
      <c r="D224" s="60">
        <f t="shared" si="48"/>
        <v>7.3234480972898206</v>
      </c>
      <c r="E224" s="61">
        <f t="shared" si="55"/>
        <v>6.102873414408184</v>
      </c>
    </row>
    <row r="225" spans="1:6" x14ac:dyDescent="0.2">
      <c r="B225" s="62">
        <v>0.21</v>
      </c>
      <c r="C225" s="63">
        <f t="shared" si="54"/>
        <v>105889794.95476215</v>
      </c>
      <c r="D225" s="60">
        <f t="shared" si="48"/>
        <v>7.3234480972898206</v>
      </c>
      <c r="E225" s="61">
        <f t="shared" si="55"/>
        <v>6.0524364440411746</v>
      </c>
    </row>
    <row r="226" spans="1:6" x14ac:dyDescent="0.2">
      <c r="B226" s="62">
        <v>0.22</v>
      </c>
      <c r="C226" s="63">
        <f t="shared" si="54"/>
        <v>101093025.55865088</v>
      </c>
      <c r="D226" s="60">
        <f t="shared" si="48"/>
        <v>7.3234480972898206</v>
      </c>
      <c r="E226" s="61">
        <f t="shared" si="55"/>
        <v>6.0028263092539511</v>
      </c>
    </row>
    <row r="227" spans="1:6" x14ac:dyDescent="0.2">
      <c r="B227" s="62">
        <v>0.23</v>
      </c>
      <c r="C227" s="63">
        <f t="shared" si="54"/>
        <v>96708979.669223413</v>
      </c>
      <c r="D227" s="60">
        <f t="shared" si="48"/>
        <v>7.3234480972898206</v>
      </c>
      <c r="E227" s="61">
        <f t="shared" si="55"/>
        <v>5.954022843325057</v>
      </c>
    </row>
    <row r="228" spans="1:6" x14ac:dyDescent="0.2">
      <c r="B228" s="62">
        <v>0.24</v>
      </c>
      <c r="C228" s="63">
        <f t="shared" si="54"/>
        <v>92687263.147415429</v>
      </c>
      <c r="D228" s="60">
        <f t="shared" si="48"/>
        <v>7.3234480972898206</v>
      </c>
      <c r="E228" s="61">
        <f t="shared" si="55"/>
        <v>5.9060065300724363</v>
      </c>
    </row>
    <row r="229" spans="1:6" x14ac:dyDescent="0.2">
      <c r="B229" s="62">
        <v>0.25</v>
      </c>
      <c r="C229" s="63">
        <f t="shared" si="54"/>
        <v>88985212.504700392</v>
      </c>
      <c r="D229" s="60">
        <f t="shared" si="48"/>
        <v>7.3234480972898206</v>
      </c>
      <c r="E229" s="61">
        <f t="shared" si="55"/>
        <v>5.8587584778318567</v>
      </c>
    </row>
    <row r="237" spans="1:6" ht="16" customHeight="1" x14ac:dyDescent="0.2">
      <c r="A237" s="2" t="s">
        <v>202</v>
      </c>
      <c r="B237" s="110" t="s">
        <v>203</v>
      </c>
      <c r="C237" s="110"/>
      <c r="D237" s="110"/>
      <c r="E237" s="110"/>
      <c r="F237" s="73"/>
    </row>
    <row r="238" spans="1:6" x14ac:dyDescent="0.2">
      <c r="B238" s="110"/>
      <c r="C238" s="110"/>
      <c r="D238" s="110"/>
      <c r="E238" s="110"/>
      <c r="F238" s="1"/>
    </row>
    <row r="239" spans="1:6" x14ac:dyDescent="0.2">
      <c r="B239" s="110"/>
      <c r="C239" s="110"/>
      <c r="D239" s="110"/>
      <c r="E239" s="110"/>
      <c r="F239" s="73"/>
    </row>
    <row r="240" spans="1:6" x14ac:dyDescent="0.2">
      <c r="B240" s="110"/>
      <c r="C240" s="110"/>
      <c r="D240" s="110"/>
      <c r="E240" s="110"/>
      <c r="F240" s="1"/>
    </row>
    <row r="241" spans="1:6" ht="76" customHeight="1" x14ac:dyDescent="0.2">
      <c r="B241" s="110" t="s">
        <v>204</v>
      </c>
      <c r="C241" s="110"/>
      <c r="D241" s="110"/>
      <c r="E241" s="110"/>
    </row>
    <row r="242" spans="1:6" ht="16" customHeight="1" x14ac:dyDescent="0.2">
      <c r="B242" s="64"/>
      <c r="C242" s="64"/>
      <c r="D242" s="64"/>
      <c r="E242" s="64"/>
    </row>
    <row r="243" spans="1:6" x14ac:dyDescent="0.2">
      <c r="B243" s="64"/>
      <c r="C243" s="64"/>
      <c r="D243" s="64"/>
      <c r="E243" s="64"/>
    </row>
    <row r="244" spans="1:6" x14ac:dyDescent="0.2">
      <c r="B244" s="64"/>
      <c r="C244" s="64"/>
      <c r="D244" s="64"/>
      <c r="E244" s="64"/>
    </row>
    <row r="245" spans="1:6" ht="17" thickBot="1" x14ac:dyDescent="0.25">
      <c r="A245" s="111" t="s">
        <v>205</v>
      </c>
      <c r="B245" s="111"/>
      <c r="C245" s="111"/>
      <c r="D245" s="111"/>
      <c r="E245" s="111"/>
      <c r="F245" s="111"/>
    </row>
    <row r="246" spans="1:6" x14ac:dyDescent="0.2">
      <c r="B246" s="64"/>
      <c r="C246" s="64"/>
      <c r="D246" s="64"/>
      <c r="E246" s="64"/>
    </row>
    <row r="247" spans="1:6" ht="17" customHeight="1" x14ac:dyDescent="0.2">
      <c r="B247" s="64" t="s">
        <v>0</v>
      </c>
      <c r="C247" s="110" t="s">
        <v>206</v>
      </c>
      <c r="D247" s="110"/>
      <c r="E247" s="110"/>
      <c r="F247" s="110"/>
    </row>
    <row r="248" spans="1:6" x14ac:dyDescent="0.2">
      <c r="C248" s="110"/>
      <c r="D248" s="110"/>
      <c r="E248" s="110"/>
      <c r="F248" s="110"/>
    </row>
    <row r="249" spans="1:6" x14ac:dyDescent="0.2">
      <c r="C249" s="110"/>
      <c r="D249" s="110"/>
      <c r="E249" s="110"/>
      <c r="F249" s="110"/>
    </row>
    <row r="250" spans="1:6" x14ac:dyDescent="0.2">
      <c r="C250" s="110"/>
      <c r="D250" s="110"/>
      <c r="E250" s="110"/>
      <c r="F250" s="110"/>
    </row>
    <row r="251" spans="1:6" x14ac:dyDescent="0.2">
      <c r="C251" s="110"/>
      <c r="D251" s="110"/>
      <c r="E251" s="110"/>
      <c r="F251" s="110"/>
    </row>
    <row r="252" spans="1:6" x14ac:dyDescent="0.2">
      <c r="C252" s="110"/>
      <c r="D252" s="110"/>
      <c r="E252" s="110"/>
      <c r="F252" s="110"/>
    </row>
    <row r="253" spans="1:6" x14ac:dyDescent="0.2">
      <c r="C253" s="110"/>
      <c r="D253" s="110"/>
      <c r="E253" s="110"/>
      <c r="F253" s="110"/>
    </row>
    <row r="254" spans="1:6" x14ac:dyDescent="0.2">
      <c r="C254" s="110"/>
      <c r="D254" s="110"/>
      <c r="E254" s="110"/>
      <c r="F254" s="110"/>
    </row>
    <row r="255" spans="1:6" x14ac:dyDescent="0.2">
      <c r="A255" s="74"/>
      <c r="B255" s="74"/>
      <c r="C255" s="74"/>
      <c r="D255" s="74"/>
      <c r="E255" s="74"/>
      <c r="F255" s="74"/>
    </row>
    <row r="257" spans="1:6" ht="16" customHeight="1" x14ac:dyDescent="0.2">
      <c r="B257" t="s">
        <v>8</v>
      </c>
      <c r="C257" s="110" t="s">
        <v>207</v>
      </c>
      <c r="D257" s="110"/>
      <c r="E257" s="110"/>
      <c r="F257" s="110"/>
    </row>
    <row r="258" spans="1:6" x14ac:dyDescent="0.2">
      <c r="C258" s="110"/>
      <c r="D258" s="110"/>
      <c r="E258" s="110"/>
      <c r="F258" s="110"/>
    </row>
    <row r="259" spans="1:6" x14ac:dyDescent="0.2">
      <c r="C259" s="110"/>
      <c r="D259" s="110"/>
      <c r="E259" s="110"/>
      <c r="F259" s="110"/>
    </row>
    <row r="260" spans="1:6" x14ac:dyDescent="0.2">
      <c r="C260" s="110"/>
      <c r="D260" s="110"/>
      <c r="E260" s="110"/>
      <c r="F260" s="110"/>
    </row>
    <row r="261" spans="1:6" x14ac:dyDescent="0.2">
      <c r="C261" s="110"/>
      <c r="D261" s="110"/>
      <c r="E261" s="110"/>
      <c r="F261" s="110"/>
    </row>
    <row r="262" spans="1:6" x14ac:dyDescent="0.2">
      <c r="C262" s="110"/>
      <c r="D262" s="110"/>
      <c r="E262" s="110"/>
      <c r="F262" s="110"/>
    </row>
    <row r="263" spans="1:6" x14ac:dyDescent="0.2">
      <c r="C263" s="110"/>
      <c r="D263" s="110"/>
      <c r="E263" s="110"/>
      <c r="F263" s="110"/>
    </row>
    <row r="264" spans="1:6" x14ac:dyDescent="0.2">
      <c r="C264" s="110"/>
      <c r="D264" s="110"/>
      <c r="E264" s="110"/>
      <c r="F264" s="110"/>
    </row>
    <row r="265" spans="1:6" x14ac:dyDescent="0.2">
      <c r="C265" s="110"/>
      <c r="D265" s="110"/>
      <c r="E265" s="110"/>
      <c r="F265" s="110"/>
    </row>
    <row r="266" spans="1:6" x14ac:dyDescent="0.2">
      <c r="C266" s="110"/>
      <c r="D266" s="110"/>
      <c r="E266" s="110"/>
      <c r="F266" s="110"/>
    </row>
    <row r="267" spans="1:6" x14ac:dyDescent="0.2">
      <c r="C267" s="110"/>
      <c r="D267" s="110"/>
      <c r="E267" s="110"/>
      <c r="F267" s="110"/>
    </row>
    <row r="268" spans="1:6" ht="1" customHeight="1" x14ac:dyDescent="0.2">
      <c r="C268" s="110"/>
      <c r="D268" s="110"/>
      <c r="E268" s="110"/>
      <c r="F268" s="110"/>
    </row>
    <row r="269" spans="1:6" x14ac:dyDescent="0.2">
      <c r="A269" s="74"/>
      <c r="B269" s="74"/>
      <c r="C269" s="74"/>
      <c r="D269" s="74"/>
      <c r="E269" s="74"/>
      <c r="F269" s="74"/>
    </row>
    <row r="271" spans="1:6" ht="16" customHeight="1" x14ac:dyDescent="0.2">
      <c r="B271" t="s">
        <v>13</v>
      </c>
      <c r="C271" s="110" t="s">
        <v>208</v>
      </c>
      <c r="D271" s="110"/>
      <c r="E271" s="110"/>
      <c r="F271" s="110"/>
    </row>
    <row r="272" spans="1:6" x14ac:dyDescent="0.2">
      <c r="C272" s="110"/>
      <c r="D272" s="110"/>
      <c r="E272" s="110"/>
      <c r="F272" s="110"/>
    </row>
    <row r="273" spans="1:6" x14ac:dyDescent="0.2">
      <c r="C273" s="110"/>
      <c r="D273" s="110"/>
      <c r="E273" s="110"/>
      <c r="F273" s="110"/>
    </row>
    <row r="274" spans="1:6" x14ac:dyDescent="0.2">
      <c r="C274" s="110"/>
      <c r="D274" s="110"/>
      <c r="E274" s="110"/>
      <c r="F274" s="110"/>
    </row>
    <row r="275" spans="1:6" x14ac:dyDescent="0.2">
      <c r="C275" s="110"/>
      <c r="D275" s="110"/>
      <c r="E275" s="110"/>
      <c r="F275" s="110"/>
    </row>
    <row r="276" spans="1:6" x14ac:dyDescent="0.2">
      <c r="C276" s="110"/>
      <c r="D276" s="110"/>
      <c r="E276" s="110"/>
      <c r="F276" s="110"/>
    </row>
    <row r="277" spans="1:6" x14ac:dyDescent="0.2">
      <c r="C277" s="110"/>
      <c r="D277" s="110"/>
      <c r="E277" s="110"/>
      <c r="F277" s="110"/>
    </row>
    <row r="279" spans="1:6" x14ac:dyDescent="0.2">
      <c r="A279" s="74"/>
      <c r="B279" s="74"/>
      <c r="C279" s="74"/>
      <c r="D279" s="74"/>
      <c r="E279" s="74"/>
      <c r="F279" s="74"/>
    </row>
    <row r="281" spans="1:6" x14ac:dyDescent="0.2">
      <c r="B281" t="s">
        <v>170</v>
      </c>
    </row>
    <row r="282" spans="1:6" ht="16" customHeight="1" x14ac:dyDescent="0.2">
      <c r="C282" s="110" t="s">
        <v>209</v>
      </c>
      <c r="D282" s="110"/>
      <c r="E282" s="110"/>
      <c r="F282" s="110"/>
    </row>
    <row r="283" spans="1:6" x14ac:dyDescent="0.2">
      <c r="C283" s="110"/>
      <c r="D283" s="110"/>
      <c r="E283" s="110"/>
      <c r="F283" s="110"/>
    </row>
    <row r="284" spans="1:6" x14ac:dyDescent="0.2">
      <c r="C284" s="110"/>
      <c r="D284" s="110"/>
      <c r="E284" s="110"/>
      <c r="F284" s="110"/>
    </row>
    <row r="285" spans="1:6" x14ac:dyDescent="0.2">
      <c r="C285" s="110"/>
      <c r="D285" s="110"/>
      <c r="E285" s="110"/>
      <c r="F285" s="110"/>
    </row>
    <row r="286" spans="1:6" x14ac:dyDescent="0.2">
      <c r="C286" s="110"/>
      <c r="D286" s="110"/>
      <c r="E286" s="110"/>
      <c r="F286" s="110"/>
    </row>
    <row r="287" spans="1:6" x14ac:dyDescent="0.2">
      <c r="C287" s="110"/>
      <c r="D287" s="110"/>
      <c r="E287" s="110"/>
      <c r="F287" s="110"/>
    </row>
    <row r="288" spans="1:6" x14ac:dyDescent="0.2">
      <c r="C288" s="110"/>
      <c r="D288" s="110"/>
      <c r="E288" s="110"/>
      <c r="F288" s="110"/>
    </row>
    <row r="289" spans="3:6" x14ac:dyDescent="0.2">
      <c r="C289" s="110"/>
      <c r="D289" s="110"/>
      <c r="E289" s="110"/>
      <c r="F289" s="110"/>
    </row>
    <row r="290" spans="3:6" x14ac:dyDescent="0.2">
      <c r="C290" s="110"/>
      <c r="D290" s="110"/>
      <c r="E290" s="110"/>
      <c r="F290" s="110"/>
    </row>
    <row r="291" spans="3:6" x14ac:dyDescent="0.2">
      <c r="C291" s="110"/>
      <c r="D291" s="110"/>
      <c r="E291" s="110"/>
      <c r="F291" s="110"/>
    </row>
    <row r="292" spans="3:6" x14ac:dyDescent="0.2">
      <c r="C292" s="110"/>
      <c r="D292" s="110"/>
      <c r="E292" s="110"/>
      <c r="F292" s="110"/>
    </row>
    <row r="293" spans="3:6" x14ac:dyDescent="0.2">
      <c r="C293" s="110"/>
      <c r="D293" s="110"/>
      <c r="E293" s="110"/>
      <c r="F293" s="110"/>
    </row>
  </sheetData>
  <mergeCells count="10">
    <mergeCell ref="B21:C21"/>
    <mergeCell ref="B157:F161"/>
    <mergeCell ref="B165:C165"/>
    <mergeCell ref="B237:E240"/>
    <mergeCell ref="C282:F293"/>
    <mergeCell ref="C257:F268"/>
    <mergeCell ref="C271:F277"/>
    <mergeCell ref="B241:E241"/>
    <mergeCell ref="A245:F245"/>
    <mergeCell ref="C247:F2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DA7AA-BAF5-0C4C-9D08-C684671DEF9F}">
  <dimension ref="B15:AN125"/>
  <sheetViews>
    <sheetView showGridLines="0" topLeftCell="L23" zoomScale="84" workbookViewId="0">
      <selection activeCell="AE47" sqref="AE47"/>
    </sheetView>
  </sheetViews>
  <sheetFormatPr baseColWidth="10" defaultRowHeight="16" x14ac:dyDescent="0.2"/>
  <cols>
    <col min="4" max="4" width="16.33203125" bestFit="1" customWidth="1"/>
    <col min="5" max="5" width="12.1640625" bestFit="1" customWidth="1"/>
    <col min="6" max="6" width="22.1640625" bestFit="1" customWidth="1"/>
    <col min="10" max="10" width="30.33203125" bestFit="1" customWidth="1"/>
    <col min="12" max="12" width="13.6640625" customWidth="1"/>
    <col min="23" max="23" width="12.33203125" bestFit="1" customWidth="1"/>
    <col min="24" max="24" width="16" bestFit="1" customWidth="1"/>
    <col min="25" max="25" width="16.1640625" bestFit="1" customWidth="1"/>
    <col min="26" max="26" width="16.33203125" customWidth="1"/>
    <col min="27" max="27" width="16.5" bestFit="1" customWidth="1"/>
    <col min="28" max="28" width="11.83203125" bestFit="1" customWidth="1"/>
    <col min="30" max="30" width="13.6640625" bestFit="1" customWidth="1"/>
    <col min="33" max="33" width="10.1640625" bestFit="1" customWidth="1"/>
    <col min="34" max="34" width="17.5" bestFit="1" customWidth="1"/>
    <col min="35" max="35" width="17.33203125" bestFit="1" customWidth="1"/>
    <col min="36" max="36" width="13.5" bestFit="1" customWidth="1"/>
    <col min="37" max="37" width="13" bestFit="1" customWidth="1"/>
    <col min="40" max="40" width="14.1640625" bestFit="1" customWidth="1"/>
  </cols>
  <sheetData>
    <row r="15" spans="23:23" x14ac:dyDescent="0.2">
      <c r="W15" s="99"/>
    </row>
    <row r="16" spans="23:23" x14ac:dyDescent="0.2">
      <c r="W16" s="1"/>
    </row>
    <row r="17" spans="2:40" x14ac:dyDescent="0.2">
      <c r="W17" s="1"/>
    </row>
    <row r="18" spans="2:40" x14ac:dyDescent="0.2">
      <c r="W18" s="99"/>
    </row>
    <row r="19" spans="2:40" x14ac:dyDescent="0.2">
      <c r="W19" s="1"/>
    </row>
    <row r="20" spans="2:40" x14ac:dyDescent="0.2">
      <c r="B20" t="s">
        <v>210</v>
      </c>
      <c r="W20" s="1"/>
    </row>
    <row r="23" spans="2:40" ht="19" x14ac:dyDescent="0.25">
      <c r="B23" s="2" t="s">
        <v>8</v>
      </c>
      <c r="I23" s="2" t="s">
        <v>13</v>
      </c>
      <c r="J23" s="119" t="s">
        <v>216</v>
      </c>
      <c r="K23" s="119"/>
      <c r="L23" s="119"/>
      <c r="M23" s="119"/>
      <c r="N23" s="119"/>
      <c r="V23" s="2" t="s">
        <v>229</v>
      </c>
    </row>
    <row r="24" spans="2:40" x14ac:dyDescent="0.2">
      <c r="B24" s="75"/>
      <c r="C24" s="69" t="s">
        <v>213</v>
      </c>
      <c r="D24" s="69" t="s">
        <v>214</v>
      </c>
      <c r="E24" s="79" t="s">
        <v>211</v>
      </c>
      <c r="F24" s="69" t="s">
        <v>215</v>
      </c>
      <c r="G24" s="79" t="s">
        <v>212</v>
      </c>
    </row>
    <row r="25" spans="2:40" x14ac:dyDescent="0.2">
      <c r="B25" s="76">
        <v>43831</v>
      </c>
      <c r="C25" s="77">
        <v>4.7500000000000001E-2</v>
      </c>
      <c r="D25" s="78">
        <v>1.5299999999999999E-2</v>
      </c>
      <c r="E25" s="80">
        <f>C25-D25</f>
        <v>3.2199999999999999E-2</v>
      </c>
      <c r="F25" s="78">
        <v>0.1487</v>
      </c>
      <c r="G25" s="80">
        <f>F25-C25</f>
        <v>0.1012</v>
      </c>
    </row>
    <row r="26" spans="2:40" x14ac:dyDescent="0.2">
      <c r="B26" s="76">
        <v>43862</v>
      </c>
      <c r="C26" s="77">
        <v>4.2500000000000003E-2</v>
      </c>
      <c r="D26" s="78">
        <v>1.41E-2</v>
      </c>
      <c r="E26" s="80">
        <f t="shared" ref="E26:E83" si="0">C26-D26</f>
        <v>2.8400000000000002E-2</v>
      </c>
      <c r="F26" s="78">
        <v>0.15090000000000001</v>
      </c>
      <c r="G26" s="80">
        <f t="shared" ref="G26:G83" si="1">F26-C26</f>
        <v>0.1084</v>
      </c>
    </row>
    <row r="27" spans="2:40" x14ac:dyDescent="0.2">
      <c r="B27" s="76">
        <v>43891</v>
      </c>
      <c r="C27" s="77">
        <v>3.2500000000000001E-2</v>
      </c>
      <c r="D27" s="78">
        <v>3.3E-3</v>
      </c>
      <c r="E27" s="80">
        <f t="shared" si="0"/>
        <v>2.92E-2</v>
      </c>
      <c r="F27" s="78">
        <v>0.15090000000000001</v>
      </c>
      <c r="G27" s="80">
        <f t="shared" si="1"/>
        <v>0.11840000000000001</v>
      </c>
      <c r="W27" s="1" t="s">
        <v>233</v>
      </c>
      <c r="X27" s="37">
        <f>K56</f>
        <v>0.21240000000000001</v>
      </c>
      <c r="AE27" t="s">
        <v>235</v>
      </c>
      <c r="AG27" s="37">
        <f>K57</f>
        <v>0.26240000000000002</v>
      </c>
    </row>
    <row r="28" spans="2:40" x14ac:dyDescent="0.2">
      <c r="B28" s="76">
        <v>43922</v>
      </c>
      <c r="C28" s="77">
        <v>3.2500000000000001E-2</v>
      </c>
      <c r="D28" s="78">
        <v>1.8E-3</v>
      </c>
      <c r="E28" s="80">
        <f t="shared" si="0"/>
        <v>3.0700000000000002E-2</v>
      </c>
      <c r="F28" s="78">
        <v>0.15090000000000001</v>
      </c>
      <c r="G28" s="80">
        <f t="shared" si="1"/>
        <v>0.11840000000000001</v>
      </c>
    </row>
    <row r="29" spans="2:40" x14ac:dyDescent="0.2">
      <c r="B29" s="76">
        <v>43952</v>
      </c>
      <c r="C29" s="77">
        <v>3.2500000000000001E-2</v>
      </c>
      <c r="D29" s="78">
        <v>1.6000000000000001E-3</v>
      </c>
      <c r="E29" s="80">
        <f t="shared" si="0"/>
        <v>3.09E-2</v>
      </c>
      <c r="F29" s="78">
        <v>0.1452</v>
      </c>
      <c r="G29" s="80">
        <f t="shared" si="1"/>
        <v>0.11269999999999999</v>
      </c>
      <c r="W29" s="113" t="s">
        <v>234</v>
      </c>
      <c r="X29" s="114"/>
      <c r="Y29" s="114"/>
      <c r="Z29" s="114"/>
      <c r="AA29" s="114"/>
      <c r="AB29" s="114"/>
      <c r="AC29" s="114"/>
      <c r="AD29" s="115"/>
      <c r="AE29" s="2"/>
      <c r="AG29" s="113" t="s">
        <v>236</v>
      </c>
      <c r="AH29" s="114"/>
      <c r="AI29" s="114"/>
      <c r="AJ29" s="114"/>
      <c r="AK29" s="114"/>
      <c r="AL29" s="114"/>
      <c r="AM29" s="114"/>
      <c r="AN29" s="115"/>
    </row>
    <row r="30" spans="2:40" x14ac:dyDescent="0.2">
      <c r="B30" s="76">
        <v>43983</v>
      </c>
      <c r="C30" s="77">
        <v>3.2500000000000001E-2</v>
      </c>
      <c r="D30" s="78">
        <v>1.8E-3</v>
      </c>
      <c r="E30" s="80">
        <f t="shared" si="0"/>
        <v>3.0700000000000002E-2</v>
      </c>
      <c r="F30" s="78">
        <v>0.1452</v>
      </c>
      <c r="G30" s="80">
        <f t="shared" si="1"/>
        <v>0.11269999999999999</v>
      </c>
    </row>
    <row r="31" spans="2:40" x14ac:dyDescent="0.2">
      <c r="B31" s="76">
        <v>44013</v>
      </c>
      <c r="C31" s="77">
        <v>3.2500000000000001E-2</v>
      </c>
      <c r="D31" s="78">
        <v>1.5E-3</v>
      </c>
      <c r="E31" s="80">
        <f t="shared" si="0"/>
        <v>3.1E-2</v>
      </c>
      <c r="F31" s="78">
        <v>0.1452</v>
      </c>
      <c r="G31" s="80">
        <f t="shared" si="1"/>
        <v>0.11269999999999999</v>
      </c>
      <c r="W31" s="100" t="s">
        <v>230</v>
      </c>
      <c r="X31" s="69" t="s">
        <v>237</v>
      </c>
      <c r="Y31" s="69" t="s">
        <v>232</v>
      </c>
      <c r="Z31" s="69" t="s">
        <v>241</v>
      </c>
      <c r="AA31" s="69" t="s">
        <v>238</v>
      </c>
      <c r="AB31" s="69" t="s">
        <v>239</v>
      </c>
      <c r="AC31" s="69" t="s">
        <v>231</v>
      </c>
      <c r="AD31" s="69" t="s">
        <v>240</v>
      </c>
      <c r="AE31" s="100"/>
      <c r="AG31" s="100" t="s">
        <v>230</v>
      </c>
      <c r="AH31" s="69" t="s">
        <v>237</v>
      </c>
      <c r="AI31" s="69" t="s">
        <v>232</v>
      </c>
      <c r="AJ31" s="69" t="s">
        <v>241</v>
      </c>
      <c r="AK31" s="69" t="s">
        <v>238</v>
      </c>
      <c r="AL31" s="69" t="s">
        <v>239</v>
      </c>
      <c r="AM31" s="69" t="s">
        <v>231</v>
      </c>
      <c r="AN31" s="69" t="s">
        <v>240</v>
      </c>
    </row>
    <row r="32" spans="2:40" x14ac:dyDescent="0.2">
      <c r="B32" s="76">
        <v>44044</v>
      </c>
      <c r="C32" s="77">
        <v>3.2500000000000001E-2</v>
      </c>
      <c r="D32" s="78">
        <v>1.2999999999999999E-3</v>
      </c>
      <c r="E32" s="80">
        <f t="shared" si="0"/>
        <v>3.1200000000000002E-2</v>
      </c>
      <c r="F32" s="78">
        <v>0.14580000000000001</v>
      </c>
      <c r="G32" s="80">
        <f t="shared" si="1"/>
        <v>0.11330000000000001</v>
      </c>
      <c r="W32" s="100">
        <v>1</v>
      </c>
      <c r="X32" s="104">
        <v>1900</v>
      </c>
      <c r="Y32" s="104">
        <v>25</v>
      </c>
      <c r="Z32" s="75"/>
      <c r="AA32" s="104">
        <f>25</f>
        <v>25</v>
      </c>
      <c r="AB32" s="104">
        <f>X32-AA32</f>
        <v>1875</v>
      </c>
      <c r="AC32" s="105">
        <f>AB32*($X$27/12)</f>
        <v>33.1875</v>
      </c>
      <c r="AD32" s="105">
        <f>AB32+AC32</f>
        <v>1908.1875</v>
      </c>
      <c r="AE32" s="100"/>
      <c r="AG32" s="100">
        <v>1</v>
      </c>
      <c r="AH32" s="104">
        <f>4400</f>
        <v>4400</v>
      </c>
      <c r="AI32" s="104">
        <f>81</f>
        <v>81</v>
      </c>
      <c r="AJ32" s="101"/>
      <c r="AK32" s="104">
        <f>81</f>
        <v>81</v>
      </c>
      <c r="AL32" s="104">
        <f>AH32-AK32</f>
        <v>4319</v>
      </c>
      <c r="AM32" s="105">
        <f t="shared" ref="AM32:AM67" si="2">AL32*($AG$27/12)</f>
        <v>94.442133333333345</v>
      </c>
      <c r="AN32" s="105">
        <f>AL32+AM32</f>
        <v>4413.442133333333</v>
      </c>
    </row>
    <row r="33" spans="2:40" x14ac:dyDescent="0.2">
      <c r="B33" s="76">
        <v>44075</v>
      </c>
      <c r="C33" s="77">
        <v>3.2500000000000001E-2</v>
      </c>
      <c r="D33" s="78">
        <v>1.2999999999999999E-3</v>
      </c>
      <c r="E33" s="80">
        <f t="shared" si="0"/>
        <v>3.1200000000000002E-2</v>
      </c>
      <c r="F33" s="78">
        <v>0.14580000000000001</v>
      </c>
      <c r="G33" s="80">
        <f t="shared" si="1"/>
        <v>0.11330000000000001</v>
      </c>
      <c r="W33" s="100">
        <v>2</v>
      </c>
      <c r="X33" s="105">
        <f>AD32</f>
        <v>1908.1875</v>
      </c>
      <c r="Y33" s="104">
        <f>Y32</f>
        <v>25</v>
      </c>
      <c r="Z33" s="101">
        <v>0</v>
      </c>
      <c r="AA33" s="104">
        <f>Y33+Z33</f>
        <v>25</v>
      </c>
      <c r="AB33" s="104">
        <f t="shared" ref="AB33:AB67" si="3">X33-AA33</f>
        <v>1883.1875</v>
      </c>
      <c r="AC33" s="105">
        <f t="shared" ref="AC33:AC67" si="4">AB33*($X$27/12)</f>
        <v>33.332418750000002</v>
      </c>
      <c r="AD33" s="105">
        <f t="shared" ref="AD33:AD67" si="5">AB33+AC33</f>
        <v>1916.51991875</v>
      </c>
      <c r="AE33" s="100"/>
      <c r="AG33" s="100">
        <v>2</v>
      </c>
      <c r="AH33" s="104">
        <f>AN32</f>
        <v>4413.442133333333</v>
      </c>
      <c r="AI33" s="104">
        <f>81</f>
        <v>81</v>
      </c>
      <c r="AJ33" s="101">
        <v>0</v>
      </c>
      <c r="AK33" s="104">
        <f>AI33+AJ33</f>
        <v>81</v>
      </c>
      <c r="AL33" s="104">
        <f t="shared" ref="AL33:AL67" si="6">AH33-AK33</f>
        <v>4332.442133333333</v>
      </c>
      <c r="AM33" s="105">
        <f t="shared" si="2"/>
        <v>94.736067982222224</v>
      </c>
      <c r="AN33" s="105">
        <f t="shared" ref="AN33:AN67" si="7">AL33+AM33</f>
        <v>4427.1782013155553</v>
      </c>
    </row>
    <row r="34" spans="2:40" x14ac:dyDescent="0.2">
      <c r="B34" s="76">
        <v>44105</v>
      </c>
      <c r="C34" s="77">
        <v>3.2500000000000001E-2</v>
      </c>
      <c r="D34" s="78">
        <v>1.2999999999999999E-3</v>
      </c>
      <c r="E34" s="80">
        <f t="shared" si="0"/>
        <v>3.1200000000000002E-2</v>
      </c>
      <c r="F34" s="78">
        <v>0.14580000000000001</v>
      </c>
      <c r="G34" s="80">
        <f t="shared" si="1"/>
        <v>0.11330000000000001</v>
      </c>
      <c r="W34" s="100">
        <v>3</v>
      </c>
      <c r="X34" s="105">
        <f t="shared" ref="X34:X67" si="8">AD33</f>
        <v>1916.51991875</v>
      </c>
      <c r="Y34" s="104">
        <f t="shared" ref="Y34" si="9">Y33</f>
        <v>25</v>
      </c>
      <c r="Z34" s="101">
        <v>0</v>
      </c>
      <c r="AA34" s="104">
        <f t="shared" ref="AA34:AA67" si="10">Y34+Z34</f>
        <v>25</v>
      </c>
      <c r="AB34" s="104">
        <f t="shared" si="3"/>
        <v>1891.51991875</v>
      </c>
      <c r="AC34" s="105">
        <f t="shared" si="4"/>
        <v>33.479902561875001</v>
      </c>
      <c r="AD34" s="105">
        <f t="shared" si="5"/>
        <v>1924.9998213118749</v>
      </c>
      <c r="AE34" s="100"/>
      <c r="AG34" s="100">
        <v>3</v>
      </c>
      <c r="AH34" s="104">
        <f>AN33</f>
        <v>4427.1782013155553</v>
      </c>
      <c r="AI34" s="104">
        <f>81</f>
        <v>81</v>
      </c>
      <c r="AJ34" s="101">
        <v>0</v>
      </c>
      <c r="AK34" s="104">
        <f t="shared" ref="AK34:AK67" si="11">AI34+AJ34</f>
        <v>81</v>
      </c>
      <c r="AL34" s="104">
        <f t="shared" si="6"/>
        <v>4346.1782013155553</v>
      </c>
      <c r="AM34" s="105">
        <f t="shared" si="2"/>
        <v>95.036430002100161</v>
      </c>
      <c r="AN34" s="105">
        <f t="shared" si="7"/>
        <v>4441.2146313176554</v>
      </c>
    </row>
    <row r="35" spans="2:40" x14ac:dyDescent="0.2">
      <c r="B35" s="76">
        <v>44136</v>
      </c>
      <c r="C35" s="77">
        <v>3.2500000000000001E-2</v>
      </c>
      <c r="D35" s="78">
        <v>1.1999999999999999E-3</v>
      </c>
      <c r="E35" s="80">
        <f t="shared" si="0"/>
        <v>3.1300000000000001E-2</v>
      </c>
      <c r="F35" s="78">
        <v>0.14649999999999999</v>
      </c>
      <c r="G35" s="80">
        <f t="shared" si="1"/>
        <v>0.11399999999999999</v>
      </c>
      <c r="W35" s="100">
        <v>4</v>
      </c>
      <c r="X35" s="105">
        <f t="shared" si="8"/>
        <v>1924.9998213118749</v>
      </c>
      <c r="Y35" s="104">
        <f t="shared" ref="Y35" si="12">Y34</f>
        <v>25</v>
      </c>
      <c r="Z35" s="101">
        <v>0</v>
      </c>
      <c r="AA35" s="104">
        <f t="shared" si="10"/>
        <v>25</v>
      </c>
      <c r="AB35" s="104">
        <f t="shared" si="3"/>
        <v>1899.9998213118749</v>
      </c>
      <c r="AC35" s="105">
        <f t="shared" si="4"/>
        <v>33.62999683722019</v>
      </c>
      <c r="AD35" s="105">
        <f t="shared" si="5"/>
        <v>1933.6298181490952</v>
      </c>
      <c r="AE35" s="100"/>
      <c r="AG35" s="100">
        <v>4</v>
      </c>
      <c r="AH35" s="104">
        <f t="shared" ref="AH35:AH67" si="13">AN34</f>
        <v>4441.2146313176554</v>
      </c>
      <c r="AI35" s="104">
        <f>81</f>
        <v>81</v>
      </c>
      <c r="AJ35" s="101">
        <v>0</v>
      </c>
      <c r="AK35" s="104">
        <f t="shared" si="11"/>
        <v>81</v>
      </c>
      <c r="AL35" s="104">
        <f t="shared" si="6"/>
        <v>4360.2146313176554</v>
      </c>
      <c r="AM35" s="105">
        <f t="shared" si="2"/>
        <v>95.343359938146079</v>
      </c>
      <c r="AN35" s="105">
        <f t="shared" si="7"/>
        <v>4455.5579912558014</v>
      </c>
    </row>
    <row r="36" spans="2:40" x14ac:dyDescent="0.2">
      <c r="B36" s="76">
        <v>44166</v>
      </c>
      <c r="C36" s="77">
        <v>3.2500000000000001E-2</v>
      </c>
      <c r="D36" s="78">
        <v>1E-3</v>
      </c>
      <c r="E36" s="80">
        <f t="shared" si="0"/>
        <v>3.15E-2</v>
      </c>
      <c r="F36" s="78">
        <v>0.14649999999999999</v>
      </c>
      <c r="G36" s="80">
        <f t="shared" si="1"/>
        <v>0.11399999999999999</v>
      </c>
      <c r="W36" s="100">
        <v>5</v>
      </c>
      <c r="X36" s="105">
        <f t="shared" si="8"/>
        <v>1933.6298181490952</v>
      </c>
      <c r="Y36" s="104">
        <f t="shared" ref="Y36" si="14">Y35</f>
        <v>25</v>
      </c>
      <c r="Z36" s="101">
        <v>0</v>
      </c>
      <c r="AA36" s="104">
        <f t="shared" si="10"/>
        <v>25</v>
      </c>
      <c r="AB36" s="104">
        <f t="shared" si="3"/>
        <v>1908.6298181490952</v>
      </c>
      <c r="AC36" s="105">
        <f t="shared" si="4"/>
        <v>33.782747781238989</v>
      </c>
      <c r="AD36" s="105">
        <f t="shared" si="5"/>
        <v>1942.4125659303343</v>
      </c>
      <c r="AE36" s="100"/>
      <c r="AG36" s="100">
        <v>5</v>
      </c>
      <c r="AH36" s="104">
        <f t="shared" si="13"/>
        <v>4455.5579912558014</v>
      </c>
      <c r="AI36" s="104">
        <f>81</f>
        <v>81</v>
      </c>
      <c r="AJ36" s="101">
        <v>0</v>
      </c>
      <c r="AK36" s="104">
        <f t="shared" si="11"/>
        <v>81</v>
      </c>
      <c r="AL36" s="104">
        <f t="shared" si="6"/>
        <v>4374.5579912558014</v>
      </c>
      <c r="AM36" s="105">
        <f t="shared" si="2"/>
        <v>95.657001408793533</v>
      </c>
      <c r="AN36" s="105">
        <f t="shared" si="7"/>
        <v>4470.2149926645952</v>
      </c>
    </row>
    <row r="37" spans="2:40" x14ac:dyDescent="0.2">
      <c r="B37" s="76">
        <v>44197</v>
      </c>
      <c r="C37" s="77">
        <v>3.2500000000000001E-2</v>
      </c>
      <c r="D37" s="78">
        <v>1E-3</v>
      </c>
      <c r="E37" s="80">
        <f t="shared" si="0"/>
        <v>3.15E-2</v>
      </c>
      <c r="F37" s="78">
        <v>0.14649999999999999</v>
      </c>
      <c r="G37" s="80">
        <f t="shared" si="1"/>
        <v>0.11399999999999999</v>
      </c>
      <c r="W37" s="100">
        <v>6</v>
      </c>
      <c r="X37" s="105">
        <f t="shared" si="8"/>
        <v>1942.4125659303343</v>
      </c>
      <c r="Y37" s="104">
        <f t="shared" ref="Y37" si="15">Y36</f>
        <v>25</v>
      </c>
      <c r="Z37" s="101">
        <v>0</v>
      </c>
      <c r="AA37" s="104">
        <f t="shared" si="10"/>
        <v>25</v>
      </c>
      <c r="AB37" s="104">
        <f t="shared" si="3"/>
        <v>1917.4125659303343</v>
      </c>
      <c r="AC37" s="105">
        <f t="shared" si="4"/>
        <v>33.938202416966917</v>
      </c>
      <c r="AD37" s="105">
        <f t="shared" si="5"/>
        <v>1951.3507683473013</v>
      </c>
      <c r="AE37" s="100"/>
      <c r="AG37" s="100">
        <v>6</v>
      </c>
      <c r="AH37" s="104">
        <f t="shared" si="13"/>
        <v>4470.2149926645952</v>
      </c>
      <c r="AI37" s="104">
        <f>81</f>
        <v>81</v>
      </c>
      <c r="AJ37" s="101">
        <v>0</v>
      </c>
      <c r="AK37" s="104">
        <f t="shared" si="11"/>
        <v>81</v>
      </c>
      <c r="AL37" s="104">
        <f t="shared" si="6"/>
        <v>4389.2149926645952</v>
      </c>
      <c r="AM37" s="105">
        <f t="shared" si="2"/>
        <v>95.977501172932492</v>
      </c>
      <c r="AN37" s="105">
        <f t="shared" si="7"/>
        <v>4485.1924938375278</v>
      </c>
    </row>
    <row r="38" spans="2:40" x14ac:dyDescent="0.2">
      <c r="B38" s="76">
        <v>44228</v>
      </c>
      <c r="C38" s="77">
        <v>3.2500000000000001E-2</v>
      </c>
      <c r="D38" s="78">
        <v>6.9999999999999999E-4</v>
      </c>
      <c r="E38" s="80">
        <f t="shared" si="0"/>
        <v>3.1800000000000002E-2</v>
      </c>
      <c r="F38" s="78">
        <v>0.14749999999999999</v>
      </c>
      <c r="G38" s="80">
        <f t="shared" si="1"/>
        <v>0.11499999999999999</v>
      </c>
      <c r="W38" s="100">
        <v>7</v>
      </c>
      <c r="X38" s="105">
        <f t="shared" si="8"/>
        <v>1951.3507683473013</v>
      </c>
      <c r="Y38" s="104">
        <f t="shared" ref="Y38" si="16">Y37</f>
        <v>25</v>
      </c>
      <c r="Z38" s="101">
        <v>0</v>
      </c>
      <c r="AA38" s="104">
        <f t="shared" si="10"/>
        <v>25</v>
      </c>
      <c r="AB38" s="104">
        <f t="shared" si="3"/>
        <v>1926.3507683473013</v>
      </c>
      <c r="AC38" s="105">
        <f t="shared" si="4"/>
        <v>34.096408599747235</v>
      </c>
      <c r="AD38" s="105">
        <f t="shared" si="5"/>
        <v>1960.4471769470485</v>
      </c>
      <c r="AE38" s="100"/>
      <c r="AG38" s="100">
        <v>7</v>
      </c>
      <c r="AH38" s="104">
        <f t="shared" si="13"/>
        <v>4485.1924938375278</v>
      </c>
      <c r="AI38" s="104">
        <f>81</f>
        <v>81</v>
      </c>
      <c r="AJ38" s="101">
        <v>0</v>
      </c>
      <c r="AK38" s="104">
        <f t="shared" si="11"/>
        <v>81</v>
      </c>
      <c r="AL38" s="104">
        <f t="shared" si="6"/>
        <v>4404.1924938375278</v>
      </c>
      <c r="AM38" s="105">
        <f t="shared" si="2"/>
        <v>96.30500919858062</v>
      </c>
      <c r="AN38" s="105">
        <f t="shared" si="7"/>
        <v>4500.4975030361084</v>
      </c>
    </row>
    <row r="39" spans="2:40" x14ac:dyDescent="0.2">
      <c r="B39" s="76">
        <v>44256</v>
      </c>
      <c r="C39" s="77">
        <v>3.2500000000000001E-2</v>
      </c>
      <c r="D39" s="78">
        <v>8.0000000000000004E-4</v>
      </c>
      <c r="E39" s="80">
        <f t="shared" si="0"/>
        <v>3.1699999999999999E-2</v>
      </c>
      <c r="F39" s="78">
        <v>0.14749999999999999</v>
      </c>
      <c r="G39" s="80">
        <f t="shared" si="1"/>
        <v>0.11499999999999999</v>
      </c>
      <c r="W39" s="100">
        <v>8</v>
      </c>
      <c r="X39" s="105">
        <f t="shared" si="8"/>
        <v>1960.4471769470485</v>
      </c>
      <c r="Y39" s="104">
        <f t="shared" ref="Y39" si="17">Y38</f>
        <v>25</v>
      </c>
      <c r="Z39" s="101">
        <v>0</v>
      </c>
      <c r="AA39" s="104">
        <f t="shared" si="10"/>
        <v>25</v>
      </c>
      <c r="AB39" s="104">
        <f t="shared" si="3"/>
        <v>1935.4471769470485</v>
      </c>
      <c r="AC39" s="105">
        <f t="shared" si="4"/>
        <v>34.257415031962758</v>
      </c>
      <c r="AD39" s="105">
        <f t="shared" si="5"/>
        <v>1969.7045919790114</v>
      </c>
      <c r="AE39" s="100"/>
      <c r="AG39" s="100">
        <v>8</v>
      </c>
      <c r="AH39" s="104">
        <f t="shared" si="13"/>
        <v>4500.4975030361084</v>
      </c>
      <c r="AI39" s="104">
        <f>81</f>
        <v>81</v>
      </c>
      <c r="AJ39" s="101">
        <v>100</v>
      </c>
      <c r="AK39" s="104">
        <f t="shared" si="11"/>
        <v>181</v>
      </c>
      <c r="AL39" s="104">
        <f t="shared" si="6"/>
        <v>4319.4975030361084</v>
      </c>
      <c r="AM39" s="105">
        <f t="shared" si="2"/>
        <v>94.453012066389576</v>
      </c>
      <c r="AN39" s="105">
        <f t="shared" si="7"/>
        <v>4413.9505151024978</v>
      </c>
    </row>
    <row r="40" spans="2:40" x14ac:dyDescent="0.2">
      <c r="B40" s="76">
        <v>44287</v>
      </c>
      <c r="C40" s="77">
        <v>3.2500000000000001E-2</v>
      </c>
      <c r="D40" s="78">
        <v>5.9999999999999995E-4</v>
      </c>
      <c r="E40" s="80">
        <f t="shared" si="0"/>
        <v>3.1899999999999998E-2</v>
      </c>
      <c r="F40" s="78">
        <v>0.14749999999999999</v>
      </c>
      <c r="G40" s="80">
        <f t="shared" si="1"/>
        <v>0.11499999999999999</v>
      </c>
      <c r="W40" s="100">
        <v>9</v>
      </c>
      <c r="X40" s="105">
        <f t="shared" si="8"/>
        <v>1969.7045919790114</v>
      </c>
      <c r="Y40" s="104">
        <f t="shared" ref="Y40" si="18">Y39</f>
        <v>25</v>
      </c>
      <c r="Z40" s="101">
        <v>0</v>
      </c>
      <c r="AA40" s="104">
        <f t="shared" si="10"/>
        <v>25</v>
      </c>
      <c r="AB40" s="104">
        <f t="shared" si="3"/>
        <v>1944.7045919790114</v>
      </c>
      <c r="AC40" s="105">
        <f t="shared" si="4"/>
        <v>34.421271278028506</v>
      </c>
      <c r="AD40" s="105">
        <f t="shared" si="5"/>
        <v>1979.12586325704</v>
      </c>
      <c r="AE40" s="100"/>
      <c r="AG40" s="100">
        <v>9</v>
      </c>
      <c r="AH40" s="104">
        <f t="shared" si="13"/>
        <v>4413.9505151024978</v>
      </c>
      <c r="AI40" s="104">
        <f>81</f>
        <v>81</v>
      </c>
      <c r="AJ40" s="101">
        <v>0</v>
      </c>
      <c r="AK40" s="104">
        <f t="shared" si="11"/>
        <v>81</v>
      </c>
      <c r="AL40" s="104">
        <f t="shared" si="6"/>
        <v>4332.9505151024978</v>
      </c>
      <c r="AM40" s="105">
        <f t="shared" si="2"/>
        <v>94.747184596907971</v>
      </c>
      <c r="AN40" s="105">
        <f t="shared" si="7"/>
        <v>4427.6976996994053</v>
      </c>
    </row>
    <row r="41" spans="2:40" x14ac:dyDescent="0.2">
      <c r="B41" s="76">
        <v>44317</v>
      </c>
      <c r="C41" s="77">
        <v>3.2500000000000001E-2</v>
      </c>
      <c r="D41" s="78">
        <v>5.0000000000000001E-4</v>
      </c>
      <c r="E41" s="80">
        <f t="shared" si="0"/>
        <v>3.2000000000000001E-2</v>
      </c>
      <c r="F41" s="78">
        <v>0.14610000000000001</v>
      </c>
      <c r="G41" s="80">
        <f t="shared" si="1"/>
        <v>0.11360000000000001</v>
      </c>
      <c r="W41" s="100">
        <v>10</v>
      </c>
      <c r="X41" s="105">
        <f t="shared" si="8"/>
        <v>1979.12586325704</v>
      </c>
      <c r="Y41" s="104">
        <f t="shared" ref="Y41" si="19">Y40</f>
        <v>25</v>
      </c>
      <c r="Z41" s="101">
        <v>0</v>
      </c>
      <c r="AA41" s="104">
        <f t="shared" si="10"/>
        <v>25</v>
      </c>
      <c r="AB41" s="104">
        <f t="shared" si="3"/>
        <v>1954.12586325704</v>
      </c>
      <c r="AC41" s="105">
        <f t="shared" si="4"/>
        <v>34.588027779649607</v>
      </c>
      <c r="AD41" s="105">
        <f t="shared" si="5"/>
        <v>1988.7138910366896</v>
      </c>
      <c r="AE41" s="100"/>
      <c r="AG41" s="100">
        <v>10</v>
      </c>
      <c r="AH41" s="104">
        <f t="shared" si="13"/>
        <v>4427.6976996994053</v>
      </c>
      <c r="AI41" s="104">
        <f>81</f>
        <v>81</v>
      </c>
      <c r="AJ41" s="101">
        <v>0</v>
      </c>
      <c r="AK41" s="104">
        <f t="shared" si="11"/>
        <v>81</v>
      </c>
      <c r="AL41" s="104">
        <f t="shared" si="6"/>
        <v>4346.6976996994053</v>
      </c>
      <c r="AM41" s="105">
        <f t="shared" si="2"/>
        <v>95.047789700093674</v>
      </c>
      <c r="AN41" s="105">
        <f t="shared" si="7"/>
        <v>4441.7454893994991</v>
      </c>
    </row>
    <row r="42" spans="2:40" x14ac:dyDescent="0.2">
      <c r="B42" s="76">
        <v>44348</v>
      </c>
      <c r="C42" s="77">
        <v>3.2500000000000001E-2</v>
      </c>
      <c r="D42" s="78">
        <v>6.9999999999999999E-4</v>
      </c>
      <c r="E42" s="80">
        <f t="shared" si="0"/>
        <v>3.1800000000000002E-2</v>
      </c>
      <c r="F42" s="78">
        <v>0.14610000000000001</v>
      </c>
      <c r="G42" s="80">
        <f t="shared" si="1"/>
        <v>0.11360000000000001</v>
      </c>
      <c r="W42" s="100">
        <v>11</v>
      </c>
      <c r="X42" s="105">
        <f t="shared" si="8"/>
        <v>1988.7138910366896</v>
      </c>
      <c r="Y42" s="104">
        <f t="shared" ref="Y42" si="20">Y41</f>
        <v>25</v>
      </c>
      <c r="Z42" s="101">
        <v>0</v>
      </c>
      <c r="AA42" s="104">
        <f t="shared" si="10"/>
        <v>25</v>
      </c>
      <c r="AB42" s="104">
        <f t="shared" si="3"/>
        <v>1963.7138910366896</v>
      </c>
      <c r="AC42" s="105">
        <f t="shared" si="4"/>
        <v>34.757735871349404</v>
      </c>
      <c r="AD42" s="105">
        <f t="shared" si="5"/>
        <v>1998.4716269080391</v>
      </c>
      <c r="AE42" s="100"/>
      <c r="AG42" s="100">
        <v>11</v>
      </c>
      <c r="AH42" s="104">
        <f t="shared" si="13"/>
        <v>4441.7454893994991</v>
      </c>
      <c r="AI42" s="104">
        <f>81</f>
        <v>81</v>
      </c>
      <c r="AJ42" s="101">
        <v>0</v>
      </c>
      <c r="AK42" s="104">
        <f t="shared" si="11"/>
        <v>81</v>
      </c>
      <c r="AL42" s="104">
        <f t="shared" si="6"/>
        <v>4360.7454893994991</v>
      </c>
      <c r="AM42" s="105">
        <f t="shared" si="2"/>
        <v>95.35496803486906</v>
      </c>
      <c r="AN42" s="105">
        <f t="shared" si="7"/>
        <v>4456.1004574343679</v>
      </c>
    </row>
    <row r="43" spans="2:40" x14ac:dyDescent="0.2">
      <c r="B43" s="76">
        <v>44378</v>
      </c>
      <c r="C43" s="77">
        <v>3.2500000000000001E-2</v>
      </c>
      <c r="D43" s="78">
        <v>8.0000000000000004E-4</v>
      </c>
      <c r="E43" s="80">
        <f t="shared" si="0"/>
        <v>3.1699999999999999E-2</v>
      </c>
      <c r="F43" s="78">
        <v>0.14610000000000001</v>
      </c>
      <c r="G43" s="80">
        <f t="shared" si="1"/>
        <v>0.11360000000000001</v>
      </c>
      <c r="W43" s="100">
        <v>12</v>
      </c>
      <c r="X43" s="105">
        <f t="shared" si="8"/>
        <v>1998.4716269080391</v>
      </c>
      <c r="Y43" s="104">
        <f t="shared" ref="Y43" si="21">Y42</f>
        <v>25</v>
      </c>
      <c r="Z43" s="101">
        <v>0</v>
      </c>
      <c r="AA43" s="104">
        <f t="shared" si="10"/>
        <v>25</v>
      </c>
      <c r="AB43" s="104">
        <f t="shared" si="3"/>
        <v>1973.4716269080391</v>
      </c>
      <c r="AC43" s="105">
        <f t="shared" si="4"/>
        <v>34.93044779627229</v>
      </c>
      <c r="AD43" s="105">
        <f t="shared" si="5"/>
        <v>2008.4020747043114</v>
      </c>
      <c r="AE43" s="100"/>
      <c r="AG43" s="100">
        <v>12</v>
      </c>
      <c r="AH43" s="104">
        <f t="shared" si="13"/>
        <v>4456.1004574343679</v>
      </c>
      <c r="AI43" s="104">
        <f>81</f>
        <v>81</v>
      </c>
      <c r="AJ43" s="101">
        <v>0</v>
      </c>
      <c r="AK43" s="104">
        <f t="shared" si="11"/>
        <v>81</v>
      </c>
      <c r="AL43" s="104">
        <f t="shared" si="6"/>
        <v>4375.1004574343679</v>
      </c>
      <c r="AM43" s="105">
        <f t="shared" si="2"/>
        <v>95.668863335898195</v>
      </c>
      <c r="AN43" s="105">
        <f t="shared" si="7"/>
        <v>4470.7693207702659</v>
      </c>
    </row>
    <row r="44" spans="2:40" x14ac:dyDescent="0.2">
      <c r="B44" s="76">
        <v>44409</v>
      </c>
      <c r="C44" s="77">
        <v>3.2500000000000001E-2</v>
      </c>
      <c r="D44" s="78">
        <v>6.9999999999999999E-4</v>
      </c>
      <c r="E44" s="80">
        <f t="shared" si="0"/>
        <v>3.1800000000000002E-2</v>
      </c>
      <c r="F44" s="78">
        <v>0.1454</v>
      </c>
      <c r="G44" s="80">
        <f t="shared" si="1"/>
        <v>0.1129</v>
      </c>
      <c r="W44" s="100">
        <v>13</v>
      </c>
      <c r="X44" s="105">
        <f t="shared" si="8"/>
        <v>2008.4020747043114</v>
      </c>
      <c r="Y44" s="104">
        <f t="shared" ref="Y44" si="22">Y43</f>
        <v>25</v>
      </c>
      <c r="Z44" s="101">
        <v>0</v>
      </c>
      <c r="AA44" s="104">
        <f t="shared" si="10"/>
        <v>25</v>
      </c>
      <c r="AB44" s="104">
        <f t="shared" si="3"/>
        <v>1983.4020747043114</v>
      </c>
      <c r="AC44" s="105">
        <f t="shared" si="4"/>
        <v>35.106216722266311</v>
      </c>
      <c r="AD44" s="105">
        <f t="shared" si="5"/>
        <v>2018.5082914265777</v>
      </c>
      <c r="AE44" s="100"/>
      <c r="AG44" s="100">
        <v>13</v>
      </c>
      <c r="AH44" s="104">
        <f t="shared" si="13"/>
        <v>4470.7693207702659</v>
      </c>
      <c r="AI44" s="104">
        <f>81</f>
        <v>81</v>
      </c>
      <c r="AJ44" s="101">
        <v>0</v>
      </c>
      <c r="AK44" s="104">
        <f t="shared" si="11"/>
        <v>81</v>
      </c>
      <c r="AL44" s="104">
        <f t="shared" si="6"/>
        <v>4389.7693207702659</v>
      </c>
      <c r="AM44" s="105">
        <f t="shared" si="2"/>
        <v>95.989622480843167</v>
      </c>
      <c r="AN44" s="105">
        <f t="shared" si="7"/>
        <v>4485.7589432511095</v>
      </c>
    </row>
    <row r="45" spans="2:40" x14ac:dyDescent="0.2">
      <c r="B45" s="76">
        <v>44440</v>
      </c>
      <c r="C45" s="77">
        <v>3.2500000000000001E-2</v>
      </c>
      <c r="D45" s="78">
        <v>8.0000000000000004E-4</v>
      </c>
      <c r="E45" s="80">
        <f t="shared" si="0"/>
        <v>3.1699999999999999E-2</v>
      </c>
      <c r="F45" s="78">
        <v>0.1454</v>
      </c>
      <c r="G45" s="80">
        <f t="shared" si="1"/>
        <v>0.1129</v>
      </c>
      <c r="W45" s="100">
        <v>14</v>
      </c>
      <c r="X45" s="105">
        <f t="shared" si="8"/>
        <v>2018.5082914265777</v>
      </c>
      <c r="Y45" s="104">
        <f t="shared" ref="Y45" si="23">Y44</f>
        <v>25</v>
      </c>
      <c r="Z45" s="101">
        <v>0</v>
      </c>
      <c r="AA45" s="104">
        <f t="shared" si="10"/>
        <v>25</v>
      </c>
      <c r="AB45" s="104">
        <f t="shared" si="3"/>
        <v>1993.5082914265777</v>
      </c>
      <c r="AC45" s="105">
        <f t="shared" si="4"/>
        <v>35.285096758250425</v>
      </c>
      <c r="AD45" s="105">
        <f t="shared" si="5"/>
        <v>2028.793388184828</v>
      </c>
      <c r="AE45" s="100"/>
      <c r="AG45" s="100">
        <v>14</v>
      </c>
      <c r="AH45" s="104">
        <f t="shared" si="13"/>
        <v>4485.7589432511095</v>
      </c>
      <c r="AI45" s="104">
        <f>81</f>
        <v>81</v>
      </c>
      <c r="AJ45" s="101">
        <v>0</v>
      </c>
      <c r="AK45" s="104">
        <f t="shared" si="11"/>
        <v>81</v>
      </c>
      <c r="AL45" s="104">
        <f t="shared" si="6"/>
        <v>4404.7589432511095</v>
      </c>
      <c r="AM45" s="105">
        <f t="shared" si="2"/>
        <v>96.31739555909094</v>
      </c>
      <c r="AN45" s="105">
        <f t="shared" si="7"/>
        <v>4501.0763388102005</v>
      </c>
    </row>
    <row r="46" spans="2:40" x14ac:dyDescent="0.2">
      <c r="B46" s="76">
        <v>44470</v>
      </c>
      <c r="C46" s="77">
        <v>3.2500000000000001E-2</v>
      </c>
      <c r="D46" s="78">
        <v>1.1000000000000001E-3</v>
      </c>
      <c r="E46" s="80">
        <f t="shared" si="0"/>
        <v>3.1400000000000004E-2</v>
      </c>
      <c r="F46" s="78">
        <v>0.1454</v>
      </c>
      <c r="G46" s="80">
        <f t="shared" si="1"/>
        <v>0.1129</v>
      </c>
      <c r="W46" s="100">
        <v>15</v>
      </c>
      <c r="X46" s="105">
        <f t="shared" si="8"/>
        <v>2028.793388184828</v>
      </c>
      <c r="Y46" s="104">
        <f t="shared" ref="Y46" si="24">Y45</f>
        <v>25</v>
      </c>
      <c r="Z46" s="101">
        <v>200</v>
      </c>
      <c r="AA46" s="104">
        <f t="shared" si="10"/>
        <v>225</v>
      </c>
      <c r="AB46" s="104">
        <f t="shared" si="3"/>
        <v>1803.793388184828</v>
      </c>
      <c r="AC46" s="105">
        <f t="shared" si="4"/>
        <v>31.927142970871458</v>
      </c>
      <c r="AD46" s="105">
        <f t="shared" si="5"/>
        <v>1835.7205311556995</v>
      </c>
      <c r="AE46" s="100"/>
      <c r="AG46" s="100">
        <v>15</v>
      </c>
      <c r="AH46" s="104">
        <f t="shared" si="13"/>
        <v>4501.0763388102005</v>
      </c>
      <c r="AI46" s="104">
        <f>81</f>
        <v>81</v>
      </c>
      <c r="AJ46" s="101">
        <v>0</v>
      </c>
      <c r="AK46" s="104">
        <f t="shared" si="11"/>
        <v>81</v>
      </c>
      <c r="AL46" s="104">
        <f t="shared" si="6"/>
        <v>4420.0763388102005</v>
      </c>
      <c r="AM46" s="105">
        <f t="shared" si="2"/>
        <v>96.652335941983068</v>
      </c>
      <c r="AN46" s="105">
        <f t="shared" si="7"/>
        <v>4516.7286747521839</v>
      </c>
    </row>
    <row r="47" spans="2:40" x14ac:dyDescent="0.2">
      <c r="B47" s="76">
        <v>44501</v>
      </c>
      <c r="C47" s="77">
        <v>3.2500000000000001E-2</v>
      </c>
      <c r="D47" s="78">
        <v>1.8E-3</v>
      </c>
      <c r="E47" s="80">
        <f t="shared" si="0"/>
        <v>3.0700000000000002E-2</v>
      </c>
      <c r="F47" s="78">
        <v>0.14510000000000001</v>
      </c>
      <c r="G47" s="80">
        <f t="shared" si="1"/>
        <v>0.11260000000000001</v>
      </c>
      <c r="J47" t="s">
        <v>219</v>
      </c>
      <c r="M47" s="37">
        <v>4.41E-2</v>
      </c>
      <c r="W47" s="100">
        <v>16</v>
      </c>
      <c r="X47" s="105">
        <f t="shared" si="8"/>
        <v>1835.7205311556995</v>
      </c>
      <c r="Y47" s="104">
        <f t="shared" ref="Y47" si="25">Y46</f>
        <v>25</v>
      </c>
      <c r="Z47" s="101">
        <v>0</v>
      </c>
      <c r="AA47" s="104">
        <f t="shared" si="10"/>
        <v>25</v>
      </c>
      <c r="AB47" s="104">
        <f t="shared" si="3"/>
        <v>1810.7205311556995</v>
      </c>
      <c r="AC47" s="105">
        <f t="shared" si="4"/>
        <v>32.049753401455881</v>
      </c>
      <c r="AD47" s="105">
        <f t="shared" si="5"/>
        <v>1842.7702845571555</v>
      </c>
      <c r="AE47" s="100"/>
      <c r="AG47" s="100">
        <v>16</v>
      </c>
      <c r="AH47" s="104">
        <f t="shared" si="13"/>
        <v>4516.7286747521839</v>
      </c>
      <c r="AI47" s="104">
        <f>81</f>
        <v>81</v>
      </c>
      <c r="AJ47" s="101">
        <v>0</v>
      </c>
      <c r="AK47" s="104">
        <f t="shared" si="11"/>
        <v>81</v>
      </c>
      <c r="AL47" s="104">
        <f t="shared" si="6"/>
        <v>4435.7286747521839</v>
      </c>
      <c r="AM47" s="105">
        <f t="shared" si="2"/>
        <v>96.994600354581095</v>
      </c>
      <c r="AN47" s="105">
        <f t="shared" si="7"/>
        <v>4532.723275106765</v>
      </c>
    </row>
    <row r="48" spans="2:40" x14ac:dyDescent="0.2">
      <c r="B48" s="76">
        <v>44531</v>
      </c>
      <c r="C48" s="77">
        <v>3.2500000000000001E-2</v>
      </c>
      <c r="D48" s="78">
        <v>3.0000000000000001E-3</v>
      </c>
      <c r="E48" s="80">
        <f t="shared" si="0"/>
        <v>2.9500000000000002E-2</v>
      </c>
      <c r="F48" s="78">
        <v>0.14510000000000001</v>
      </c>
      <c r="G48" s="80">
        <f t="shared" si="1"/>
        <v>0.11260000000000001</v>
      </c>
      <c r="J48" t="s">
        <v>218</v>
      </c>
      <c r="M48" s="37">
        <v>4.3700000000000003E-2</v>
      </c>
      <c r="W48" s="100">
        <v>17</v>
      </c>
      <c r="X48" s="105">
        <f t="shared" si="8"/>
        <v>1842.7702845571555</v>
      </c>
      <c r="Y48" s="104">
        <f t="shared" ref="Y48" si="26">Y47</f>
        <v>25</v>
      </c>
      <c r="Z48" s="101">
        <v>0</v>
      </c>
      <c r="AA48" s="104">
        <f t="shared" si="10"/>
        <v>25</v>
      </c>
      <c r="AB48" s="104">
        <f t="shared" si="3"/>
        <v>1817.7702845571555</v>
      </c>
      <c r="AC48" s="105">
        <f t="shared" si="4"/>
        <v>32.174534036661655</v>
      </c>
      <c r="AD48" s="105">
        <f t="shared" si="5"/>
        <v>1849.9448185938172</v>
      </c>
      <c r="AE48" s="100"/>
      <c r="AG48" s="100">
        <v>17</v>
      </c>
      <c r="AH48" s="104">
        <f t="shared" si="13"/>
        <v>4532.723275106765</v>
      </c>
      <c r="AI48" s="104">
        <f>81</f>
        <v>81</v>
      </c>
      <c r="AJ48" s="101">
        <v>0</v>
      </c>
      <c r="AK48" s="104">
        <f t="shared" si="11"/>
        <v>81</v>
      </c>
      <c r="AL48" s="104">
        <f t="shared" si="6"/>
        <v>4451.723275106765</v>
      </c>
      <c r="AM48" s="105">
        <f t="shared" si="2"/>
        <v>97.344348949001272</v>
      </c>
      <c r="AN48" s="105">
        <f t="shared" si="7"/>
        <v>4549.0676240557659</v>
      </c>
    </row>
    <row r="49" spans="2:40" x14ac:dyDescent="0.2">
      <c r="B49" s="76">
        <v>44562</v>
      </c>
      <c r="C49" s="77">
        <v>3.2500000000000001E-2</v>
      </c>
      <c r="D49" s="78">
        <v>5.4999999999999997E-3</v>
      </c>
      <c r="E49" s="80">
        <f t="shared" si="0"/>
        <v>2.7000000000000003E-2</v>
      </c>
      <c r="F49" s="78">
        <v>0.14510000000000001</v>
      </c>
      <c r="G49" s="80">
        <f t="shared" si="1"/>
        <v>0.11260000000000001</v>
      </c>
      <c r="J49" t="s">
        <v>217</v>
      </c>
      <c r="M49" s="37">
        <v>4.3099999999999999E-2</v>
      </c>
      <c r="W49" s="100">
        <v>18</v>
      </c>
      <c r="X49" s="105">
        <f t="shared" si="8"/>
        <v>1849.9448185938172</v>
      </c>
      <c r="Y49" s="104">
        <f t="shared" ref="Y49" si="27">Y48</f>
        <v>25</v>
      </c>
      <c r="Z49" s="101">
        <v>0</v>
      </c>
      <c r="AA49" s="104">
        <f t="shared" si="10"/>
        <v>25</v>
      </c>
      <c r="AB49" s="104">
        <f t="shared" si="3"/>
        <v>1824.9448185938172</v>
      </c>
      <c r="AC49" s="105">
        <f t="shared" si="4"/>
        <v>32.301523289110563</v>
      </c>
      <c r="AD49" s="105">
        <f t="shared" si="5"/>
        <v>1857.2463418829277</v>
      </c>
      <c r="AE49" s="100"/>
      <c r="AG49" s="100">
        <v>18</v>
      </c>
      <c r="AH49" s="104">
        <f t="shared" si="13"/>
        <v>4549.0676240557659</v>
      </c>
      <c r="AI49" s="104">
        <f>81</f>
        <v>81</v>
      </c>
      <c r="AJ49" s="101">
        <v>0</v>
      </c>
      <c r="AK49" s="104">
        <f t="shared" si="11"/>
        <v>81</v>
      </c>
      <c r="AL49" s="104">
        <f t="shared" si="6"/>
        <v>4468.0676240557659</v>
      </c>
      <c r="AM49" s="105">
        <f t="shared" si="2"/>
        <v>97.701745379352758</v>
      </c>
      <c r="AN49" s="105">
        <f t="shared" si="7"/>
        <v>4565.7693694351183</v>
      </c>
    </row>
    <row r="50" spans="2:40" x14ac:dyDescent="0.2">
      <c r="B50" s="76">
        <v>44593</v>
      </c>
      <c r="C50" s="77">
        <v>3.2500000000000001E-2</v>
      </c>
      <c r="D50" s="78">
        <v>0.01</v>
      </c>
      <c r="E50" s="80">
        <f t="shared" si="0"/>
        <v>2.2499999999999999E-2</v>
      </c>
      <c r="F50" s="78">
        <v>0.14560000000000001</v>
      </c>
      <c r="G50" s="80">
        <f t="shared" si="1"/>
        <v>0.11310000000000001</v>
      </c>
      <c r="W50" s="100">
        <v>19</v>
      </c>
      <c r="X50" s="105">
        <f t="shared" si="8"/>
        <v>1857.2463418829277</v>
      </c>
      <c r="Y50" s="104">
        <f t="shared" ref="Y50" si="28">Y49</f>
        <v>25</v>
      </c>
      <c r="Z50" s="101">
        <v>0</v>
      </c>
      <c r="AA50" s="104">
        <f t="shared" si="10"/>
        <v>25</v>
      </c>
      <c r="AB50" s="104">
        <f t="shared" si="3"/>
        <v>1832.2463418829277</v>
      </c>
      <c r="AC50" s="105">
        <f t="shared" si="4"/>
        <v>32.430760251327818</v>
      </c>
      <c r="AD50" s="105">
        <f t="shared" si="5"/>
        <v>1864.6771021342556</v>
      </c>
      <c r="AE50" s="100"/>
      <c r="AG50" s="100">
        <v>19</v>
      </c>
      <c r="AH50" s="104">
        <f t="shared" si="13"/>
        <v>4565.7693694351183</v>
      </c>
      <c r="AI50" s="104">
        <f>81</f>
        <v>81</v>
      </c>
      <c r="AJ50" s="101">
        <v>0</v>
      </c>
      <c r="AK50" s="104">
        <f t="shared" si="11"/>
        <v>81</v>
      </c>
      <c r="AL50" s="104">
        <f t="shared" si="6"/>
        <v>4484.7693694351183</v>
      </c>
      <c r="AM50" s="105">
        <f t="shared" si="2"/>
        <v>98.066956878314599</v>
      </c>
      <c r="AN50" s="105">
        <f t="shared" si="7"/>
        <v>4582.8363263134324</v>
      </c>
    </row>
    <row r="51" spans="2:40" x14ac:dyDescent="0.2">
      <c r="B51" s="76">
        <v>44621</v>
      </c>
      <c r="C51" s="77">
        <v>3.5000000000000003E-2</v>
      </c>
      <c r="D51" s="78">
        <v>1.34E-2</v>
      </c>
      <c r="E51" s="80">
        <f t="shared" si="0"/>
        <v>2.1600000000000001E-2</v>
      </c>
      <c r="F51" s="78">
        <v>0.14560000000000001</v>
      </c>
      <c r="G51" s="80">
        <f t="shared" si="1"/>
        <v>0.1106</v>
      </c>
      <c r="W51" s="100">
        <v>20</v>
      </c>
      <c r="X51" s="105">
        <f t="shared" si="8"/>
        <v>1864.6771021342556</v>
      </c>
      <c r="Y51" s="104">
        <f t="shared" ref="Y51" si="29">Y50</f>
        <v>25</v>
      </c>
      <c r="Z51" s="101">
        <v>0</v>
      </c>
      <c r="AA51" s="104">
        <f t="shared" si="10"/>
        <v>25</v>
      </c>
      <c r="AB51" s="104">
        <f t="shared" si="3"/>
        <v>1839.6771021342556</v>
      </c>
      <c r="AC51" s="105">
        <f t="shared" si="4"/>
        <v>32.562284707776328</v>
      </c>
      <c r="AD51" s="105">
        <f t="shared" si="5"/>
        <v>1872.239386842032</v>
      </c>
      <c r="AE51" s="100"/>
      <c r="AG51" s="100">
        <v>20</v>
      </c>
      <c r="AH51" s="104">
        <f t="shared" si="13"/>
        <v>4582.8363263134324</v>
      </c>
      <c r="AI51" s="104">
        <f>81</f>
        <v>81</v>
      </c>
      <c r="AJ51" s="101">
        <v>0</v>
      </c>
      <c r="AK51" s="104">
        <f t="shared" si="11"/>
        <v>81</v>
      </c>
      <c r="AL51" s="104">
        <f t="shared" si="6"/>
        <v>4501.8363263134324</v>
      </c>
      <c r="AM51" s="105">
        <f t="shared" si="2"/>
        <v>98.440154335387064</v>
      </c>
      <c r="AN51" s="105">
        <f t="shared" si="7"/>
        <v>4600.2764806488194</v>
      </c>
    </row>
    <row r="52" spans="2:40" x14ac:dyDescent="0.2">
      <c r="B52" s="76">
        <v>44652</v>
      </c>
      <c r="C52" s="77">
        <v>3.5000000000000003E-2</v>
      </c>
      <c r="D52" s="78">
        <v>1.89E-2</v>
      </c>
      <c r="E52" s="80">
        <f t="shared" si="0"/>
        <v>1.6100000000000003E-2</v>
      </c>
      <c r="F52" s="78">
        <v>0.14560000000000001</v>
      </c>
      <c r="G52" s="80">
        <f t="shared" si="1"/>
        <v>0.1106</v>
      </c>
      <c r="J52" s="120" t="s">
        <v>220</v>
      </c>
      <c r="K52" s="120"/>
      <c r="L52" s="120"/>
      <c r="M52">
        <f>(1+M48)^2/(1+M47)</f>
        <v>1.0433001532420267</v>
      </c>
      <c r="N52" s="81">
        <f>M52-1</f>
        <v>4.330015324202674E-2</v>
      </c>
      <c r="W52" s="100">
        <v>21</v>
      </c>
      <c r="X52" s="105">
        <f t="shared" si="8"/>
        <v>1872.239386842032</v>
      </c>
      <c r="Y52" s="104">
        <f t="shared" ref="Y52" si="30">Y51</f>
        <v>25</v>
      </c>
      <c r="Z52" s="101">
        <v>0</v>
      </c>
      <c r="AA52" s="104">
        <f t="shared" si="10"/>
        <v>25</v>
      </c>
      <c r="AB52" s="104">
        <f t="shared" si="3"/>
        <v>1847.239386842032</v>
      </c>
      <c r="AC52" s="105">
        <f t="shared" si="4"/>
        <v>32.696137147103968</v>
      </c>
      <c r="AD52" s="105">
        <f t="shared" si="5"/>
        <v>1879.9355239891361</v>
      </c>
      <c r="AE52" s="100"/>
      <c r="AG52" s="100">
        <v>21</v>
      </c>
      <c r="AH52" s="104">
        <f t="shared" si="13"/>
        <v>4600.2764806488194</v>
      </c>
      <c r="AI52" s="104">
        <f>81</f>
        <v>81</v>
      </c>
      <c r="AJ52" s="101">
        <v>0</v>
      </c>
      <c r="AK52" s="104">
        <f t="shared" si="11"/>
        <v>81</v>
      </c>
      <c r="AL52" s="104">
        <f t="shared" si="6"/>
        <v>4519.2764806488194</v>
      </c>
      <c r="AM52" s="105">
        <f t="shared" si="2"/>
        <v>98.821512376854201</v>
      </c>
      <c r="AN52" s="105">
        <f t="shared" si="7"/>
        <v>4618.0979930256735</v>
      </c>
    </row>
    <row r="53" spans="2:40" x14ac:dyDescent="0.2">
      <c r="B53" s="76">
        <v>44682</v>
      </c>
      <c r="C53" s="77">
        <v>0.04</v>
      </c>
      <c r="D53" s="78">
        <v>2.06E-2</v>
      </c>
      <c r="E53" s="80">
        <f t="shared" si="0"/>
        <v>1.9400000000000001E-2</v>
      </c>
      <c r="F53" s="78">
        <v>0.15129999999999999</v>
      </c>
      <c r="G53" s="80">
        <f t="shared" si="1"/>
        <v>0.11129999999999998</v>
      </c>
      <c r="J53" s="120" t="s">
        <v>221</v>
      </c>
      <c r="K53" s="120"/>
      <c r="L53" s="120"/>
      <c r="M53">
        <f>(1+M49)^3/(1+M48)^2</f>
        <v>1.0419010345818183</v>
      </c>
      <c r="N53" s="81">
        <f>M53-1</f>
        <v>4.1901034581818264E-2</v>
      </c>
      <c r="W53" s="100">
        <v>22</v>
      </c>
      <c r="X53" s="105">
        <f t="shared" si="8"/>
        <v>1879.9355239891361</v>
      </c>
      <c r="Y53" s="104">
        <f t="shared" ref="Y53" si="31">Y52</f>
        <v>25</v>
      </c>
      <c r="Z53" s="101">
        <v>0</v>
      </c>
      <c r="AA53" s="104">
        <f t="shared" si="10"/>
        <v>25</v>
      </c>
      <c r="AB53" s="104">
        <f t="shared" si="3"/>
        <v>1854.9355239891361</v>
      </c>
      <c r="AC53" s="105">
        <f t="shared" si="4"/>
        <v>32.832358774607712</v>
      </c>
      <c r="AD53" s="105">
        <f t="shared" si="5"/>
        <v>1887.7678827637437</v>
      </c>
      <c r="AE53" s="100"/>
      <c r="AG53" s="100">
        <v>22</v>
      </c>
      <c r="AH53" s="104">
        <f t="shared" si="13"/>
        <v>4618.0979930256735</v>
      </c>
      <c r="AI53" s="104">
        <f>81</f>
        <v>81</v>
      </c>
      <c r="AJ53" s="101">
        <v>0</v>
      </c>
      <c r="AK53" s="104">
        <f t="shared" si="11"/>
        <v>81</v>
      </c>
      <c r="AL53" s="104">
        <f t="shared" si="6"/>
        <v>4537.0979930256735</v>
      </c>
      <c r="AM53" s="105">
        <f t="shared" si="2"/>
        <v>99.211209447494738</v>
      </c>
      <c r="AN53" s="105">
        <f t="shared" si="7"/>
        <v>4636.3092024731686</v>
      </c>
    </row>
    <row r="54" spans="2:40" x14ac:dyDescent="0.2">
      <c r="B54" s="76">
        <v>44713</v>
      </c>
      <c r="C54" s="77">
        <v>4.7500000000000001E-2</v>
      </c>
      <c r="D54" s="78">
        <v>2.6499999999999999E-2</v>
      </c>
      <c r="E54" s="80">
        <f t="shared" si="0"/>
        <v>2.1000000000000001E-2</v>
      </c>
      <c r="F54" s="78">
        <v>0.15129999999999999</v>
      </c>
      <c r="G54" s="80">
        <f t="shared" si="1"/>
        <v>0.10379999999999999</v>
      </c>
      <c r="W54" s="100">
        <v>23</v>
      </c>
      <c r="X54" s="105">
        <f t="shared" si="8"/>
        <v>1887.7678827637437</v>
      </c>
      <c r="Y54" s="104">
        <f t="shared" ref="Y54" si="32">Y53</f>
        <v>25</v>
      </c>
      <c r="Z54" s="101">
        <v>0</v>
      </c>
      <c r="AA54" s="104">
        <f t="shared" si="10"/>
        <v>25</v>
      </c>
      <c r="AB54" s="104">
        <f t="shared" si="3"/>
        <v>1862.7678827637437</v>
      </c>
      <c r="AC54" s="105">
        <f t="shared" si="4"/>
        <v>32.970991524918261</v>
      </c>
      <c r="AD54" s="105">
        <f t="shared" si="5"/>
        <v>1895.7388742886619</v>
      </c>
      <c r="AE54" s="100"/>
      <c r="AG54" s="100">
        <v>23</v>
      </c>
      <c r="AH54" s="104">
        <f t="shared" si="13"/>
        <v>4636.3092024731686</v>
      </c>
      <c r="AI54" s="104">
        <f>81</f>
        <v>81</v>
      </c>
      <c r="AJ54" s="101">
        <v>0</v>
      </c>
      <c r="AK54" s="104">
        <f t="shared" si="11"/>
        <v>81</v>
      </c>
      <c r="AL54" s="104">
        <f t="shared" si="6"/>
        <v>4555.3092024731686</v>
      </c>
      <c r="AM54" s="105">
        <f t="shared" si="2"/>
        <v>99.609427894079971</v>
      </c>
      <c r="AN54" s="105">
        <f t="shared" si="7"/>
        <v>4654.9186303672486</v>
      </c>
    </row>
    <row r="55" spans="2:40" x14ac:dyDescent="0.2">
      <c r="B55" s="76">
        <v>44743</v>
      </c>
      <c r="C55" s="77">
        <v>5.5E-2</v>
      </c>
      <c r="D55" s="78">
        <v>3.0200000000000001E-2</v>
      </c>
      <c r="E55" s="80">
        <f t="shared" si="0"/>
        <v>2.4799999999999999E-2</v>
      </c>
      <c r="F55" s="78">
        <v>0.15129999999999999</v>
      </c>
      <c r="G55" s="80">
        <f t="shared" si="1"/>
        <v>9.6299999999999997E-2</v>
      </c>
      <c r="J55" t="s">
        <v>222</v>
      </c>
      <c r="K55" s="37">
        <f>C83</f>
        <v>0.08</v>
      </c>
      <c r="W55" s="100">
        <v>24</v>
      </c>
      <c r="X55" s="105">
        <f t="shared" si="8"/>
        <v>1895.7388742886619</v>
      </c>
      <c r="Y55" s="104">
        <f t="shared" ref="Y55" si="33">Y54</f>
        <v>25</v>
      </c>
      <c r="Z55" s="101">
        <v>0</v>
      </c>
      <c r="AA55" s="104">
        <f t="shared" si="10"/>
        <v>25</v>
      </c>
      <c r="AB55" s="104">
        <f t="shared" si="3"/>
        <v>1870.7388742886619</v>
      </c>
      <c r="AC55" s="105">
        <f t="shared" si="4"/>
        <v>33.11207807490932</v>
      </c>
      <c r="AD55" s="105">
        <f t="shared" si="5"/>
        <v>1903.8509523635712</v>
      </c>
      <c r="AE55" s="100"/>
      <c r="AG55" s="100">
        <v>24</v>
      </c>
      <c r="AH55" s="104">
        <f t="shared" si="13"/>
        <v>4654.9186303672486</v>
      </c>
      <c r="AI55" s="104">
        <f>81</f>
        <v>81</v>
      </c>
      <c r="AJ55" s="101">
        <v>0</v>
      </c>
      <c r="AK55" s="104">
        <f t="shared" si="11"/>
        <v>81</v>
      </c>
      <c r="AL55" s="104">
        <f t="shared" si="6"/>
        <v>4573.9186303672486</v>
      </c>
      <c r="AM55" s="105">
        <f t="shared" si="2"/>
        <v>100.01635405069719</v>
      </c>
      <c r="AN55" s="105">
        <f t="shared" si="7"/>
        <v>4673.934984417946</v>
      </c>
    </row>
    <row r="56" spans="2:40" x14ac:dyDescent="0.2">
      <c r="B56" s="76">
        <v>44774</v>
      </c>
      <c r="C56" s="77">
        <v>5.5E-2</v>
      </c>
      <c r="D56" s="78">
        <v>3.2800000000000003E-2</v>
      </c>
      <c r="E56" s="80">
        <f t="shared" si="0"/>
        <v>2.2199999999999998E-2</v>
      </c>
      <c r="F56" s="78">
        <v>0.16270000000000001</v>
      </c>
      <c r="G56" s="80">
        <f t="shared" si="1"/>
        <v>0.10770000000000002</v>
      </c>
      <c r="J56" t="s">
        <v>223</v>
      </c>
      <c r="K56" s="37">
        <v>0.21240000000000001</v>
      </c>
      <c r="W56" s="100">
        <v>25</v>
      </c>
      <c r="X56" s="105">
        <f t="shared" si="8"/>
        <v>1903.8509523635712</v>
      </c>
      <c r="Y56" s="104">
        <f t="shared" ref="Y56" si="34">Y55</f>
        <v>25</v>
      </c>
      <c r="Z56" s="101">
        <v>0</v>
      </c>
      <c r="AA56" s="104">
        <f t="shared" si="10"/>
        <v>25</v>
      </c>
      <c r="AB56" s="104">
        <f t="shared" si="3"/>
        <v>1878.8509523635712</v>
      </c>
      <c r="AC56" s="105">
        <f t="shared" si="4"/>
        <v>33.255661856835211</v>
      </c>
      <c r="AD56" s="105">
        <f t="shared" si="5"/>
        <v>1912.1066142204063</v>
      </c>
      <c r="AE56" s="100"/>
      <c r="AG56" s="100">
        <v>25</v>
      </c>
      <c r="AH56" s="104">
        <f t="shared" si="13"/>
        <v>4673.934984417946</v>
      </c>
      <c r="AI56" s="104">
        <f>81</f>
        <v>81</v>
      </c>
      <c r="AJ56" s="101">
        <v>0</v>
      </c>
      <c r="AK56" s="104">
        <f t="shared" si="11"/>
        <v>81</v>
      </c>
      <c r="AL56" s="104">
        <f t="shared" si="6"/>
        <v>4592.934984417946</v>
      </c>
      <c r="AM56" s="105">
        <f t="shared" si="2"/>
        <v>100.43217832593911</v>
      </c>
      <c r="AN56" s="105">
        <f t="shared" si="7"/>
        <v>4693.3671627438853</v>
      </c>
    </row>
    <row r="57" spans="2:40" x14ac:dyDescent="0.2">
      <c r="B57" s="76">
        <v>44805</v>
      </c>
      <c r="C57" s="77">
        <v>6.25E-2</v>
      </c>
      <c r="D57" s="78">
        <v>3.8899999999999997E-2</v>
      </c>
      <c r="E57" s="80">
        <f t="shared" si="0"/>
        <v>2.3600000000000003E-2</v>
      </c>
      <c r="F57" s="78">
        <v>0.16270000000000001</v>
      </c>
      <c r="G57" s="80">
        <f t="shared" si="1"/>
        <v>0.10020000000000001</v>
      </c>
      <c r="J57" t="s">
        <v>224</v>
      </c>
      <c r="K57" s="37">
        <v>0.26240000000000002</v>
      </c>
      <c r="W57" s="100">
        <v>26</v>
      </c>
      <c r="X57" s="105">
        <f t="shared" si="8"/>
        <v>1912.1066142204063</v>
      </c>
      <c r="Y57" s="104">
        <f t="shared" ref="Y57" si="35">Y56</f>
        <v>25</v>
      </c>
      <c r="Z57" s="101">
        <v>0</v>
      </c>
      <c r="AA57" s="104">
        <f t="shared" si="10"/>
        <v>25</v>
      </c>
      <c r="AB57" s="104">
        <f t="shared" si="3"/>
        <v>1887.1066142204063</v>
      </c>
      <c r="AC57" s="105">
        <f t="shared" si="4"/>
        <v>33.401787071701193</v>
      </c>
      <c r="AD57" s="105">
        <f t="shared" si="5"/>
        <v>1920.5084012921075</v>
      </c>
      <c r="AE57" s="100"/>
      <c r="AG57" s="100">
        <v>26</v>
      </c>
      <c r="AH57" s="104">
        <f t="shared" si="13"/>
        <v>4693.3671627438853</v>
      </c>
      <c r="AI57" s="104">
        <f>81</f>
        <v>81</v>
      </c>
      <c r="AJ57" s="101">
        <v>0</v>
      </c>
      <c r="AK57" s="104">
        <f t="shared" si="11"/>
        <v>81</v>
      </c>
      <c r="AL57" s="104">
        <f t="shared" si="6"/>
        <v>4612.3671627438853</v>
      </c>
      <c r="AM57" s="105">
        <f t="shared" si="2"/>
        <v>100.85709529199964</v>
      </c>
      <c r="AN57" s="105">
        <f t="shared" si="7"/>
        <v>4713.2242580358852</v>
      </c>
    </row>
    <row r="58" spans="2:40" ht="17" thickBot="1" x14ac:dyDescent="0.25">
      <c r="B58" s="76">
        <v>44835</v>
      </c>
      <c r="C58" s="77">
        <v>6.25E-2</v>
      </c>
      <c r="D58" s="78">
        <v>4.4299999999999999E-2</v>
      </c>
      <c r="E58" s="80">
        <f t="shared" si="0"/>
        <v>1.8200000000000001E-2</v>
      </c>
      <c r="F58" s="78">
        <v>0.16270000000000001</v>
      </c>
      <c r="G58" s="80">
        <f t="shared" si="1"/>
        <v>0.10020000000000001</v>
      </c>
      <c r="W58" s="100">
        <v>27</v>
      </c>
      <c r="X58" s="105">
        <f t="shared" si="8"/>
        <v>1920.5084012921075</v>
      </c>
      <c r="Y58" s="104">
        <f t="shared" ref="Y58" si="36">Y57</f>
        <v>25</v>
      </c>
      <c r="Z58" s="101">
        <v>0</v>
      </c>
      <c r="AA58" s="104">
        <f t="shared" si="10"/>
        <v>25</v>
      </c>
      <c r="AB58" s="104">
        <f t="shared" si="3"/>
        <v>1895.5084012921075</v>
      </c>
      <c r="AC58" s="105">
        <f t="shared" si="4"/>
        <v>33.5504987028703</v>
      </c>
      <c r="AD58" s="105">
        <f t="shared" si="5"/>
        <v>1929.0588999949778</v>
      </c>
      <c r="AE58" s="100"/>
      <c r="AG58" s="100">
        <v>27</v>
      </c>
      <c r="AH58" s="104">
        <f t="shared" si="13"/>
        <v>4713.2242580358852</v>
      </c>
      <c r="AI58" s="104">
        <f>81</f>
        <v>81</v>
      </c>
      <c r="AJ58" s="101">
        <v>0</v>
      </c>
      <c r="AK58" s="104">
        <f t="shared" si="11"/>
        <v>81</v>
      </c>
      <c r="AL58" s="104">
        <f t="shared" si="6"/>
        <v>4632.2242580358852</v>
      </c>
      <c r="AM58" s="105">
        <f t="shared" si="2"/>
        <v>101.29130377571803</v>
      </c>
      <c r="AN58" s="105">
        <f t="shared" si="7"/>
        <v>4733.5155618116032</v>
      </c>
    </row>
    <row r="59" spans="2:40" x14ac:dyDescent="0.2">
      <c r="B59" s="76">
        <v>44866</v>
      </c>
      <c r="C59" s="77">
        <v>7.0000000000000007E-2</v>
      </c>
      <c r="D59" s="78">
        <v>4.7300000000000002E-2</v>
      </c>
      <c r="E59" s="80">
        <f t="shared" si="0"/>
        <v>2.2700000000000005E-2</v>
      </c>
      <c r="F59" s="78">
        <v>0.19070000000000001</v>
      </c>
      <c r="G59" s="80">
        <f t="shared" si="1"/>
        <v>0.1207</v>
      </c>
      <c r="J59" s="85" t="s">
        <v>225</v>
      </c>
      <c r="K59" s="98"/>
      <c r="L59" s="86" t="s">
        <v>226</v>
      </c>
      <c r="M59" s="87"/>
      <c r="W59" s="100">
        <v>28</v>
      </c>
      <c r="X59" s="105">
        <f t="shared" si="8"/>
        <v>1929.0588999949778</v>
      </c>
      <c r="Y59" s="104">
        <f t="shared" ref="Y59" si="37">Y58</f>
        <v>25</v>
      </c>
      <c r="Z59" s="101">
        <v>0</v>
      </c>
      <c r="AA59" s="104">
        <f t="shared" si="10"/>
        <v>25</v>
      </c>
      <c r="AB59" s="104">
        <f t="shared" si="3"/>
        <v>1904.0588999949778</v>
      </c>
      <c r="AC59" s="105">
        <f t="shared" si="4"/>
        <v>33.701842529911104</v>
      </c>
      <c r="AD59" s="105">
        <f t="shared" si="5"/>
        <v>1937.7607425248889</v>
      </c>
      <c r="AE59" s="100"/>
      <c r="AG59" s="100">
        <v>28</v>
      </c>
      <c r="AH59" s="104">
        <f t="shared" si="13"/>
        <v>4733.5155618116032</v>
      </c>
      <c r="AI59" s="104">
        <f>81</f>
        <v>81</v>
      </c>
      <c r="AJ59" s="101">
        <v>0</v>
      </c>
      <c r="AK59" s="104">
        <f t="shared" si="11"/>
        <v>81</v>
      </c>
      <c r="AL59" s="104">
        <f t="shared" si="6"/>
        <v>4652.5155618116032</v>
      </c>
      <c r="AM59" s="105">
        <f t="shared" si="2"/>
        <v>101.73500695161374</v>
      </c>
      <c r="AN59" s="105">
        <f t="shared" si="7"/>
        <v>4754.2505687632165</v>
      </c>
    </row>
    <row r="60" spans="2:40" x14ac:dyDescent="0.2">
      <c r="B60" s="76">
        <v>44896</v>
      </c>
      <c r="C60" s="77">
        <v>7.4999999999999997E-2</v>
      </c>
      <c r="D60" s="78">
        <v>4.6800000000000001E-2</v>
      </c>
      <c r="E60" s="80">
        <f t="shared" si="0"/>
        <v>2.8199999999999996E-2</v>
      </c>
      <c r="F60" s="78">
        <v>0.19070000000000001</v>
      </c>
      <c r="G60" s="80">
        <f t="shared" si="1"/>
        <v>0.11570000000000001</v>
      </c>
      <c r="J60" s="88" t="s">
        <v>211</v>
      </c>
      <c r="K60" s="37">
        <f>K55-M47</f>
        <v>3.5900000000000001E-2</v>
      </c>
      <c r="L60" s="84"/>
      <c r="M60" s="89"/>
      <c r="W60" s="100">
        <v>29</v>
      </c>
      <c r="X60" s="105">
        <f t="shared" si="8"/>
        <v>1937.7607425248889</v>
      </c>
      <c r="Y60" s="104">
        <f t="shared" ref="Y60" si="38">Y59</f>
        <v>25</v>
      </c>
      <c r="Z60" s="101">
        <v>0</v>
      </c>
      <c r="AA60" s="104">
        <f t="shared" si="10"/>
        <v>25</v>
      </c>
      <c r="AB60" s="104">
        <f t="shared" si="3"/>
        <v>1912.7607425248889</v>
      </c>
      <c r="AC60" s="105">
        <f t="shared" si="4"/>
        <v>33.855865142690533</v>
      </c>
      <c r="AD60" s="105">
        <f t="shared" si="5"/>
        <v>1946.6166076675795</v>
      </c>
      <c r="AE60" s="100"/>
      <c r="AG60" s="100">
        <v>29</v>
      </c>
      <c r="AH60" s="104">
        <f t="shared" si="13"/>
        <v>4754.2505687632165</v>
      </c>
      <c r="AI60" s="104">
        <f>81</f>
        <v>81</v>
      </c>
      <c r="AJ60" s="101">
        <v>0</v>
      </c>
      <c r="AK60" s="104">
        <f t="shared" si="11"/>
        <v>81</v>
      </c>
      <c r="AL60" s="104">
        <f t="shared" si="6"/>
        <v>4673.2505687632165</v>
      </c>
      <c r="AM60" s="105">
        <f t="shared" si="2"/>
        <v>102.18841243695569</v>
      </c>
      <c r="AN60" s="105">
        <f t="shared" si="7"/>
        <v>4775.4389812001718</v>
      </c>
    </row>
    <row r="61" spans="2:40" x14ac:dyDescent="0.2">
      <c r="B61" s="76">
        <v>44927</v>
      </c>
      <c r="C61" s="77">
        <v>7.4999999999999997E-2</v>
      </c>
      <c r="D61" s="78">
        <v>4.6899999999999997E-2</v>
      </c>
      <c r="E61" s="80">
        <f t="shared" si="0"/>
        <v>2.81E-2</v>
      </c>
      <c r="F61" s="78">
        <v>0.19070000000000001</v>
      </c>
      <c r="G61" s="80">
        <f t="shared" si="1"/>
        <v>0.11570000000000001</v>
      </c>
      <c r="J61" s="88" t="s">
        <v>212</v>
      </c>
      <c r="K61" s="37">
        <f>K56-K55</f>
        <v>0.13240000000000002</v>
      </c>
      <c r="L61" s="82" t="s">
        <v>212</v>
      </c>
      <c r="M61" s="90">
        <f>K57-K55</f>
        <v>0.18240000000000001</v>
      </c>
      <c r="W61" s="100">
        <v>30</v>
      </c>
      <c r="X61" s="105">
        <f t="shared" si="8"/>
        <v>1946.6166076675795</v>
      </c>
      <c r="Y61" s="104">
        <f t="shared" ref="Y61" si="39">Y60</f>
        <v>25</v>
      </c>
      <c r="Z61" s="101">
        <v>0</v>
      </c>
      <c r="AA61" s="104">
        <f t="shared" si="10"/>
        <v>25</v>
      </c>
      <c r="AB61" s="104">
        <f t="shared" si="3"/>
        <v>1921.6166076675795</v>
      </c>
      <c r="AC61" s="105">
        <f t="shared" si="4"/>
        <v>34.012613955716155</v>
      </c>
      <c r="AD61" s="105">
        <f t="shared" si="5"/>
        <v>1955.6292216232957</v>
      </c>
      <c r="AE61" s="100"/>
      <c r="AG61" s="100">
        <v>30</v>
      </c>
      <c r="AH61" s="104">
        <f t="shared" si="13"/>
        <v>4775.4389812001718</v>
      </c>
      <c r="AI61" s="104">
        <f>81</f>
        <v>81</v>
      </c>
      <c r="AJ61" s="101">
        <v>0</v>
      </c>
      <c r="AK61" s="104">
        <f t="shared" si="11"/>
        <v>81</v>
      </c>
      <c r="AL61" s="104">
        <f t="shared" si="6"/>
        <v>4694.4389812001718</v>
      </c>
      <c r="AM61" s="105">
        <f t="shared" si="2"/>
        <v>102.65173238891043</v>
      </c>
      <c r="AN61" s="105">
        <f t="shared" si="7"/>
        <v>4797.090713589082</v>
      </c>
    </row>
    <row r="62" spans="2:40" x14ac:dyDescent="0.2">
      <c r="B62" s="76">
        <v>44958</v>
      </c>
      <c r="C62" s="77">
        <v>7.7499999999999999E-2</v>
      </c>
      <c r="D62" s="78">
        <v>4.9299999999999997E-2</v>
      </c>
      <c r="E62" s="80">
        <f t="shared" si="0"/>
        <v>2.8200000000000003E-2</v>
      </c>
      <c r="F62" s="78">
        <v>0.2009</v>
      </c>
      <c r="G62" s="80">
        <f t="shared" si="1"/>
        <v>0.1234</v>
      </c>
      <c r="J62" s="88"/>
      <c r="L62" s="82"/>
      <c r="M62" s="89"/>
      <c r="W62" s="100">
        <v>31</v>
      </c>
      <c r="X62" s="105">
        <f t="shared" si="8"/>
        <v>1955.6292216232957</v>
      </c>
      <c r="Y62" s="104">
        <f t="shared" ref="Y62" si="40">Y61</f>
        <v>25</v>
      </c>
      <c r="Z62" s="101">
        <v>0</v>
      </c>
      <c r="AA62" s="104">
        <f t="shared" si="10"/>
        <v>25</v>
      </c>
      <c r="AB62" s="104">
        <f t="shared" si="3"/>
        <v>1930.6292216232957</v>
      </c>
      <c r="AC62" s="105">
        <f t="shared" si="4"/>
        <v>34.172137222732339</v>
      </c>
      <c r="AD62" s="105">
        <f t="shared" si="5"/>
        <v>1964.8013588460281</v>
      </c>
      <c r="AE62" s="100"/>
      <c r="AG62" s="100">
        <v>31</v>
      </c>
      <c r="AH62" s="104">
        <f t="shared" si="13"/>
        <v>4797.090713589082</v>
      </c>
      <c r="AI62" s="104">
        <f>81</f>
        <v>81</v>
      </c>
      <c r="AJ62" s="101">
        <v>0</v>
      </c>
      <c r="AK62" s="104">
        <f t="shared" si="11"/>
        <v>81</v>
      </c>
      <c r="AL62" s="104">
        <f t="shared" si="6"/>
        <v>4716.090713589082</v>
      </c>
      <c r="AM62" s="105">
        <f t="shared" si="2"/>
        <v>103.12518360381461</v>
      </c>
      <c r="AN62" s="105">
        <f t="shared" si="7"/>
        <v>4819.2158971928966</v>
      </c>
    </row>
    <row r="63" spans="2:40" x14ac:dyDescent="0.2">
      <c r="B63" s="76">
        <v>44986</v>
      </c>
      <c r="C63" s="77">
        <v>0.08</v>
      </c>
      <c r="D63" s="78">
        <v>4.6800000000000001E-2</v>
      </c>
      <c r="E63" s="80">
        <f t="shared" si="0"/>
        <v>3.32E-2</v>
      </c>
      <c r="F63" s="78">
        <v>0.2009</v>
      </c>
      <c r="G63" s="80">
        <f t="shared" si="1"/>
        <v>0.12089999999999999</v>
      </c>
      <c r="J63" s="91" t="s">
        <v>227</v>
      </c>
      <c r="K63" s="92">
        <f>N52+K60+K61</f>
        <v>0.21160015324202675</v>
      </c>
      <c r="L63" s="83"/>
      <c r="M63" s="93">
        <f>N52+K60+M61</f>
        <v>0.26160015324202673</v>
      </c>
      <c r="W63" s="100">
        <v>32</v>
      </c>
      <c r="X63" s="105">
        <f t="shared" si="8"/>
        <v>1964.8013588460281</v>
      </c>
      <c r="Y63" s="104">
        <f t="shared" ref="Y63" si="41">Y62</f>
        <v>25</v>
      </c>
      <c r="Z63" s="101">
        <v>0</v>
      </c>
      <c r="AA63" s="104">
        <f t="shared" si="10"/>
        <v>25</v>
      </c>
      <c r="AB63" s="104">
        <f t="shared" si="3"/>
        <v>1939.8013588460281</v>
      </c>
      <c r="AC63" s="105">
        <f t="shared" si="4"/>
        <v>34.334484051574698</v>
      </c>
      <c r="AD63" s="105">
        <f t="shared" si="5"/>
        <v>1974.1358428976027</v>
      </c>
      <c r="AE63" s="100"/>
      <c r="AG63" s="100">
        <v>32</v>
      </c>
      <c r="AH63" s="104">
        <f t="shared" si="13"/>
        <v>4819.2158971928966</v>
      </c>
      <c r="AI63" s="104">
        <f>81</f>
        <v>81</v>
      </c>
      <c r="AJ63" s="101">
        <v>0</v>
      </c>
      <c r="AK63" s="104">
        <f t="shared" si="11"/>
        <v>81</v>
      </c>
      <c r="AL63" s="104">
        <f t="shared" si="6"/>
        <v>4738.2158971928966</v>
      </c>
      <c r="AM63" s="105">
        <f t="shared" si="2"/>
        <v>103.60898761861802</v>
      </c>
      <c r="AN63" s="105">
        <f t="shared" si="7"/>
        <v>4841.8248848115145</v>
      </c>
    </row>
    <row r="64" spans="2:40" ht="17" thickBot="1" x14ac:dyDescent="0.25">
      <c r="B64" s="76">
        <v>45017</v>
      </c>
      <c r="C64" s="77">
        <v>0.08</v>
      </c>
      <c r="D64" s="78">
        <v>4.6800000000000001E-2</v>
      </c>
      <c r="E64" s="80">
        <f t="shared" si="0"/>
        <v>3.32E-2</v>
      </c>
      <c r="F64" s="78">
        <v>0.2009</v>
      </c>
      <c r="G64" s="80">
        <f t="shared" si="1"/>
        <v>0.12089999999999999</v>
      </c>
      <c r="J64" s="94" t="s">
        <v>228</v>
      </c>
      <c r="K64" s="95">
        <f>N53+K60+K61</f>
        <v>0.21020103458181827</v>
      </c>
      <c r="L64" s="96"/>
      <c r="M64" s="97">
        <f>N53+K60+M61</f>
        <v>0.26020103458181826</v>
      </c>
      <c r="W64" s="100">
        <v>33</v>
      </c>
      <c r="X64" s="105">
        <f t="shared" si="8"/>
        <v>1974.1358428976027</v>
      </c>
      <c r="Y64" s="104">
        <f t="shared" ref="Y64" si="42">Y63</f>
        <v>25</v>
      </c>
      <c r="Z64" s="101">
        <v>0</v>
      </c>
      <c r="AA64" s="104">
        <f t="shared" si="10"/>
        <v>25</v>
      </c>
      <c r="AB64" s="104">
        <f t="shared" si="3"/>
        <v>1949.1358428976027</v>
      </c>
      <c r="AC64" s="105">
        <f t="shared" si="4"/>
        <v>34.499704419287568</v>
      </c>
      <c r="AD64" s="105">
        <f t="shared" si="5"/>
        <v>1983.6355473168903</v>
      </c>
      <c r="AE64" s="100"/>
      <c r="AG64" s="100">
        <v>33</v>
      </c>
      <c r="AH64" s="104">
        <f t="shared" si="13"/>
        <v>4841.8248848115145</v>
      </c>
      <c r="AI64" s="104">
        <f>81</f>
        <v>81</v>
      </c>
      <c r="AJ64" s="101">
        <v>0</v>
      </c>
      <c r="AK64" s="104">
        <f t="shared" si="11"/>
        <v>81</v>
      </c>
      <c r="AL64" s="104">
        <f t="shared" si="6"/>
        <v>4760.8248848115145</v>
      </c>
      <c r="AM64" s="105">
        <f t="shared" si="2"/>
        <v>104.10337081454513</v>
      </c>
      <c r="AN64" s="105">
        <f t="shared" si="7"/>
        <v>4864.9282556260596</v>
      </c>
    </row>
    <row r="65" spans="2:40" x14ac:dyDescent="0.2">
      <c r="B65" s="76">
        <v>45047</v>
      </c>
      <c r="C65" s="77">
        <v>8.2500000000000004E-2</v>
      </c>
      <c r="D65" s="78">
        <v>4.9099999999999998E-2</v>
      </c>
      <c r="E65" s="80">
        <f t="shared" si="0"/>
        <v>3.3400000000000006E-2</v>
      </c>
      <c r="F65" s="78">
        <v>0.2084</v>
      </c>
      <c r="G65" s="80">
        <f t="shared" si="1"/>
        <v>0.12590000000000001</v>
      </c>
      <c r="W65" s="100">
        <v>34</v>
      </c>
      <c r="X65" s="105">
        <f t="shared" si="8"/>
        <v>1983.6355473168903</v>
      </c>
      <c r="Y65" s="104">
        <f t="shared" ref="Y65" si="43">Y64</f>
        <v>25</v>
      </c>
      <c r="Z65" s="101">
        <v>0</v>
      </c>
      <c r="AA65" s="104">
        <f t="shared" si="10"/>
        <v>25</v>
      </c>
      <c r="AB65" s="104">
        <f t="shared" si="3"/>
        <v>1958.6355473168903</v>
      </c>
      <c r="AC65" s="105">
        <f t="shared" si="4"/>
        <v>34.667849187508956</v>
      </c>
      <c r="AD65" s="105">
        <f t="shared" si="5"/>
        <v>1993.3033965043992</v>
      </c>
      <c r="AE65" s="100"/>
      <c r="AG65" s="100">
        <v>34</v>
      </c>
      <c r="AH65" s="104">
        <f t="shared" si="13"/>
        <v>4864.9282556260596</v>
      </c>
      <c r="AI65" s="104">
        <f>81</f>
        <v>81</v>
      </c>
      <c r="AJ65" s="101">
        <v>0</v>
      </c>
      <c r="AK65" s="104">
        <f t="shared" si="11"/>
        <v>81</v>
      </c>
      <c r="AL65" s="104">
        <f t="shared" si="6"/>
        <v>4783.9282556260596</v>
      </c>
      <c r="AM65" s="105">
        <f t="shared" si="2"/>
        <v>104.60856452302319</v>
      </c>
      <c r="AN65" s="105">
        <f t="shared" si="7"/>
        <v>4888.5368201490828</v>
      </c>
    </row>
    <row r="66" spans="2:40" x14ac:dyDescent="0.2">
      <c r="B66" s="76">
        <v>45078</v>
      </c>
      <c r="C66" s="77">
        <v>8.2500000000000004E-2</v>
      </c>
      <c r="D66" s="78">
        <v>5.2400000000000002E-2</v>
      </c>
      <c r="E66" s="80">
        <f t="shared" si="0"/>
        <v>3.0100000000000002E-2</v>
      </c>
      <c r="F66" s="78">
        <v>0.2084</v>
      </c>
      <c r="G66" s="80">
        <f t="shared" si="1"/>
        <v>0.12590000000000001</v>
      </c>
      <c r="W66" s="100">
        <v>35</v>
      </c>
      <c r="X66" s="105">
        <f t="shared" si="8"/>
        <v>1993.3033965043992</v>
      </c>
      <c r="Y66" s="104">
        <f t="shared" ref="Y66" si="44">Y65</f>
        <v>25</v>
      </c>
      <c r="Z66" s="101">
        <v>0</v>
      </c>
      <c r="AA66" s="104">
        <f t="shared" si="10"/>
        <v>25</v>
      </c>
      <c r="AB66" s="104">
        <f t="shared" si="3"/>
        <v>1968.3033965043992</v>
      </c>
      <c r="AC66" s="105">
        <f t="shared" si="4"/>
        <v>34.838970118127868</v>
      </c>
      <c r="AD66" s="105">
        <f t="shared" si="5"/>
        <v>2003.1423666225271</v>
      </c>
      <c r="AE66" s="100"/>
      <c r="AG66" s="100">
        <v>35</v>
      </c>
      <c r="AH66" s="104">
        <f t="shared" si="13"/>
        <v>4888.5368201490828</v>
      </c>
      <c r="AI66" s="104">
        <f>81</f>
        <v>81</v>
      </c>
      <c r="AJ66" s="101">
        <v>0</v>
      </c>
      <c r="AK66" s="104">
        <f t="shared" si="11"/>
        <v>81</v>
      </c>
      <c r="AL66" s="104">
        <f t="shared" si="6"/>
        <v>4807.5368201490828</v>
      </c>
      <c r="AM66" s="105">
        <f t="shared" si="2"/>
        <v>105.12480513392663</v>
      </c>
      <c r="AN66" s="105">
        <f t="shared" si="7"/>
        <v>4912.661625283009</v>
      </c>
    </row>
    <row r="67" spans="2:40" x14ac:dyDescent="0.2">
      <c r="B67" s="76">
        <v>45108</v>
      </c>
      <c r="C67" s="77">
        <v>8.5000000000000006E-2</v>
      </c>
      <c r="D67" s="78">
        <v>5.3699999999999998E-2</v>
      </c>
      <c r="E67" s="80">
        <f t="shared" si="0"/>
        <v>3.1300000000000008E-2</v>
      </c>
      <c r="F67" s="78">
        <v>0.2084</v>
      </c>
      <c r="G67" s="80">
        <f t="shared" si="1"/>
        <v>0.1234</v>
      </c>
      <c r="W67" s="100">
        <v>36</v>
      </c>
      <c r="X67" s="105">
        <f t="shared" si="8"/>
        <v>2003.1423666225271</v>
      </c>
      <c r="Y67" s="104">
        <f t="shared" ref="Y67" si="45">Y66</f>
        <v>25</v>
      </c>
      <c r="Z67" s="101">
        <f>475</f>
        <v>475</v>
      </c>
      <c r="AA67" s="104">
        <f t="shared" si="10"/>
        <v>500</v>
      </c>
      <c r="AB67" s="104">
        <f t="shared" si="3"/>
        <v>1503.1423666225271</v>
      </c>
      <c r="AC67" s="105">
        <f t="shared" si="4"/>
        <v>26.60561988921873</v>
      </c>
      <c r="AD67" s="105">
        <f t="shared" si="5"/>
        <v>1529.7479865117459</v>
      </c>
      <c r="AE67" s="100"/>
      <c r="AG67" s="100">
        <v>36</v>
      </c>
      <c r="AH67" s="104">
        <f t="shared" si="13"/>
        <v>4912.661625283009</v>
      </c>
      <c r="AI67" s="104">
        <f>81</f>
        <v>81</v>
      </c>
      <c r="AJ67" s="101">
        <f>500-AI67</f>
        <v>419</v>
      </c>
      <c r="AK67" s="104">
        <f t="shared" si="11"/>
        <v>500</v>
      </c>
      <c r="AL67" s="104">
        <f t="shared" si="6"/>
        <v>4412.661625283009</v>
      </c>
      <c r="AM67" s="105">
        <f t="shared" si="2"/>
        <v>96.490200872855141</v>
      </c>
      <c r="AN67" s="105">
        <f t="shared" si="7"/>
        <v>4509.151826155864</v>
      </c>
    </row>
    <row r="68" spans="2:40" x14ac:dyDescent="0.2">
      <c r="B68" s="76">
        <v>45139</v>
      </c>
      <c r="C68" s="77">
        <v>8.5000000000000006E-2</v>
      </c>
      <c r="D68" s="78">
        <v>5.3699999999999998E-2</v>
      </c>
      <c r="E68" s="80">
        <f t="shared" si="0"/>
        <v>3.1300000000000008E-2</v>
      </c>
      <c r="F68" s="78">
        <v>0.21190000000000001</v>
      </c>
      <c r="G68" s="80">
        <f t="shared" si="1"/>
        <v>0.12690000000000001</v>
      </c>
      <c r="W68" s="75"/>
      <c r="X68" s="75"/>
      <c r="Y68" s="75"/>
      <c r="Z68" s="75"/>
      <c r="AA68" s="75"/>
      <c r="AB68" s="75"/>
      <c r="AC68" s="75"/>
      <c r="AD68" s="75"/>
    </row>
    <row r="69" spans="2:40" x14ac:dyDescent="0.2">
      <c r="B69" s="76">
        <v>45170</v>
      </c>
      <c r="C69" s="77">
        <v>8.5000000000000006E-2</v>
      </c>
      <c r="D69" s="78">
        <v>5.4399999999999997E-2</v>
      </c>
      <c r="E69" s="80">
        <f t="shared" si="0"/>
        <v>3.0600000000000009E-2</v>
      </c>
      <c r="F69" s="78">
        <v>0.21190000000000001</v>
      </c>
      <c r="G69" s="80">
        <f t="shared" si="1"/>
        <v>0.12690000000000001</v>
      </c>
    </row>
    <row r="70" spans="2:40" x14ac:dyDescent="0.2">
      <c r="B70" s="76">
        <v>45200</v>
      </c>
      <c r="C70" s="77">
        <v>8.5000000000000006E-2</v>
      </c>
      <c r="D70" s="78">
        <v>5.4199999999999998E-2</v>
      </c>
      <c r="E70" s="80">
        <f t="shared" si="0"/>
        <v>3.0800000000000008E-2</v>
      </c>
      <c r="F70" s="78">
        <v>0.21190000000000001</v>
      </c>
      <c r="G70" s="80">
        <f t="shared" si="1"/>
        <v>0.12690000000000001</v>
      </c>
      <c r="W70" s="75"/>
      <c r="X70" s="75"/>
      <c r="Y70" s="75"/>
      <c r="Z70" s="75"/>
      <c r="AA70" s="75"/>
      <c r="AB70" s="75"/>
      <c r="AC70" s="75"/>
    </row>
    <row r="71" spans="2:40" x14ac:dyDescent="0.2">
      <c r="B71" s="76">
        <v>45231</v>
      </c>
      <c r="C71" s="77">
        <v>8.5000000000000006E-2</v>
      </c>
      <c r="D71" s="78">
        <v>5.28E-2</v>
      </c>
      <c r="E71" s="80">
        <f t="shared" si="0"/>
        <v>3.2200000000000006E-2</v>
      </c>
      <c r="F71" s="78">
        <v>0.2147</v>
      </c>
      <c r="G71" s="80">
        <f t="shared" si="1"/>
        <v>0.12969999999999998</v>
      </c>
      <c r="W71" s="102"/>
      <c r="X71" s="75"/>
      <c r="Y71" s="75"/>
      <c r="Z71" s="75"/>
      <c r="AA71" s="75"/>
      <c r="AB71" s="75"/>
      <c r="AC71" s="75"/>
      <c r="AD71" s="75"/>
    </row>
    <row r="72" spans="2:40" x14ac:dyDescent="0.2">
      <c r="B72" s="76">
        <v>45261</v>
      </c>
      <c r="C72" s="77">
        <v>8.5000000000000006E-2</v>
      </c>
      <c r="D72" s="78">
        <v>4.9599999999999998E-2</v>
      </c>
      <c r="E72" s="80">
        <f t="shared" si="0"/>
        <v>3.5400000000000008E-2</v>
      </c>
      <c r="F72" s="78">
        <v>0.2147</v>
      </c>
      <c r="G72" s="80">
        <f t="shared" si="1"/>
        <v>0.12969999999999998</v>
      </c>
      <c r="W72" s="103"/>
      <c r="X72" s="102"/>
      <c r="Y72" s="102"/>
      <c r="AA72" s="102"/>
      <c r="AB72" s="102"/>
      <c r="AC72" s="103"/>
      <c r="AD72" s="103"/>
    </row>
    <row r="73" spans="2:40" x14ac:dyDescent="0.2">
      <c r="B73" s="76">
        <v>45292</v>
      </c>
      <c r="C73" s="77">
        <v>8.5000000000000006E-2</v>
      </c>
      <c r="D73" s="78">
        <v>4.7899999999999998E-2</v>
      </c>
      <c r="E73" s="80">
        <f t="shared" si="0"/>
        <v>3.7100000000000008E-2</v>
      </c>
      <c r="F73" s="78">
        <v>0.2147</v>
      </c>
      <c r="G73" s="80">
        <f t="shared" si="1"/>
        <v>0.12969999999999998</v>
      </c>
      <c r="W73" s="103"/>
      <c r="X73" s="103"/>
      <c r="Y73" s="102"/>
      <c r="AA73" s="102"/>
      <c r="AB73" s="102"/>
      <c r="AC73" s="103"/>
      <c r="AD73" s="103"/>
    </row>
    <row r="74" spans="2:40" x14ac:dyDescent="0.2">
      <c r="B74" s="76">
        <v>45323</v>
      </c>
      <c r="C74" s="77">
        <v>8.5000000000000006E-2</v>
      </c>
      <c r="D74" s="78">
        <v>4.9200000000000001E-2</v>
      </c>
      <c r="E74" s="80">
        <f t="shared" si="0"/>
        <v>3.5800000000000005E-2</v>
      </c>
      <c r="F74" s="78">
        <v>0.21590000000000001</v>
      </c>
      <c r="G74" s="80">
        <f t="shared" si="1"/>
        <v>0.13090000000000002</v>
      </c>
      <c r="W74" s="103"/>
      <c r="X74" s="103"/>
      <c r="Y74" s="102"/>
      <c r="AA74" s="102"/>
      <c r="AB74" s="102"/>
      <c r="AC74" s="103"/>
      <c r="AD74" s="103"/>
    </row>
    <row r="75" spans="2:40" x14ac:dyDescent="0.2">
      <c r="B75" s="76">
        <v>45352</v>
      </c>
      <c r="C75" s="77">
        <v>8.5000000000000006E-2</v>
      </c>
      <c r="D75" s="78">
        <v>4.99E-2</v>
      </c>
      <c r="E75" s="80">
        <f t="shared" si="0"/>
        <v>3.5100000000000006E-2</v>
      </c>
      <c r="F75" s="78">
        <v>0.21590000000000001</v>
      </c>
      <c r="G75" s="80">
        <f t="shared" si="1"/>
        <v>0.13090000000000002</v>
      </c>
      <c r="W75" s="103"/>
      <c r="X75" s="103"/>
      <c r="Y75" s="102"/>
      <c r="AA75" s="102"/>
      <c r="AB75" s="102"/>
      <c r="AC75" s="103"/>
      <c r="AD75" s="103"/>
    </row>
    <row r="76" spans="2:40" x14ac:dyDescent="0.2">
      <c r="B76" s="76">
        <v>45383</v>
      </c>
      <c r="C76" s="77">
        <v>8.5000000000000006E-2</v>
      </c>
      <c r="D76" s="78">
        <v>5.1400000000000001E-2</v>
      </c>
      <c r="E76" s="80">
        <f t="shared" si="0"/>
        <v>3.3600000000000005E-2</v>
      </c>
      <c r="F76" s="78">
        <v>0.21590000000000001</v>
      </c>
      <c r="G76" s="80">
        <f t="shared" si="1"/>
        <v>0.13090000000000002</v>
      </c>
      <c r="W76" s="103"/>
      <c r="X76" s="103"/>
      <c r="Y76" s="102"/>
      <c r="AA76" s="102"/>
      <c r="AB76" s="102"/>
      <c r="AC76" s="103"/>
      <c r="AD76" s="103"/>
    </row>
    <row r="77" spans="2:40" x14ac:dyDescent="0.2">
      <c r="B77" s="76">
        <v>45413</v>
      </c>
      <c r="C77" s="77">
        <v>8.5000000000000006E-2</v>
      </c>
      <c r="D77" s="78">
        <v>5.16E-2</v>
      </c>
      <c r="E77" s="80">
        <f t="shared" si="0"/>
        <v>3.3400000000000006E-2</v>
      </c>
      <c r="F77" s="78">
        <v>0.21510000000000001</v>
      </c>
      <c r="G77" s="80">
        <f t="shared" si="1"/>
        <v>0.13009999999999999</v>
      </c>
      <c r="W77" s="103"/>
      <c r="X77" s="103"/>
      <c r="Y77" s="102"/>
      <c r="AA77" s="102"/>
      <c r="AB77" s="102"/>
      <c r="AC77" s="103"/>
      <c r="AD77" s="103"/>
    </row>
    <row r="78" spans="2:40" x14ac:dyDescent="0.2">
      <c r="B78" s="76">
        <v>45444</v>
      </c>
      <c r="C78" s="77">
        <v>8.5000000000000006E-2</v>
      </c>
      <c r="D78" s="78">
        <v>5.11E-2</v>
      </c>
      <c r="E78" s="80">
        <f t="shared" si="0"/>
        <v>3.3900000000000007E-2</v>
      </c>
      <c r="F78" s="78">
        <v>0.21510000000000001</v>
      </c>
      <c r="G78" s="80">
        <f t="shared" si="1"/>
        <v>0.13009999999999999</v>
      </c>
      <c r="W78" s="103"/>
      <c r="X78" s="103"/>
      <c r="Y78" s="102"/>
      <c r="AA78" s="102"/>
      <c r="AB78" s="102"/>
      <c r="AC78" s="103"/>
      <c r="AD78" s="103"/>
    </row>
    <row r="79" spans="2:40" x14ac:dyDescent="0.2">
      <c r="B79" s="76">
        <v>45474</v>
      </c>
      <c r="C79" s="77">
        <v>8.5000000000000006E-2</v>
      </c>
      <c r="D79" s="78">
        <v>4.9000000000000002E-2</v>
      </c>
      <c r="E79" s="80">
        <f t="shared" si="0"/>
        <v>3.6000000000000004E-2</v>
      </c>
      <c r="F79" s="78">
        <v>0.21510000000000001</v>
      </c>
      <c r="G79" s="80">
        <f t="shared" si="1"/>
        <v>0.13009999999999999</v>
      </c>
      <c r="W79" s="103"/>
      <c r="X79" s="103"/>
      <c r="Y79" s="102"/>
      <c r="AA79" s="102"/>
      <c r="AB79" s="102"/>
      <c r="AC79" s="103"/>
      <c r="AD79" s="103"/>
    </row>
    <row r="80" spans="2:40" x14ac:dyDescent="0.2">
      <c r="B80" s="76">
        <v>45505</v>
      </c>
      <c r="C80" s="77">
        <v>8.5000000000000006E-2</v>
      </c>
      <c r="D80" s="78">
        <v>4.4299999999999999E-2</v>
      </c>
      <c r="E80" s="80">
        <f t="shared" si="0"/>
        <v>4.0700000000000007E-2</v>
      </c>
      <c r="F80" s="78">
        <v>0.21759999999999999</v>
      </c>
      <c r="G80" s="80">
        <f t="shared" si="1"/>
        <v>0.1326</v>
      </c>
      <c r="W80" s="103"/>
      <c r="X80" s="103"/>
      <c r="Y80" s="102"/>
      <c r="AA80" s="102"/>
      <c r="AB80" s="102"/>
      <c r="AC80" s="103"/>
      <c r="AD80" s="103"/>
    </row>
    <row r="81" spans="2:30" x14ac:dyDescent="0.2">
      <c r="B81" s="76">
        <v>45536</v>
      </c>
      <c r="C81" s="77">
        <v>0.08</v>
      </c>
      <c r="D81" s="78">
        <v>4.0300000000000002E-2</v>
      </c>
      <c r="E81" s="80">
        <f t="shared" si="0"/>
        <v>3.9699999999999999E-2</v>
      </c>
      <c r="F81" s="78">
        <v>0.21759999999999999</v>
      </c>
      <c r="G81" s="80">
        <f t="shared" si="1"/>
        <v>0.1376</v>
      </c>
      <c r="W81" s="103"/>
      <c r="X81" s="103"/>
      <c r="Y81" s="102"/>
      <c r="AA81" s="102"/>
      <c r="AB81" s="102"/>
      <c r="AC81" s="103"/>
      <c r="AD81" s="103"/>
    </row>
    <row r="82" spans="2:30" x14ac:dyDescent="0.2">
      <c r="B82" s="76">
        <v>45566</v>
      </c>
      <c r="C82" s="77">
        <v>0.08</v>
      </c>
      <c r="D82" s="78">
        <v>4.2000000000000003E-2</v>
      </c>
      <c r="E82" s="80">
        <f t="shared" si="0"/>
        <v>3.7999999999999999E-2</v>
      </c>
      <c r="F82" s="78">
        <v>0.21759999999999999</v>
      </c>
      <c r="G82" s="80">
        <f t="shared" si="1"/>
        <v>0.1376</v>
      </c>
      <c r="W82" s="103"/>
      <c r="X82" s="103"/>
      <c r="Y82" s="102"/>
      <c r="AA82" s="102"/>
      <c r="AB82" s="102"/>
      <c r="AC82" s="103"/>
      <c r="AD82" s="103"/>
    </row>
    <row r="83" spans="2:30" x14ac:dyDescent="0.2">
      <c r="B83" s="76">
        <v>45597</v>
      </c>
      <c r="C83" s="77">
        <v>0.08</v>
      </c>
      <c r="D83" s="78">
        <v>4.2000000000000003E-2</v>
      </c>
      <c r="E83" s="80">
        <f t="shared" si="0"/>
        <v>3.7999999999999999E-2</v>
      </c>
      <c r="F83" s="78">
        <v>0.21759999999999999</v>
      </c>
      <c r="G83" s="80">
        <f t="shared" si="1"/>
        <v>0.1376</v>
      </c>
      <c r="W83" s="103"/>
      <c r="X83" s="103"/>
      <c r="Y83" s="102"/>
      <c r="AA83" s="102"/>
      <c r="AB83" s="102"/>
      <c r="AC83" s="103"/>
      <c r="AD83" s="103"/>
    </row>
    <row r="84" spans="2:30" x14ac:dyDescent="0.2">
      <c r="W84" s="103"/>
      <c r="X84" s="103"/>
      <c r="Y84" s="102"/>
      <c r="AA84" s="102"/>
      <c r="AB84" s="102"/>
      <c r="AC84" s="103"/>
      <c r="AD84" s="103"/>
    </row>
    <row r="85" spans="2:30" x14ac:dyDescent="0.2">
      <c r="W85" s="103"/>
      <c r="X85" s="103"/>
      <c r="Y85" s="102"/>
      <c r="AA85" s="102"/>
      <c r="AB85" s="102"/>
      <c r="AC85" s="103"/>
      <c r="AD85" s="103"/>
    </row>
    <row r="86" spans="2:30" x14ac:dyDescent="0.2">
      <c r="W86" s="103"/>
      <c r="X86" s="103"/>
      <c r="Y86" s="102"/>
      <c r="AA86" s="102"/>
      <c r="AB86" s="102"/>
      <c r="AC86" s="103"/>
      <c r="AD86" s="103"/>
    </row>
    <row r="87" spans="2:30" ht="17" thickBot="1" x14ac:dyDescent="0.25">
      <c r="W87" s="103"/>
      <c r="X87" s="103"/>
      <c r="Y87" s="102"/>
      <c r="AA87" s="102"/>
      <c r="AB87" s="102"/>
      <c r="AC87" s="103"/>
      <c r="AD87" s="103"/>
    </row>
    <row r="88" spans="2:30" ht="17" thickBot="1" x14ac:dyDescent="0.25">
      <c r="B88" s="116" t="s">
        <v>205</v>
      </c>
      <c r="C88" s="117"/>
      <c r="D88" s="117"/>
      <c r="E88" s="117"/>
      <c r="F88" s="117"/>
      <c r="G88" s="117"/>
      <c r="H88" s="117"/>
      <c r="I88" s="118"/>
      <c r="W88" s="103"/>
      <c r="X88" s="103"/>
      <c r="Y88" s="102"/>
      <c r="AA88" s="102"/>
      <c r="AB88" s="102"/>
      <c r="AC88" s="103"/>
      <c r="AD88" s="103"/>
    </row>
    <row r="89" spans="2:30" x14ac:dyDescent="0.2">
      <c r="W89" s="103"/>
      <c r="X89" s="103"/>
      <c r="Y89" s="102"/>
      <c r="AA89" s="102"/>
      <c r="AB89" s="102"/>
      <c r="AC89" s="103"/>
      <c r="AD89" s="103"/>
    </row>
    <row r="90" spans="2:30" x14ac:dyDescent="0.2">
      <c r="W90" s="103"/>
      <c r="X90" s="103"/>
      <c r="Y90" s="102"/>
      <c r="AA90" s="102"/>
      <c r="AB90" s="102"/>
      <c r="AC90" s="103"/>
      <c r="AD90" s="103"/>
    </row>
    <row r="91" spans="2:30" x14ac:dyDescent="0.2">
      <c r="B91" t="s">
        <v>0</v>
      </c>
      <c r="C91" s="110" t="s">
        <v>242</v>
      </c>
      <c r="D91" s="110"/>
      <c r="E91" s="110"/>
      <c r="F91" s="110"/>
      <c r="G91" s="110"/>
      <c r="H91" s="110"/>
      <c r="I91" s="110"/>
      <c r="W91" s="103"/>
      <c r="X91" s="103"/>
      <c r="Y91" s="102"/>
      <c r="AA91" s="102"/>
      <c r="AB91" s="102"/>
      <c r="AC91" s="103"/>
      <c r="AD91" s="103"/>
    </row>
    <row r="92" spans="2:30" x14ac:dyDescent="0.2">
      <c r="C92" s="110"/>
      <c r="D92" s="110"/>
      <c r="E92" s="110"/>
      <c r="F92" s="110"/>
      <c r="G92" s="110"/>
      <c r="H92" s="110"/>
      <c r="I92" s="110"/>
      <c r="W92" s="103"/>
      <c r="X92" s="103"/>
      <c r="Y92" s="102"/>
      <c r="AA92" s="102"/>
      <c r="AB92" s="102"/>
      <c r="AC92" s="103"/>
      <c r="AD92" s="103"/>
    </row>
    <row r="93" spans="2:30" x14ac:dyDescent="0.2">
      <c r="C93" s="110"/>
      <c r="D93" s="110"/>
      <c r="E93" s="110"/>
      <c r="F93" s="110"/>
      <c r="G93" s="110"/>
      <c r="H93" s="110"/>
      <c r="I93" s="110"/>
      <c r="W93" s="103"/>
      <c r="X93" s="103"/>
      <c r="Y93" s="102"/>
      <c r="AA93" s="102"/>
      <c r="AB93" s="102"/>
      <c r="AC93" s="103"/>
      <c r="AD93" s="103"/>
    </row>
    <row r="94" spans="2:30" x14ac:dyDescent="0.2">
      <c r="C94" s="110"/>
      <c r="D94" s="110"/>
      <c r="E94" s="110"/>
      <c r="F94" s="110"/>
      <c r="G94" s="110"/>
      <c r="H94" s="110"/>
      <c r="I94" s="110"/>
      <c r="W94" s="103"/>
      <c r="X94" s="103"/>
      <c r="Y94" s="102"/>
      <c r="AA94" s="102"/>
      <c r="AB94" s="102"/>
      <c r="AC94" s="103"/>
      <c r="AD94" s="103"/>
    </row>
    <row r="95" spans="2:30" x14ac:dyDescent="0.2">
      <c r="C95" s="110"/>
      <c r="D95" s="110"/>
      <c r="E95" s="110"/>
      <c r="F95" s="110"/>
      <c r="G95" s="110"/>
      <c r="H95" s="110"/>
      <c r="I95" s="110"/>
      <c r="W95" s="103"/>
      <c r="X95" s="103"/>
      <c r="Y95" s="102"/>
      <c r="AA95" s="102"/>
      <c r="AB95" s="102"/>
      <c r="AC95" s="103"/>
      <c r="AD95" s="103"/>
    </row>
    <row r="96" spans="2:30" x14ac:dyDescent="0.2">
      <c r="C96" s="110"/>
      <c r="D96" s="110"/>
      <c r="E96" s="110"/>
      <c r="F96" s="110"/>
      <c r="G96" s="110"/>
      <c r="H96" s="110"/>
      <c r="I96" s="110"/>
      <c r="W96" s="103"/>
      <c r="X96" s="103"/>
      <c r="Y96" s="102"/>
      <c r="AA96" s="102"/>
      <c r="AB96" s="102"/>
      <c r="AC96" s="103"/>
      <c r="AD96" s="103"/>
    </row>
    <row r="97" spans="2:30" x14ac:dyDescent="0.2">
      <c r="C97" s="110"/>
      <c r="D97" s="110"/>
      <c r="E97" s="110"/>
      <c r="F97" s="110"/>
      <c r="G97" s="110"/>
      <c r="H97" s="110"/>
      <c r="I97" s="110"/>
      <c r="W97" s="103"/>
      <c r="X97" s="103"/>
      <c r="Y97" s="102"/>
      <c r="AA97" s="102"/>
      <c r="AB97" s="102"/>
      <c r="AC97" s="103"/>
      <c r="AD97" s="103"/>
    </row>
    <row r="98" spans="2:30" x14ac:dyDescent="0.2">
      <c r="B98" s="74"/>
      <c r="C98" s="74"/>
      <c r="D98" s="74"/>
      <c r="E98" s="74"/>
      <c r="F98" s="74"/>
      <c r="G98" s="74"/>
      <c r="H98" s="74"/>
      <c r="I98" s="74"/>
      <c r="W98" s="103"/>
      <c r="X98" s="103"/>
      <c r="Y98" s="102"/>
      <c r="AA98" s="102"/>
      <c r="AB98" s="102"/>
      <c r="AC98" s="103"/>
      <c r="AD98" s="103"/>
    </row>
    <row r="99" spans="2:30" ht="16" customHeight="1" x14ac:dyDescent="0.2">
      <c r="C99" s="112" t="s">
        <v>243</v>
      </c>
      <c r="D99" s="112"/>
      <c r="E99" s="112"/>
      <c r="F99" s="112"/>
      <c r="G99" s="112"/>
      <c r="H99" s="112"/>
      <c r="I99" s="112"/>
      <c r="W99" s="103"/>
      <c r="X99" s="103"/>
      <c r="Y99" s="102"/>
      <c r="AA99" s="102"/>
      <c r="AB99" s="102"/>
      <c r="AC99" s="103"/>
      <c r="AD99" s="103"/>
    </row>
    <row r="100" spans="2:30" ht="15" customHeight="1" x14ac:dyDescent="0.2">
      <c r="B100" t="s">
        <v>8</v>
      </c>
      <c r="C100" s="110"/>
      <c r="D100" s="110"/>
      <c r="E100" s="110"/>
      <c r="F100" s="110"/>
      <c r="G100" s="110"/>
      <c r="H100" s="110"/>
      <c r="I100" s="110"/>
      <c r="W100" s="103"/>
      <c r="X100" s="103"/>
      <c r="Y100" s="102"/>
      <c r="AA100" s="102"/>
      <c r="AB100" s="102"/>
      <c r="AC100" s="103"/>
      <c r="AD100" s="103"/>
    </row>
    <row r="101" spans="2:30" x14ac:dyDescent="0.2">
      <c r="C101" s="110"/>
      <c r="D101" s="110"/>
      <c r="E101" s="110"/>
      <c r="F101" s="110"/>
      <c r="G101" s="110"/>
      <c r="H101" s="110"/>
      <c r="I101" s="110"/>
      <c r="W101" s="103"/>
      <c r="X101" s="103"/>
      <c r="Y101" s="102"/>
      <c r="AA101" s="102"/>
      <c r="AB101" s="102"/>
      <c r="AC101" s="103"/>
      <c r="AD101" s="103"/>
    </row>
    <row r="102" spans="2:30" x14ac:dyDescent="0.2">
      <c r="C102" s="110"/>
      <c r="D102" s="110"/>
      <c r="E102" s="110"/>
      <c r="F102" s="110"/>
      <c r="G102" s="110"/>
      <c r="H102" s="110"/>
      <c r="I102" s="110"/>
      <c r="W102" s="103"/>
      <c r="X102" s="103"/>
      <c r="Y102" s="102"/>
      <c r="AA102" s="102"/>
      <c r="AB102" s="102"/>
      <c r="AC102" s="103"/>
      <c r="AD102" s="103"/>
    </row>
    <row r="103" spans="2:30" x14ac:dyDescent="0.2">
      <c r="C103" s="110"/>
      <c r="D103" s="110"/>
      <c r="E103" s="110"/>
      <c r="F103" s="110"/>
      <c r="G103" s="110"/>
      <c r="H103" s="110"/>
      <c r="I103" s="110"/>
      <c r="W103" s="103"/>
      <c r="X103" s="103"/>
      <c r="Y103" s="102"/>
      <c r="AA103" s="102"/>
      <c r="AB103" s="102"/>
      <c r="AC103" s="103"/>
      <c r="AD103" s="103"/>
    </row>
    <row r="104" spans="2:30" ht="16" customHeight="1" x14ac:dyDescent="0.2">
      <c r="C104" s="110"/>
      <c r="D104" s="110"/>
      <c r="E104" s="110"/>
      <c r="F104" s="110"/>
      <c r="G104" s="110"/>
      <c r="H104" s="110"/>
      <c r="I104" s="110"/>
      <c r="W104" s="103"/>
      <c r="X104" s="103"/>
      <c r="Y104" s="102"/>
      <c r="AA104" s="102"/>
      <c r="AB104" s="102"/>
      <c r="AC104" s="103"/>
      <c r="AD104" s="103"/>
    </row>
    <row r="105" spans="2:30" x14ac:dyDescent="0.2">
      <c r="C105" s="110"/>
      <c r="D105" s="110"/>
      <c r="E105" s="110"/>
      <c r="F105" s="110"/>
      <c r="G105" s="110"/>
      <c r="H105" s="110"/>
      <c r="I105" s="110"/>
      <c r="W105" s="103"/>
      <c r="X105" s="103"/>
      <c r="Y105" s="102"/>
      <c r="AA105" s="102"/>
      <c r="AB105" s="102"/>
      <c r="AC105" s="103"/>
      <c r="AD105" s="103"/>
    </row>
    <row r="106" spans="2:30" x14ac:dyDescent="0.2">
      <c r="C106" s="110"/>
      <c r="D106" s="110"/>
      <c r="E106" s="110"/>
      <c r="F106" s="110"/>
      <c r="G106" s="110"/>
      <c r="H106" s="110"/>
      <c r="I106" s="110"/>
      <c r="W106" s="103"/>
      <c r="X106" s="103"/>
      <c r="Y106" s="102"/>
      <c r="AA106" s="102"/>
      <c r="AB106" s="102"/>
      <c r="AC106" s="103"/>
      <c r="AD106" s="103"/>
    </row>
    <row r="107" spans="2:30" x14ac:dyDescent="0.2">
      <c r="B107" s="74"/>
      <c r="C107" s="74"/>
      <c r="D107" s="74"/>
      <c r="E107" s="74"/>
      <c r="F107" s="74"/>
      <c r="G107" s="74"/>
      <c r="H107" s="74"/>
      <c r="I107" s="74"/>
      <c r="X107" s="103"/>
      <c r="Y107" s="102"/>
      <c r="AA107" s="102"/>
      <c r="AB107" s="102"/>
      <c r="AC107" s="103"/>
      <c r="AD107" s="103"/>
    </row>
    <row r="109" spans="2:30" ht="16" customHeight="1" x14ac:dyDescent="0.2">
      <c r="B109" t="s">
        <v>244</v>
      </c>
      <c r="C109" s="110" t="s">
        <v>245</v>
      </c>
      <c r="D109" s="110"/>
      <c r="E109" s="110"/>
      <c r="F109" s="110"/>
      <c r="G109" s="110"/>
      <c r="H109" s="110"/>
      <c r="I109" s="110"/>
    </row>
    <row r="110" spans="2:30" x14ac:dyDescent="0.2">
      <c r="C110" s="110"/>
      <c r="D110" s="110"/>
      <c r="E110" s="110"/>
      <c r="F110" s="110"/>
      <c r="G110" s="110"/>
      <c r="H110" s="110"/>
      <c r="I110" s="110"/>
    </row>
    <row r="111" spans="2:30" x14ac:dyDescent="0.2">
      <c r="C111" s="110"/>
      <c r="D111" s="110"/>
      <c r="E111" s="110"/>
      <c r="F111" s="110"/>
      <c r="G111" s="110"/>
      <c r="H111" s="110"/>
      <c r="I111" s="110"/>
    </row>
    <row r="112" spans="2:30" x14ac:dyDescent="0.2">
      <c r="C112" s="110"/>
      <c r="D112" s="110"/>
      <c r="E112" s="110"/>
      <c r="F112" s="110"/>
      <c r="G112" s="110"/>
      <c r="H112" s="110"/>
      <c r="I112" s="110"/>
    </row>
    <row r="113" spans="2:9" x14ac:dyDescent="0.2">
      <c r="C113" s="110"/>
      <c r="D113" s="110"/>
      <c r="E113" s="110"/>
      <c r="F113" s="110"/>
      <c r="G113" s="110"/>
      <c r="H113" s="110"/>
      <c r="I113" s="110"/>
    </row>
    <row r="114" spans="2:9" x14ac:dyDescent="0.2">
      <c r="C114" s="110"/>
      <c r="D114" s="110"/>
      <c r="E114" s="110"/>
      <c r="F114" s="110"/>
      <c r="G114" s="110"/>
      <c r="H114" s="110"/>
      <c r="I114" s="110"/>
    </row>
    <row r="115" spans="2:9" x14ac:dyDescent="0.2">
      <c r="C115" s="110"/>
      <c r="D115" s="110"/>
      <c r="E115" s="110"/>
      <c r="F115" s="110"/>
      <c r="G115" s="110"/>
      <c r="H115" s="110"/>
      <c r="I115" s="110"/>
    </row>
    <row r="116" spans="2:9" x14ac:dyDescent="0.2">
      <c r="C116" s="110"/>
      <c r="D116" s="110"/>
      <c r="E116" s="110"/>
      <c r="F116" s="110"/>
      <c r="G116" s="110"/>
      <c r="H116" s="110"/>
      <c r="I116" s="110"/>
    </row>
    <row r="117" spans="2:9" x14ac:dyDescent="0.2">
      <c r="B117" s="74"/>
      <c r="C117" s="74"/>
      <c r="D117" s="74"/>
      <c r="E117" s="74"/>
      <c r="F117" s="74"/>
      <c r="G117" s="74"/>
      <c r="H117" s="74"/>
      <c r="I117" s="74"/>
    </row>
    <row r="119" spans="2:9" ht="16" customHeight="1" x14ac:dyDescent="0.2">
      <c r="B119" t="s">
        <v>229</v>
      </c>
      <c r="C119" s="110" t="s">
        <v>246</v>
      </c>
      <c r="D119" s="110"/>
      <c r="E119" s="110"/>
      <c r="F119" s="110"/>
      <c r="G119" s="110"/>
      <c r="H119" s="110"/>
      <c r="I119" s="110"/>
    </row>
    <row r="120" spans="2:9" x14ac:dyDescent="0.2">
      <c r="C120" s="110"/>
      <c r="D120" s="110"/>
      <c r="E120" s="110"/>
      <c r="F120" s="110"/>
      <c r="G120" s="110"/>
      <c r="H120" s="110"/>
      <c r="I120" s="110"/>
    </row>
    <row r="121" spans="2:9" x14ac:dyDescent="0.2">
      <c r="C121" s="110"/>
      <c r="D121" s="110"/>
      <c r="E121" s="110"/>
      <c r="F121" s="110"/>
      <c r="G121" s="110"/>
      <c r="H121" s="110"/>
      <c r="I121" s="110"/>
    </row>
    <row r="122" spans="2:9" x14ac:dyDescent="0.2">
      <c r="C122" s="110"/>
      <c r="D122" s="110"/>
      <c r="E122" s="110"/>
      <c r="F122" s="110"/>
      <c r="G122" s="110"/>
      <c r="H122" s="110"/>
      <c r="I122" s="110"/>
    </row>
    <row r="123" spans="2:9" x14ac:dyDescent="0.2">
      <c r="C123" s="110"/>
      <c r="D123" s="110"/>
      <c r="E123" s="110"/>
      <c r="F123" s="110"/>
      <c r="G123" s="110"/>
      <c r="H123" s="110"/>
      <c r="I123" s="110"/>
    </row>
    <row r="124" spans="2:9" x14ac:dyDescent="0.2">
      <c r="C124" s="106"/>
      <c r="D124" s="106"/>
      <c r="E124" s="106"/>
      <c r="F124" s="106"/>
      <c r="G124" s="106"/>
      <c r="H124" s="106"/>
      <c r="I124" s="106"/>
    </row>
    <row r="125" spans="2:9" x14ac:dyDescent="0.2">
      <c r="C125" s="106"/>
      <c r="D125" s="106"/>
      <c r="E125" s="106"/>
      <c r="F125" s="106"/>
      <c r="G125" s="106"/>
      <c r="H125" s="106"/>
      <c r="I125" s="106"/>
    </row>
  </sheetData>
  <mergeCells count="10">
    <mergeCell ref="J23:N23"/>
    <mergeCell ref="J52:L52"/>
    <mergeCell ref="J53:L53"/>
    <mergeCell ref="W29:AD29"/>
    <mergeCell ref="C119:I123"/>
    <mergeCell ref="C91:I97"/>
    <mergeCell ref="C99:I106"/>
    <mergeCell ref="C109:I116"/>
    <mergeCell ref="AG29:AN29"/>
    <mergeCell ref="B88:I88"/>
  </mergeCells>
  <pageMargins left="0.7" right="0.7" top="0.75" bottom="0.75" header="0.3" footer="0.3"/>
  <drawing r:id="rId1"/>
  <legacyDrawing r:id="rId2"/>
  <oleObjects>
    <mc:AlternateContent xmlns:mc="http://schemas.openxmlformats.org/markup-compatibility/2006">
      <mc:Choice Requires="x14">
        <oleObject progId="Package" shapeId="2049" r:id="rId3">
          <objectPr defaultSize="0" autoPict="0" r:id="rId4">
            <anchor moveWithCells="1">
              <from>
                <xdr:col>8</xdr:col>
                <xdr:colOff>723900</xdr:colOff>
                <xdr:row>24</xdr:row>
                <xdr:rowOff>152400</xdr:rowOff>
              </from>
              <to>
                <xdr:col>18</xdr:col>
                <xdr:colOff>292100</xdr:colOff>
                <xdr:row>43</xdr:row>
                <xdr:rowOff>0</xdr:rowOff>
              </to>
            </anchor>
          </objectPr>
        </oleObject>
      </mc:Choice>
      <mc:Fallback>
        <oleObject progId="Package" shapeId="2049"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Problem #1</vt:lpstr>
      <vt:lpstr>Problem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Mathilde Elise Dunbar Sison</dc:creator>
  <cp:lastModifiedBy>Mathilde Elise Dunbar Sison</cp:lastModifiedBy>
  <dcterms:created xsi:type="dcterms:W3CDTF">2024-11-21T17:37:34Z</dcterms:created>
  <dcterms:modified xsi:type="dcterms:W3CDTF">2024-11-24T19:31:21Z</dcterms:modified>
</cp:coreProperties>
</file>