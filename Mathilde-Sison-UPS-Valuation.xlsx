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charts/chartEx5.xml" ContentType="application/vnd.ms-office.chartex+xml"/>
  <Override PartName="/xl/charts/style5.xml" ContentType="application/vnd.ms-office.chartstyle+xml"/>
  <Override PartName="/xl/charts/colors5.xml" ContentType="application/vnd.ms-office.chartcolorstyle+xml"/>
  <Override PartName="/xl/charts/chartEx6.xml" ContentType="application/vnd.ms-office.chartex+xml"/>
  <Override PartName="/xl/charts/style6.xml" ContentType="application/vnd.ms-office.chartstyle+xml"/>
  <Override PartName="/xl/charts/colors6.xml" ContentType="application/vnd.ms-office.chartcolorstyle+xml"/>
  <Override PartName="/xl/charts/chart1.xml" ContentType="application/vnd.openxmlformats-officedocument.drawingml.chart+xml"/>
  <Override PartName="/xl/charts/style7.xml" ContentType="application/vnd.ms-office.chartstyle+xml"/>
  <Override PartName="/xl/charts/colors7.xml" ContentType="application/vnd.ms-office.chartcolorstyle+xml"/>
  <Override PartName="/xl/charts/chart2.xml" ContentType="application/vnd.openxmlformats-officedocument.drawingml.chart+xml"/>
  <Override PartName="/xl/charts/style8.xml" ContentType="application/vnd.ms-office.chartstyle+xml"/>
  <Override PartName="/xl/charts/colors8.xml" ContentType="application/vnd.ms-office.chartcolorstyle+xml"/>
  <Override PartName="/xl/charts/chart3.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10.xml" ContentType="application/vnd.ms-office.chartstyle+xml"/>
  <Override PartName="/xl/charts/colors10.xml" ContentType="application/vnd.ms-office.chartcolorstyle+xml"/>
  <Override PartName="/xl/charts/chart5.xml" ContentType="application/vnd.openxmlformats-officedocument.drawingml.chart+xml"/>
  <Override PartName="/xl/charts/style11.xml" ContentType="application/vnd.ms-office.chartstyle+xml"/>
  <Override PartName="/xl/charts/colors11.xml" ContentType="application/vnd.ms-office.chartcolorstyle+xml"/>
  <Override PartName="/xl/charts/chart6.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13.xml" ContentType="application/vnd.ms-office.chartstyle+xml"/>
  <Override PartName="/xl/charts/colors13.xml" ContentType="application/vnd.ms-office.chartcolorstyle+xml"/>
  <Override PartName="/xl/charts/chart8.xml" ContentType="application/vnd.openxmlformats-officedocument.drawingml.chart+xml"/>
  <Override PartName="/xl/charts/style14.xml" ContentType="application/vnd.ms-office.chartstyle+xml"/>
  <Override PartName="/xl/charts/colors14.xml" ContentType="application/vnd.ms-office.chartcolorstyle+xml"/>
  <Override PartName="/xl/charts/chart9.xml" ContentType="application/vnd.openxmlformats-officedocument.drawingml.chart+xml"/>
  <Override PartName="/xl/charts/style15.xml" ContentType="application/vnd.ms-office.chartstyle+xml"/>
  <Override PartName="/xl/charts/colors15.xml" ContentType="application/vnd.ms-office.chartcolorstyle+xml"/>
  <Override PartName="/xl/charts/chart10.xml" ContentType="application/vnd.openxmlformats-officedocument.drawingml.chart+xml"/>
  <Override PartName="/xl/charts/style16.xml" ContentType="application/vnd.ms-office.chartstyle+xml"/>
  <Override PartName="/xl/charts/colors16.xml" ContentType="application/vnd.ms-office.chartcolorstyle+xml"/>
  <Override PartName="/xl/charts/chart11.xml" ContentType="application/vnd.openxmlformats-officedocument.drawingml.chart+xml"/>
  <Override PartName="/xl/charts/style17.xml" ContentType="application/vnd.ms-office.chartstyle+xml"/>
  <Override PartName="/xl/charts/colors17.xml" ContentType="application/vnd.ms-office.chartcolorstyle+xml"/>
  <Override PartName="/xl/charts/chart12.xml" ContentType="application/vnd.openxmlformats-officedocument.drawingml.chart+xml"/>
  <Override PartName="/xl/charts/style18.xml" ContentType="application/vnd.ms-office.chartstyle+xml"/>
  <Override PartName="/xl/charts/colors18.xml" ContentType="application/vnd.ms-office.chartcolorstyle+xml"/>
  <Override PartName="/xl/charts/chart13.xml" ContentType="application/vnd.openxmlformats-officedocument.drawingml.chart+xml"/>
  <Override PartName="/xl/charts/style19.xml" ContentType="application/vnd.ms-office.chartstyle+xml"/>
  <Override PartName="/xl/charts/colors19.xml" ContentType="application/vnd.ms-office.chartcolorstyle+xml"/>
  <Override PartName="/xl/charts/chart14.xml" ContentType="application/vnd.openxmlformats-officedocument.drawingml.chart+xml"/>
  <Override PartName="/xl/charts/style20.xml" ContentType="application/vnd.ms-office.chartstyle+xml"/>
  <Override PartName="/xl/charts/colors20.xml" ContentType="application/vnd.ms-office.chartcolorstyle+xml"/>
  <Override PartName="/xl/charts/chart15.xml" ContentType="application/vnd.openxmlformats-officedocument.drawingml.chart+xml"/>
  <Override PartName="/xl/charts/style21.xml" ContentType="application/vnd.ms-office.chartstyle+xml"/>
  <Override PartName="/xl/charts/colors21.xml" ContentType="application/vnd.ms-office.chartcolorstyle+xml"/>
  <Override PartName="/xl/charts/chart16.xml" ContentType="application/vnd.openxmlformats-officedocument.drawingml.chart+xml"/>
  <Override PartName="/xl/charts/style22.xml" ContentType="application/vnd.ms-office.chartstyle+xml"/>
  <Override PartName="/xl/charts/colors22.xml" ContentType="application/vnd.ms-office.chartcolorstyle+xml"/>
  <Override PartName="/xl/charts/chart17.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5.xml" ContentType="application/vnd.openxmlformats-officedocument.drawing+xml"/>
  <Override PartName="/xl/charts/chart18.xml" ContentType="application/vnd.openxmlformats-officedocument.drawingml.chart+xml"/>
  <Override PartName="/xl/charts/style24.xml" ContentType="application/vnd.ms-office.chartstyle+xml"/>
  <Override PartName="/xl/charts/colors24.xml" ContentType="application/vnd.ms-office.chartcolorstyle+xml"/>
  <Override PartName="/xl/charts/chart19.xml" ContentType="application/vnd.openxmlformats-officedocument.drawingml.chart+xml"/>
  <Override PartName="/xl/charts/style25.xml" ContentType="application/vnd.ms-office.chartstyle+xml"/>
  <Override PartName="/xl/charts/colors25.xml" ContentType="application/vnd.ms-office.chartcolorstyle+xml"/>
  <Override PartName="/xl/charts/chart20.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harts/chart21.xml" ContentType="application/vnd.openxmlformats-officedocument.drawingml.chart+xml"/>
  <Override PartName="/xl/charts/style27.xml" ContentType="application/vnd.ms-office.chartstyle+xml"/>
  <Override PartName="/xl/charts/colors27.xml" ContentType="application/vnd.ms-office.chartcolorstyle+xml"/>
  <Override PartName="/xl/charts/chart22.xml" ContentType="application/vnd.openxmlformats-officedocument.drawingml.chart+xml"/>
  <Override PartName="/xl/charts/style28.xml" ContentType="application/vnd.ms-office.chartstyle+xml"/>
  <Override PartName="/xl/charts/colors28.xml" ContentType="application/vnd.ms-office.chartcolorstyle+xml"/>
  <Override PartName="/xl/charts/chart23.xml" ContentType="application/vnd.openxmlformats-officedocument.drawingml.chart+xml"/>
  <Override PartName="/xl/charts/style29.xml" ContentType="application/vnd.ms-office.chartstyle+xml"/>
  <Override PartName="/xl/charts/colors29.xml" ContentType="application/vnd.ms-office.chartcolorstyle+xml"/>
  <Override PartName="/xl/charts/chart24.xml" ContentType="application/vnd.openxmlformats-officedocument.drawingml.chart+xml"/>
  <Override PartName="/xl/charts/style30.xml" ContentType="application/vnd.ms-office.chartstyle+xml"/>
  <Override PartName="/xl/charts/colors30.xml" ContentType="application/vnd.ms-office.chartcolorstyle+xml"/>
  <Override PartName="/xl/charts/chart25.xml" ContentType="application/vnd.openxmlformats-officedocument.drawingml.chart+xml"/>
  <Override PartName="/xl/charts/style31.xml" ContentType="application/vnd.ms-office.chartstyle+xml"/>
  <Override PartName="/xl/charts/colors31.xml" ContentType="application/vnd.ms-office.chartcolorstyle+xml"/>
  <Override PartName="/xl/charts/chart26.xml" ContentType="application/vnd.openxmlformats-officedocument.drawingml.chart+xml"/>
  <Override PartName="/xl/charts/style32.xml" ContentType="application/vnd.ms-office.chartstyle+xml"/>
  <Override PartName="/xl/charts/colors32.xml" ContentType="application/vnd.ms-office.chartcolorstyle+xml"/>
  <Override PartName="/xl/charts/chart27.xml" ContentType="application/vnd.openxmlformats-officedocument.drawingml.chart+xml"/>
  <Override PartName="/xl/charts/style33.xml" ContentType="application/vnd.ms-office.chartstyle+xml"/>
  <Override PartName="/xl/charts/colors33.xml" ContentType="application/vnd.ms-office.chartcolorstyle+xml"/>
  <Override PartName="/xl/charts/chart28.xml" ContentType="application/vnd.openxmlformats-officedocument.drawingml.chart+xml"/>
  <Override PartName="/xl/charts/style34.xml" ContentType="application/vnd.ms-office.chartstyle+xml"/>
  <Override PartName="/xl/charts/colors34.xml" ContentType="application/vnd.ms-office.chartcolorstyle+xml"/>
  <Override PartName="/xl/charts/chart29.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8.xml" ContentType="application/vnd.openxmlformats-officedocument.drawing+xml"/>
  <Override PartName="/xl/charts/chart30.xml" ContentType="application/vnd.openxmlformats-officedocument.drawingml.chart+xml"/>
  <Override PartName="/xl/charts/style36.xml" ContentType="application/vnd.ms-office.chartstyle+xml"/>
  <Override PartName="/xl/charts/colors36.xml" ContentType="application/vnd.ms-office.chartcolorstyle+xml"/>
  <Override PartName="/xl/charts/chart31.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9.xml" ContentType="application/vnd.openxmlformats-officedocument.drawing+xml"/>
  <Override PartName="/xl/charts/chartEx7.xml" ContentType="application/vnd.ms-office.chartex+xml"/>
  <Override PartName="/xl/charts/style38.xml" ContentType="application/vnd.ms-office.chartstyle+xml"/>
  <Override PartName="/xl/charts/colors38.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mathildesison/Desktop/Adv Corp/"/>
    </mc:Choice>
  </mc:AlternateContent>
  <xr:revisionPtr revIDLastSave="0" documentId="13_ncr:1_{8FFF3D9B-F4C7-554B-988E-CA3B7ACCF111}" xr6:coauthVersionLast="47" xr6:coauthVersionMax="47" xr10:uidLastSave="{00000000-0000-0000-0000-000000000000}"/>
  <bookViews>
    <workbookView xWindow="4340" yWindow="740" windowWidth="24700" windowHeight="16720" activeTab="3" xr2:uid="{E72C8B06-AD75-6646-9F3F-359DEBE6877A}"/>
  </bookViews>
  <sheets>
    <sheet name="Workshop #1" sheetId="1" r:id="rId1"/>
    <sheet name="Workshop #2" sheetId="2" r:id="rId2"/>
    <sheet name="Workshop #3" sheetId="5" r:id="rId3"/>
    <sheet name="Workshop #4" sheetId="13" r:id="rId4"/>
    <sheet name="Workshop #5" sheetId="17" r:id="rId5"/>
    <sheet name="Workshop #6" sheetId="11" r:id="rId6"/>
    <sheet name="Workshop #7" sheetId="18" r:id="rId7"/>
    <sheet name="Workshop #8" sheetId="19" r:id="rId8"/>
    <sheet name="WS8 Work" sheetId="20" r:id="rId9"/>
    <sheet name="WS6 Work" sheetId="12" r:id="rId10"/>
    <sheet name="Comparable Firms" sheetId="6" r:id="rId11"/>
    <sheet name="Selective Comparable Firms" sheetId="9" r:id="rId12"/>
    <sheet name="Financials" sheetId="4" r:id="rId13"/>
    <sheet name="Stock" sheetId="3" r:id="rId14"/>
    <sheet name="CF Multiples Final" sheetId="10" r:id="rId15"/>
    <sheet name="CF Multiples" sheetId="8" r:id="rId16"/>
    <sheet name="UPS - Income Statement - Annual" sheetId="15" r:id="rId17"/>
    <sheet name="UPS - Balance Sheet - Annual" sheetId="16" r:id="rId18"/>
    <sheet name="Work" sheetId="14" r:id="rId19"/>
  </sheets>
  <externalReferences>
    <externalReference r:id="rId20"/>
  </externalReferences>
  <definedNames>
    <definedName name="_xlnm._FilterDatabase" localSheetId="15" hidden="1">'CF Multiples'!$C$4:$C$122</definedName>
    <definedName name="_xlnm._FilterDatabase" localSheetId="14" hidden="1">'CF Multiples Final'!$A$3:$E$50</definedName>
    <definedName name="_xlchart.v1.0" hidden="1">'Selective Comparable Firms'!$AX$5:$AX$9</definedName>
    <definedName name="_xlchart.v1.1" hidden="1">'Selective Comparable Firms'!$AZ$5:$AZ$9</definedName>
    <definedName name="_xlchart.v1.2" hidden="1">'Selective Comparable Firms'!$AO$5:$AO$9</definedName>
    <definedName name="_xlchart.v1.3" hidden="1">'Comparable Firms'!$AO$5:$AO$122</definedName>
    <definedName name="_xlchart.v1.4" hidden="1">'Comparable Firms'!$AX$5:$AX$122</definedName>
    <definedName name="_xlchart.v1.5" hidden="1">'Comparable Firms'!$AZ$5:$AZ$122</definedName>
    <definedName name="_xlchart.v1.6" hidden="1">'Selective Comparable Firms'!$AO$5:$AO$9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8" i="11" l="1"/>
  <c r="D228" i="19"/>
  <c r="D229" i="19" s="1"/>
  <c r="D230" i="19" s="1"/>
  <c r="D231" i="19" s="1"/>
  <c r="D232" i="19" s="1"/>
  <c r="D233" i="19" s="1"/>
  <c r="D226" i="19"/>
  <c r="D225" i="19" s="1"/>
  <c r="D224" i="19" s="1"/>
  <c r="D223" i="19" s="1"/>
  <c r="D222" i="19" s="1"/>
  <c r="J221" i="19"/>
  <c r="K221" i="19" s="1"/>
  <c r="L221" i="19" s="1"/>
  <c r="M221" i="19" s="1"/>
  <c r="N221" i="19" s="1"/>
  <c r="O221" i="19" s="1"/>
  <c r="P221" i="19" s="1"/>
  <c r="H221" i="19"/>
  <c r="G221" i="19" s="1"/>
  <c r="F221" i="19" s="1"/>
  <c r="E221" i="19" s="1"/>
  <c r="I186" i="19"/>
  <c r="H186" i="19" s="1"/>
  <c r="G186" i="19" s="1"/>
  <c r="F186" i="19" s="1"/>
  <c r="E186" i="19" s="1"/>
  <c r="D193" i="19"/>
  <c r="D194" i="19" s="1"/>
  <c r="D195" i="19" s="1"/>
  <c r="D196" i="19" s="1"/>
  <c r="D197" i="19" s="1"/>
  <c r="D198" i="19" s="1"/>
  <c r="D191" i="19"/>
  <c r="D190" i="19" s="1"/>
  <c r="D189" i="19" s="1"/>
  <c r="D188" i="19" s="1"/>
  <c r="D187" i="19" s="1"/>
  <c r="D209" i="19"/>
  <c r="D208" i="19" s="1"/>
  <c r="D207" i="19" s="1"/>
  <c r="D206" i="19" s="1"/>
  <c r="D205" i="19" s="1"/>
  <c r="D211" i="19"/>
  <c r="D212" i="19" s="1"/>
  <c r="D213" i="19" s="1"/>
  <c r="D214" i="19" s="1"/>
  <c r="D215" i="19" s="1"/>
  <c r="D216" i="19" s="1"/>
  <c r="J204" i="19"/>
  <c r="K204" i="19" s="1"/>
  <c r="L204" i="19" s="1"/>
  <c r="M204" i="19" s="1"/>
  <c r="N204" i="19" s="1"/>
  <c r="O204" i="19" s="1"/>
  <c r="P204" i="19" s="1"/>
  <c r="H204" i="19"/>
  <c r="G204" i="19" s="1"/>
  <c r="F204" i="19" s="1"/>
  <c r="E204" i="19" s="1"/>
  <c r="J169" i="19"/>
  <c r="K169" i="19" s="1"/>
  <c r="L169" i="19" s="1"/>
  <c r="M169" i="19" s="1"/>
  <c r="N169" i="19" s="1"/>
  <c r="O169" i="19" s="1"/>
  <c r="P169" i="19" s="1"/>
  <c r="H169" i="19"/>
  <c r="G169" i="19" s="1"/>
  <c r="F169" i="19" s="1"/>
  <c r="E169" i="19" s="1"/>
  <c r="D158" i="19"/>
  <c r="D175" i="19" s="1"/>
  <c r="I152" i="19"/>
  <c r="J152" i="19" s="1"/>
  <c r="K152" i="19" s="1"/>
  <c r="L152" i="19" s="1"/>
  <c r="M152" i="19" s="1"/>
  <c r="N152" i="19" s="1"/>
  <c r="O152" i="19" s="1"/>
  <c r="P152" i="19" s="1"/>
  <c r="D128" i="19"/>
  <c r="H152" i="19" l="1"/>
  <c r="G152" i="19" s="1"/>
  <c r="F152" i="19" s="1"/>
  <c r="E152" i="19" s="1"/>
  <c r="J186" i="19"/>
  <c r="K186" i="19" s="1"/>
  <c r="L186" i="19" s="1"/>
  <c r="M186" i="19" s="1"/>
  <c r="N186" i="19" s="1"/>
  <c r="O186" i="19" s="1"/>
  <c r="P186" i="19" s="1"/>
  <c r="D63" i="18"/>
  <c r="D53" i="18"/>
  <c r="D41" i="18"/>
  <c r="E41" i="18" s="1"/>
  <c r="D27" i="18"/>
  <c r="D26" i="18"/>
  <c r="D25" i="18"/>
  <c r="G17" i="18"/>
  <c r="H17" i="18"/>
  <c r="I17" i="18"/>
  <c r="J17" i="18"/>
  <c r="F17" i="18"/>
  <c r="G16" i="18"/>
  <c r="H16" i="18"/>
  <c r="I16" i="18"/>
  <c r="J16" i="18"/>
  <c r="G15" i="18"/>
  <c r="H15" i="18"/>
  <c r="I15" i="18"/>
  <c r="J15" i="18"/>
  <c r="F16" i="18"/>
  <c r="F15" i="18"/>
  <c r="G12" i="18"/>
  <c r="H12" i="18"/>
  <c r="I12" i="18"/>
  <c r="J12" i="18"/>
  <c r="D118" i="18" s="1"/>
  <c r="F12" i="18"/>
  <c r="G140" i="13"/>
  <c r="E38" i="18" s="1"/>
  <c r="D130" i="19"/>
  <c r="E199" i="11" s="1"/>
  <c r="D28" i="11"/>
  <c r="D142" i="19"/>
  <c r="D140" i="19"/>
  <c r="E63" i="18" l="1"/>
  <c r="F41" i="18"/>
  <c r="F63" i="18"/>
  <c r="D139" i="19"/>
  <c r="D157" i="19"/>
  <c r="D174" i="19" s="1"/>
  <c r="D143" i="19"/>
  <c r="D159" i="19"/>
  <c r="D176" i="19" s="1"/>
  <c r="F95" i="19"/>
  <c r="F96" i="19" s="1"/>
  <c r="C273" i="2"/>
  <c r="D55" i="19" s="1"/>
  <c r="C22" i="20"/>
  <c r="D22" i="20"/>
  <c r="E22" i="20"/>
  <c r="F22" i="20"/>
  <c r="C23" i="20"/>
  <c r="D23" i="20"/>
  <c r="E23" i="20"/>
  <c r="F23" i="20"/>
  <c r="C24" i="20"/>
  <c r="D24" i="20"/>
  <c r="E24" i="20"/>
  <c r="F24" i="20"/>
  <c r="C25" i="20"/>
  <c r="D25" i="20"/>
  <c r="E25" i="20"/>
  <c r="F25" i="20"/>
  <c r="C26" i="20"/>
  <c r="D26" i="20"/>
  <c r="E26" i="20"/>
  <c r="F26" i="20"/>
  <c r="C28" i="20"/>
  <c r="D28" i="20"/>
  <c r="E28" i="20"/>
  <c r="F28" i="20"/>
  <c r="C29" i="20"/>
  <c r="D29" i="20"/>
  <c r="E29" i="20"/>
  <c r="F29" i="20"/>
  <c r="C31" i="20"/>
  <c r="D31" i="20"/>
  <c r="E31" i="20"/>
  <c r="F31" i="20"/>
  <c r="C32" i="20"/>
  <c r="D32" i="20"/>
  <c r="E32" i="20"/>
  <c r="F32" i="20"/>
  <c r="C33" i="20"/>
  <c r="D33" i="20"/>
  <c r="E33" i="20"/>
  <c r="F33" i="20"/>
  <c r="C34" i="20"/>
  <c r="D34" i="20"/>
  <c r="E34" i="20"/>
  <c r="F34" i="20"/>
  <c r="C36" i="20"/>
  <c r="D36" i="20"/>
  <c r="E36" i="20"/>
  <c r="F36" i="20"/>
  <c r="C37" i="20"/>
  <c r="D37" i="20"/>
  <c r="E37" i="20"/>
  <c r="F37" i="20"/>
  <c r="C38" i="20"/>
  <c r="D38" i="20"/>
  <c r="E38" i="20"/>
  <c r="F38" i="20"/>
  <c r="C40" i="20"/>
  <c r="D40" i="20"/>
  <c r="E40" i="20"/>
  <c r="F40" i="20"/>
  <c r="C41" i="20"/>
  <c r="D41" i="20"/>
  <c r="E41" i="20"/>
  <c r="F41" i="20"/>
  <c r="C42" i="20"/>
  <c r="D42" i="20"/>
  <c r="E42" i="20"/>
  <c r="F42" i="20"/>
  <c r="C43" i="20"/>
  <c r="D43" i="20"/>
  <c r="E43" i="20"/>
  <c r="F43" i="20"/>
  <c r="G43" i="20"/>
  <c r="G42" i="20"/>
  <c r="G41" i="20"/>
  <c r="G40" i="20"/>
  <c r="G38" i="20"/>
  <c r="G37" i="20"/>
  <c r="G36" i="20"/>
  <c r="G34" i="20"/>
  <c r="G33" i="20"/>
  <c r="G32" i="20"/>
  <c r="G31" i="20"/>
  <c r="G29" i="20"/>
  <c r="G28" i="20"/>
  <c r="G26" i="20"/>
  <c r="G25" i="20"/>
  <c r="G24" i="20"/>
  <c r="G23" i="20"/>
  <c r="G22" i="20"/>
  <c r="G21" i="20"/>
  <c r="C5" i="20"/>
  <c r="D5" i="20"/>
  <c r="E5" i="20"/>
  <c r="F5" i="20"/>
  <c r="C6" i="20"/>
  <c r="D6" i="20"/>
  <c r="E6" i="20"/>
  <c r="F6" i="20"/>
  <c r="C8" i="20"/>
  <c r="D8" i="20"/>
  <c r="E8" i="20"/>
  <c r="F8" i="20"/>
  <c r="C9" i="20"/>
  <c r="D9" i="20"/>
  <c r="E9" i="20"/>
  <c r="F9" i="20"/>
  <c r="C10" i="20"/>
  <c r="D10" i="20"/>
  <c r="E10" i="20"/>
  <c r="F10" i="20"/>
  <c r="C12" i="20"/>
  <c r="D12" i="20"/>
  <c r="E12" i="20"/>
  <c r="F12" i="20"/>
  <c r="C13" i="20"/>
  <c r="D13" i="20"/>
  <c r="E13" i="20"/>
  <c r="F13" i="20"/>
  <c r="C14" i="20"/>
  <c r="D14" i="20"/>
  <c r="E14" i="20"/>
  <c r="F14" i="20"/>
  <c r="G14" i="20"/>
  <c r="G13" i="20"/>
  <c r="G12" i="20"/>
  <c r="G10" i="20"/>
  <c r="G8" i="20"/>
  <c r="G6" i="20"/>
  <c r="G5" i="20"/>
  <c r="G9" i="20"/>
  <c r="G4" i="20"/>
  <c r="D122" i="18"/>
  <c r="D66" i="18"/>
  <c r="D76" i="18"/>
  <c r="D106" i="18" s="1"/>
  <c r="D113" i="18"/>
  <c r="C116" i="4"/>
  <c r="D116" i="4"/>
  <c r="E116" i="4"/>
  <c r="F116" i="4"/>
  <c r="B116" i="4"/>
  <c r="B172" i="4"/>
  <c r="P44" i="17"/>
  <c r="Q44" i="17"/>
  <c r="R44" i="17"/>
  <c r="S44" i="17"/>
  <c r="T44" i="17"/>
  <c r="O44" i="17"/>
  <c r="P24" i="17"/>
  <c r="Q24" i="17"/>
  <c r="R24" i="17"/>
  <c r="S24" i="17"/>
  <c r="T24" i="17"/>
  <c r="O33" i="17"/>
  <c r="D95" i="18" s="1"/>
  <c r="O68" i="17"/>
  <c r="O66" i="17"/>
  <c r="O65" i="17"/>
  <c r="O64" i="17"/>
  <c r="O63" i="17"/>
  <c r="D93" i="18" s="1"/>
  <c r="D94" i="18" s="1"/>
  <c r="O61" i="17"/>
  <c r="O60" i="17"/>
  <c r="O59" i="17"/>
  <c r="O57" i="17"/>
  <c r="O56" i="17"/>
  <c r="O55" i="17"/>
  <c r="O54" i="17"/>
  <c r="O52" i="17"/>
  <c r="O51" i="17"/>
  <c r="O49" i="17"/>
  <c r="O48" i="17"/>
  <c r="O47" i="17"/>
  <c r="O46" i="17"/>
  <c r="O45" i="17"/>
  <c r="O40" i="17"/>
  <c r="O39" i="17"/>
  <c r="O34" i="17"/>
  <c r="O32" i="17"/>
  <c r="O30" i="17"/>
  <c r="O29" i="17"/>
  <c r="O28" i="17"/>
  <c r="O26" i="17"/>
  <c r="O25" i="17"/>
  <c r="E32" i="17"/>
  <c r="E68" i="17"/>
  <c r="E66" i="17"/>
  <c r="T66" i="17" s="1"/>
  <c r="L43" i="20" s="1"/>
  <c r="E65" i="17"/>
  <c r="F65" i="17" s="1"/>
  <c r="E64" i="17"/>
  <c r="E63" i="17"/>
  <c r="F64" i="17" s="1"/>
  <c r="E61" i="17"/>
  <c r="Q61" i="17" s="1"/>
  <c r="I38" i="20" s="1"/>
  <c r="E60" i="17"/>
  <c r="E59" i="17"/>
  <c r="E57" i="17"/>
  <c r="E56" i="17"/>
  <c r="E55" i="17"/>
  <c r="E54" i="17"/>
  <c r="E52" i="17"/>
  <c r="E51" i="17"/>
  <c r="E49" i="17"/>
  <c r="E48" i="17"/>
  <c r="E47" i="17"/>
  <c r="E46" i="17"/>
  <c r="E45" i="17"/>
  <c r="D50" i="18" s="1"/>
  <c r="D103" i="18" s="1"/>
  <c r="E40" i="17"/>
  <c r="E39" i="17"/>
  <c r="E34" i="17"/>
  <c r="E33" i="17"/>
  <c r="E30" i="17"/>
  <c r="E29" i="17"/>
  <c r="E28" i="17"/>
  <c r="E26" i="17"/>
  <c r="E25" i="17"/>
  <c r="E24" i="17"/>
  <c r="O24" i="17" s="1"/>
  <c r="G15" i="17"/>
  <c r="G14" i="17"/>
  <c r="G16" i="17" s="1"/>
  <c r="G121" i="13"/>
  <c r="G123" i="13" s="1"/>
  <c r="G120" i="13"/>
  <c r="I116" i="13"/>
  <c r="G116" i="13"/>
  <c r="E115" i="13"/>
  <c r="F135" i="13" s="1"/>
  <c r="AR30" i="15"/>
  <c r="AS30" i="15" s="1"/>
  <c r="AR29" i="15"/>
  <c r="AS29" i="15" s="1"/>
  <c r="AR28" i="15"/>
  <c r="AS28" i="15" s="1"/>
  <c r="AR27" i="15"/>
  <c r="AS27" i="15" s="1"/>
  <c r="AR26" i="15"/>
  <c r="AS26" i="15" s="1"/>
  <c r="AR25" i="15"/>
  <c r="AS25" i="15" s="1"/>
  <c r="AR24" i="15"/>
  <c r="AS24" i="15" s="1"/>
  <c r="AR23" i="15"/>
  <c r="AS23" i="15" s="1"/>
  <c r="AR22" i="15"/>
  <c r="AS22" i="15" s="1"/>
  <c r="AR21" i="15"/>
  <c r="AS21" i="15" s="1"/>
  <c r="AR20" i="15"/>
  <c r="AS20" i="15" s="1"/>
  <c r="AR19" i="15"/>
  <c r="AS19" i="15" s="1"/>
  <c r="AR18" i="15"/>
  <c r="AS18" i="15" s="1"/>
  <c r="AR17" i="15"/>
  <c r="AS17" i="15" s="1"/>
  <c r="AR16" i="15"/>
  <c r="AS16" i="15" s="1"/>
  <c r="AR15" i="15"/>
  <c r="AS15" i="15" s="1"/>
  <c r="AR14" i="15"/>
  <c r="AS14" i="15" s="1"/>
  <c r="AR13" i="15"/>
  <c r="AS13" i="15" s="1"/>
  <c r="AR12" i="15"/>
  <c r="AS12" i="15" s="1"/>
  <c r="AR11" i="15"/>
  <c r="AS11" i="15" s="1"/>
  <c r="AR10" i="15"/>
  <c r="AS10" i="15" s="1"/>
  <c r="AR9" i="15"/>
  <c r="AS9" i="15" s="1"/>
  <c r="AR8" i="15"/>
  <c r="AS8" i="15" s="1"/>
  <c r="AR7" i="15"/>
  <c r="AS7" i="15" s="1"/>
  <c r="AR6" i="15"/>
  <c r="AS6" i="15" s="1"/>
  <c r="AR5" i="15"/>
  <c r="AS5" i="15" s="1"/>
  <c r="E90" i="13"/>
  <c r="E89" i="13"/>
  <c r="E88" i="13"/>
  <c r="F134" i="13" s="1"/>
  <c r="AN28" i="15"/>
  <c r="AN27" i="15"/>
  <c r="AN26" i="15"/>
  <c r="AN25" i="15"/>
  <c r="AN24" i="15"/>
  <c r="AN23" i="15"/>
  <c r="AN22" i="15"/>
  <c r="AN21" i="15"/>
  <c r="AN20" i="15"/>
  <c r="AN19" i="15"/>
  <c r="AN18" i="15"/>
  <c r="AN17" i="15"/>
  <c r="AN16" i="15"/>
  <c r="AN15" i="15"/>
  <c r="AN14" i="15"/>
  <c r="AN13" i="15"/>
  <c r="AN12" i="15"/>
  <c r="AN11" i="15"/>
  <c r="AN10" i="15"/>
  <c r="AN9" i="15"/>
  <c r="AN8" i="15"/>
  <c r="AN7" i="15"/>
  <c r="AN6" i="15"/>
  <c r="AN5" i="15"/>
  <c r="AN29" i="15"/>
  <c r="AK12" i="15"/>
  <c r="AK5" i="15"/>
  <c r="AK28" i="15"/>
  <c r="AK27" i="15"/>
  <c r="AK26" i="15"/>
  <c r="AK25" i="15"/>
  <c r="AK24" i="15"/>
  <c r="AK23" i="15"/>
  <c r="AK22" i="15"/>
  <c r="AK21" i="15"/>
  <c r="AK20" i="15"/>
  <c r="AK19" i="15"/>
  <c r="AK18" i="15"/>
  <c r="AK17" i="15"/>
  <c r="AK16" i="15"/>
  <c r="AK15" i="15"/>
  <c r="AK14" i="15"/>
  <c r="AK13" i="15"/>
  <c r="AK11" i="15"/>
  <c r="AK10" i="15"/>
  <c r="AK9" i="15"/>
  <c r="AK8" i="15"/>
  <c r="AK7" i="15"/>
  <c r="AK6" i="15"/>
  <c r="AK29" i="15"/>
  <c r="AH29" i="15"/>
  <c r="AH5" i="15"/>
  <c r="AH6" i="15"/>
  <c r="AH7" i="15"/>
  <c r="AH8" i="15"/>
  <c r="AH9" i="15"/>
  <c r="AH10" i="15"/>
  <c r="AH11" i="15"/>
  <c r="AH12" i="15"/>
  <c r="AH13" i="15"/>
  <c r="AH14" i="15"/>
  <c r="AH15" i="15"/>
  <c r="AH16" i="15"/>
  <c r="AH17" i="15"/>
  <c r="AH18" i="15"/>
  <c r="AH19" i="15"/>
  <c r="AH20" i="15"/>
  <c r="AH21" i="15"/>
  <c r="AH22" i="15"/>
  <c r="AH23" i="15"/>
  <c r="AH24" i="15"/>
  <c r="AH25" i="15"/>
  <c r="AH26" i="15"/>
  <c r="AH27" i="15"/>
  <c r="AH28" i="15"/>
  <c r="G20" i="17"/>
  <c r="G19" i="17"/>
  <c r="D234" i="11"/>
  <c r="F225" i="11"/>
  <c r="E206" i="11"/>
  <c r="F206" i="11"/>
  <c r="G206" i="11"/>
  <c r="H206" i="11"/>
  <c r="D206" i="11"/>
  <c r="F28" i="4"/>
  <c r="G16" i="20" s="1"/>
  <c r="F185" i="11"/>
  <c r="F184" i="11"/>
  <c r="F183" i="11"/>
  <c r="F182" i="11"/>
  <c r="F181" i="11"/>
  <c r="E185" i="11"/>
  <c r="E184" i="11"/>
  <c r="E183" i="11"/>
  <c r="E182" i="11"/>
  <c r="E181" i="11"/>
  <c r="T192" i="12"/>
  <c r="T134" i="12"/>
  <c r="T135" i="12"/>
  <c r="T136" i="12"/>
  <c r="T137" i="12"/>
  <c r="T138" i="12"/>
  <c r="T139" i="12"/>
  <c r="T140" i="12"/>
  <c r="T141" i="12"/>
  <c r="T142" i="12"/>
  <c r="T143" i="12"/>
  <c r="T144" i="12"/>
  <c r="T145" i="12"/>
  <c r="T146" i="12"/>
  <c r="T147" i="12"/>
  <c r="T148" i="12"/>
  <c r="T149" i="12"/>
  <c r="T150" i="12"/>
  <c r="T151" i="12"/>
  <c r="T152" i="12"/>
  <c r="T153" i="12"/>
  <c r="T154" i="12"/>
  <c r="T155" i="12"/>
  <c r="T156" i="12"/>
  <c r="T157" i="12"/>
  <c r="T158" i="12"/>
  <c r="T159" i="12"/>
  <c r="T160" i="12"/>
  <c r="T161" i="12"/>
  <c r="T162" i="12"/>
  <c r="T163" i="12"/>
  <c r="T164" i="12"/>
  <c r="T165" i="12"/>
  <c r="T166" i="12"/>
  <c r="T167" i="12"/>
  <c r="T168" i="12"/>
  <c r="T169" i="12"/>
  <c r="T170" i="12"/>
  <c r="T171" i="12"/>
  <c r="T172" i="12"/>
  <c r="T173" i="12"/>
  <c r="T174" i="12"/>
  <c r="T175" i="12"/>
  <c r="T176" i="12"/>
  <c r="T177" i="12"/>
  <c r="T178" i="12"/>
  <c r="T179" i="12"/>
  <c r="T180" i="12"/>
  <c r="T181" i="12"/>
  <c r="T182" i="12"/>
  <c r="T183" i="12"/>
  <c r="T184" i="12"/>
  <c r="T185" i="12"/>
  <c r="T186" i="12"/>
  <c r="T187" i="12"/>
  <c r="T188" i="12"/>
  <c r="T189" i="12"/>
  <c r="T190" i="12"/>
  <c r="T191" i="12"/>
  <c r="X134" i="12"/>
  <c r="X135" i="12"/>
  <c r="X136" i="12"/>
  <c r="X137" i="12"/>
  <c r="X138" i="12"/>
  <c r="X139" i="12"/>
  <c r="X140" i="12"/>
  <c r="X141" i="12"/>
  <c r="X142" i="12"/>
  <c r="X143" i="12"/>
  <c r="X144" i="12"/>
  <c r="X145" i="12"/>
  <c r="X146" i="12"/>
  <c r="X147" i="12"/>
  <c r="X148" i="12"/>
  <c r="X149" i="12"/>
  <c r="X150" i="12"/>
  <c r="X151" i="12"/>
  <c r="X152" i="12"/>
  <c r="X153" i="12"/>
  <c r="X154" i="12"/>
  <c r="X155" i="12"/>
  <c r="X156" i="12"/>
  <c r="X157" i="12"/>
  <c r="X158" i="12"/>
  <c r="X159" i="12"/>
  <c r="X160" i="12"/>
  <c r="X161" i="12"/>
  <c r="X162" i="12"/>
  <c r="X163" i="12"/>
  <c r="X164" i="12"/>
  <c r="X165" i="12"/>
  <c r="X166" i="12"/>
  <c r="X167" i="12"/>
  <c r="X168" i="12"/>
  <c r="X169" i="12"/>
  <c r="X170" i="12"/>
  <c r="X171" i="12"/>
  <c r="X172" i="12"/>
  <c r="X173" i="12"/>
  <c r="X174" i="12"/>
  <c r="X175" i="12"/>
  <c r="X176" i="12"/>
  <c r="X177" i="12"/>
  <c r="X178" i="12"/>
  <c r="X179" i="12"/>
  <c r="X180" i="12"/>
  <c r="X181" i="12"/>
  <c r="X182" i="12"/>
  <c r="X183" i="12"/>
  <c r="X184" i="12"/>
  <c r="X185" i="12"/>
  <c r="X186" i="12"/>
  <c r="X187" i="12"/>
  <c r="X188" i="12"/>
  <c r="X189" i="12"/>
  <c r="X190" i="12"/>
  <c r="X191" i="12"/>
  <c r="X192" i="12"/>
  <c r="X133" i="12"/>
  <c r="T133" i="12"/>
  <c r="P134" i="12"/>
  <c r="P135" i="12"/>
  <c r="P136" i="12"/>
  <c r="P137" i="12"/>
  <c r="P138" i="12"/>
  <c r="P139" i="12"/>
  <c r="P140" i="12"/>
  <c r="P141" i="12"/>
  <c r="P142" i="12"/>
  <c r="P143" i="12"/>
  <c r="P144" i="12"/>
  <c r="P145" i="12"/>
  <c r="P146" i="12"/>
  <c r="P147" i="12"/>
  <c r="P148" i="12"/>
  <c r="P149" i="12"/>
  <c r="P150" i="12"/>
  <c r="P151" i="12"/>
  <c r="P152" i="12"/>
  <c r="P153" i="12"/>
  <c r="P154" i="12"/>
  <c r="P155" i="12"/>
  <c r="P156" i="12"/>
  <c r="P157" i="12"/>
  <c r="P158" i="12"/>
  <c r="P159" i="12"/>
  <c r="P160" i="12"/>
  <c r="P161" i="12"/>
  <c r="P162" i="12"/>
  <c r="P163" i="12"/>
  <c r="P164" i="12"/>
  <c r="P165" i="12"/>
  <c r="P166" i="12"/>
  <c r="P167" i="12"/>
  <c r="P168" i="12"/>
  <c r="P169" i="12"/>
  <c r="P170" i="12"/>
  <c r="P171" i="12"/>
  <c r="P172" i="12"/>
  <c r="P173" i="12"/>
  <c r="P174" i="12"/>
  <c r="P175" i="12"/>
  <c r="P176" i="12"/>
  <c r="P177" i="12"/>
  <c r="P178" i="12"/>
  <c r="P179" i="12"/>
  <c r="P180" i="12"/>
  <c r="P181" i="12"/>
  <c r="P182" i="12"/>
  <c r="P183" i="12"/>
  <c r="P184" i="12"/>
  <c r="P185" i="12"/>
  <c r="P186" i="12"/>
  <c r="P187" i="12"/>
  <c r="P188" i="12"/>
  <c r="P189" i="12"/>
  <c r="P190" i="12"/>
  <c r="P191" i="12"/>
  <c r="P192" i="12"/>
  <c r="P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L192" i="12"/>
  <c r="L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H192" i="12"/>
  <c r="H133" i="12"/>
  <c r="D133" i="12"/>
  <c r="D192" i="12"/>
  <c r="D134" i="12"/>
  <c r="D135" i="12"/>
  <c r="D136" i="12"/>
  <c r="D137" i="12"/>
  <c r="D138" i="12"/>
  <c r="D139" i="12"/>
  <c r="D140" i="12"/>
  <c r="D141" i="12"/>
  <c r="D142" i="12"/>
  <c r="D143" i="12"/>
  <c r="D144" i="12"/>
  <c r="D145" i="12"/>
  <c r="D146" i="12"/>
  <c r="D147" i="12"/>
  <c r="D148" i="12"/>
  <c r="D149" i="12"/>
  <c r="D150" i="12"/>
  <c r="D151" i="12"/>
  <c r="D152" i="12"/>
  <c r="D153" i="12"/>
  <c r="D154" i="12"/>
  <c r="D155" i="12"/>
  <c r="D156" i="12"/>
  <c r="D157" i="12"/>
  <c r="D158" i="12"/>
  <c r="D159" i="12"/>
  <c r="D160" i="12"/>
  <c r="D161" i="12"/>
  <c r="D162" i="12"/>
  <c r="D163" i="12"/>
  <c r="D164" i="12"/>
  <c r="D165" i="12"/>
  <c r="D166" i="12"/>
  <c r="D167" i="12"/>
  <c r="D168" i="12"/>
  <c r="D169" i="12"/>
  <c r="D170" i="12"/>
  <c r="D171" i="12"/>
  <c r="D172" i="12"/>
  <c r="D173" i="12"/>
  <c r="D174" i="12"/>
  <c r="D175" i="12"/>
  <c r="D176" i="12"/>
  <c r="D177" i="12"/>
  <c r="D178" i="12"/>
  <c r="D179" i="12"/>
  <c r="D180" i="12"/>
  <c r="D181" i="12"/>
  <c r="D182" i="12"/>
  <c r="D183" i="12"/>
  <c r="D184" i="12"/>
  <c r="D185" i="12"/>
  <c r="D186" i="12"/>
  <c r="D187" i="12"/>
  <c r="D188" i="12"/>
  <c r="D189" i="12"/>
  <c r="D190" i="12"/>
  <c r="D191" i="12"/>
  <c r="F79" i="11"/>
  <c r="D81" i="11" s="1"/>
  <c r="F78" i="11"/>
  <c r="E78" i="11"/>
  <c r="D77" i="11"/>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124" i="12"/>
  <c r="D125" i="12"/>
  <c r="D126" i="12"/>
  <c r="D127" i="12"/>
  <c r="D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8" i="12"/>
  <c r="E23" i="11"/>
  <c r="E22" i="11"/>
  <c r="E21" i="11"/>
  <c r="E28" i="11" s="1"/>
  <c r="F38" i="11" s="1"/>
  <c r="F39" i="11" s="1"/>
  <c r="E224" i="11" s="1"/>
  <c r="E20" i="11"/>
  <c r="E19" i="11"/>
  <c r="E221" i="11"/>
  <c r="C17" i="11"/>
  <c r="C16" i="11"/>
  <c r="C15" i="11"/>
  <c r="C14" i="11"/>
  <c r="D139" i="5"/>
  <c r="D141" i="5"/>
  <c r="D140" i="5"/>
  <c r="D138" i="5"/>
  <c r="D131" i="5"/>
  <c r="C128" i="5"/>
  <c r="C127" i="5"/>
  <c r="K32" i="5"/>
  <c r="K34" i="5" s="1"/>
  <c r="I32" i="5"/>
  <c r="D127" i="18" s="1"/>
  <c r="G32" i="5"/>
  <c r="G33" i="5" s="1"/>
  <c r="G13" i="5"/>
  <c r="G14" i="5" s="1"/>
  <c r="K13" i="5"/>
  <c r="K15" i="5" s="1"/>
  <c r="I13" i="5"/>
  <c r="I14" i="5" s="1"/>
  <c r="E20" i="2"/>
  <c r="E325" i="2"/>
  <c r="D289" i="2"/>
  <c r="E289" i="2"/>
  <c r="F289" i="2"/>
  <c r="G289" i="2"/>
  <c r="D290" i="2"/>
  <c r="E290" i="2"/>
  <c r="F290" i="2"/>
  <c r="G290" i="2"/>
  <c r="C290" i="2"/>
  <c r="C289" i="2"/>
  <c r="G280" i="2"/>
  <c r="D340" i="2" s="1"/>
  <c r="F340" i="2" s="1"/>
  <c r="D280" i="2"/>
  <c r="E120" i="17" s="1"/>
  <c r="E280" i="2"/>
  <c r="F120" i="17" s="1"/>
  <c r="F280" i="2"/>
  <c r="G120" i="17" s="1"/>
  <c r="C280" i="2"/>
  <c r="D120" i="17" s="1"/>
  <c r="D279" i="2"/>
  <c r="E60" i="19" s="1"/>
  <c r="E279" i="2"/>
  <c r="F60" i="19" s="1"/>
  <c r="F279" i="2"/>
  <c r="G60" i="19" s="1"/>
  <c r="G279" i="2"/>
  <c r="D313" i="2" s="1"/>
  <c r="F313" i="2" s="1"/>
  <c r="C279" i="2"/>
  <c r="D119" i="17" s="1"/>
  <c r="D276" i="2"/>
  <c r="E58" i="19" s="1"/>
  <c r="E276" i="2"/>
  <c r="F58" i="19" s="1"/>
  <c r="F276" i="2"/>
  <c r="G117" i="17" s="1"/>
  <c r="G276" i="2"/>
  <c r="D336" i="2" s="1"/>
  <c r="F336" i="2" s="1"/>
  <c r="C276" i="2"/>
  <c r="D58" i="19" s="1"/>
  <c r="D274" i="2"/>
  <c r="E115" i="17" s="1"/>
  <c r="E274" i="2"/>
  <c r="F56" i="19" s="1"/>
  <c r="F274" i="2"/>
  <c r="G56" i="19" s="1"/>
  <c r="G274" i="2"/>
  <c r="D334" i="2" s="1"/>
  <c r="F334" i="2" s="1"/>
  <c r="C274" i="2"/>
  <c r="D56" i="19" s="1"/>
  <c r="D273" i="2"/>
  <c r="D288" i="2" s="1"/>
  <c r="E273" i="2"/>
  <c r="E288" i="2" s="1"/>
  <c r="F273" i="2"/>
  <c r="F288" i="2" s="1"/>
  <c r="G273" i="2"/>
  <c r="D333" i="2" s="1"/>
  <c r="F333" i="2" s="1"/>
  <c r="D272" i="2"/>
  <c r="E54" i="19" s="1"/>
  <c r="E272" i="2"/>
  <c r="F54" i="19" s="1"/>
  <c r="F272" i="2"/>
  <c r="G54" i="19" s="1"/>
  <c r="G272" i="2"/>
  <c r="D332" i="2" s="1"/>
  <c r="F332" i="2" s="1"/>
  <c r="C272" i="2"/>
  <c r="D113" i="17" s="1"/>
  <c r="F262" i="2"/>
  <c r="F264" i="2" s="1"/>
  <c r="D325" i="2" s="1"/>
  <c r="E143" i="2"/>
  <c r="F143" i="2"/>
  <c r="G143" i="2"/>
  <c r="H143" i="2"/>
  <c r="E144" i="2"/>
  <c r="F144" i="2"/>
  <c r="G144" i="2"/>
  <c r="H144" i="2"/>
  <c r="E145" i="2"/>
  <c r="F145" i="2"/>
  <c r="G145" i="2"/>
  <c r="H145" i="2"/>
  <c r="E146" i="2"/>
  <c r="F146" i="2"/>
  <c r="G146" i="2"/>
  <c r="H146" i="2"/>
  <c r="E147" i="2"/>
  <c r="F147" i="2"/>
  <c r="G147" i="2"/>
  <c r="H147" i="2"/>
  <c r="E148" i="2"/>
  <c r="F148" i="2"/>
  <c r="G148" i="2"/>
  <c r="H148" i="2"/>
  <c r="E149" i="2"/>
  <c r="F149" i="2"/>
  <c r="G149" i="2"/>
  <c r="H149" i="2"/>
  <c r="E150" i="2"/>
  <c r="F150" i="2"/>
  <c r="G150" i="2"/>
  <c r="H150" i="2"/>
  <c r="E152" i="2"/>
  <c r="F152" i="2"/>
  <c r="G152" i="2"/>
  <c r="H152" i="2"/>
  <c r="E153" i="2"/>
  <c r="F153" i="2"/>
  <c r="G153" i="2"/>
  <c r="H153" i="2"/>
  <c r="E155" i="2"/>
  <c r="F155" i="2"/>
  <c r="G155" i="2"/>
  <c r="H155" i="2"/>
  <c r="E156" i="2"/>
  <c r="F156" i="2"/>
  <c r="G156" i="2"/>
  <c r="H156" i="2"/>
  <c r="E157" i="2"/>
  <c r="F157" i="2"/>
  <c r="G157" i="2"/>
  <c r="H157" i="2"/>
  <c r="E158" i="2"/>
  <c r="F158" i="2"/>
  <c r="G158" i="2"/>
  <c r="H158" i="2"/>
  <c r="E159" i="2"/>
  <c r="F159" i="2"/>
  <c r="G159" i="2"/>
  <c r="H159" i="2"/>
  <c r="E162" i="2"/>
  <c r="F162" i="2"/>
  <c r="G162" i="2"/>
  <c r="H162" i="2"/>
  <c r="E163" i="2"/>
  <c r="F163" i="2"/>
  <c r="H163" i="2"/>
  <c r="E164" i="2"/>
  <c r="F164" i="2"/>
  <c r="H164" i="2"/>
  <c r="E165" i="2"/>
  <c r="F165" i="2"/>
  <c r="G165" i="2"/>
  <c r="H165" i="2"/>
  <c r="E167" i="2"/>
  <c r="F167" i="2"/>
  <c r="G167" i="2"/>
  <c r="H167" i="2"/>
  <c r="E168" i="2"/>
  <c r="F168" i="2"/>
  <c r="G168" i="2"/>
  <c r="H168" i="2"/>
  <c r="E169" i="2"/>
  <c r="F169" i="2"/>
  <c r="G169" i="2"/>
  <c r="H169" i="2"/>
  <c r="E170" i="2"/>
  <c r="F170" i="2"/>
  <c r="G170" i="2"/>
  <c r="H170" i="2"/>
  <c r="E171" i="2"/>
  <c r="F171" i="2"/>
  <c r="G171" i="2"/>
  <c r="H171" i="2"/>
  <c r="E172" i="2"/>
  <c r="F172" i="2"/>
  <c r="G172" i="2"/>
  <c r="H172" i="2"/>
  <c r="E173" i="2"/>
  <c r="F173" i="2"/>
  <c r="G173" i="2"/>
  <c r="H173" i="2"/>
  <c r="E175" i="2"/>
  <c r="F175" i="2"/>
  <c r="G175" i="2"/>
  <c r="H175" i="2"/>
  <c r="E176" i="2"/>
  <c r="F176" i="2"/>
  <c r="G176" i="2"/>
  <c r="H176" i="2"/>
  <c r="E177" i="2"/>
  <c r="F177" i="2"/>
  <c r="G177" i="2"/>
  <c r="H177" i="2"/>
  <c r="E178" i="2"/>
  <c r="F178" i="2"/>
  <c r="G178" i="2"/>
  <c r="H178" i="2"/>
  <c r="E179" i="2"/>
  <c r="F179" i="2"/>
  <c r="G179" i="2"/>
  <c r="H179" i="2"/>
  <c r="E180" i="2"/>
  <c r="F180" i="2"/>
  <c r="G180" i="2"/>
  <c r="H180" i="2"/>
  <c r="E181" i="2"/>
  <c r="F181" i="2"/>
  <c r="G181" i="2"/>
  <c r="H181" i="2"/>
  <c r="E182" i="2"/>
  <c r="F182" i="2"/>
  <c r="G182" i="2"/>
  <c r="H182" i="2"/>
  <c r="E183" i="2"/>
  <c r="F183" i="2"/>
  <c r="G183" i="2"/>
  <c r="H183" i="2"/>
  <c r="E184" i="2"/>
  <c r="F184" i="2"/>
  <c r="G184" i="2"/>
  <c r="H184" i="2"/>
  <c r="E186" i="2"/>
  <c r="F186" i="2"/>
  <c r="G186" i="2"/>
  <c r="H186" i="2"/>
  <c r="E187" i="2"/>
  <c r="F187" i="2"/>
  <c r="G187" i="2"/>
  <c r="H187" i="2"/>
  <c r="E188" i="2"/>
  <c r="F188" i="2"/>
  <c r="G188" i="2"/>
  <c r="H188" i="2"/>
  <c r="E21" i="2"/>
  <c r="F21" i="2"/>
  <c r="G21" i="2"/>
  <c r="H21" i="2"/>
  <c r="I21" i="2"/>
  <c r="E22" i="2"/>
  <c r="F22" i="2"/>
  <c r="G22" i="2"/>
  <c r="H22" i="2"/>
  <c r="I22" i="2"/>
  <c r="E23" i="2"/>
  <c r="F23" i="2"/>
  <c r="G23" i="2"/>
  <c r="H23" i="2"/>
  <c r="I23" i="2"/>
  <c r="E24" i="2"/>
  <c r="F24" i="2"/>
  <c r="G24" i="2"/>
  <c r="H24" i="2"/>
  <c r="I24" i="2"/>
  <c r="E25" i="2"/>
  <c r="F25" i="2"/>
  <c r="G25" i="2"/>
  <c r="H25" i="2"/>
  <c r="I25" i="2"/>
  <c r="E26" i="2"/>
  <c r="F26" i="2"/>
  <c r="G26" i="2"/>
  <c r="H26" i="2"/>
  <c r="I26" i="2"/>
  <c r="E27" i="2"/>
  <c r="F27" i="2"/>
  <c r="G27" i="2"/>
  <c r="H27" i="2"/>
  <c r="I27" i="2"/>
  <c r="E28" i="2"/>
  <c r="F28" i="2"/>
  <c r="G28" i="2"/>
  <c r="H28" i="2"/>
  <c r="I28" i="2"/>
  <c r="E29" i="2"/>
  <c r="F29" i="2"/>
  <c r="G29" i="2"/>
  <c r="H29" i="2"/>
  <c r="I29" i="2"/>
  <c r="E30" i="2"/>
  <c r="F30" i="2"/>
  <c r="G30" i="2"/>
  <c r="H30" i="2"/>
  <c r="I30" i="2"/>
  <c r="E31" i="2"/>
  <c r="F31" i="2"/>
  <c r="G31" i="2"/>
  <c r="H31" i="2"/>
  <c r="I31" i="2"/>
  <c r="E32" i="2"/>
  <c r="F32" i="2"/>
  <c r="G32" i="2"/>
  <c r="H32" i="2"/>
  <c r="I32" i="2"/>
  <c r="E33" i="2"/>
  <c r="F33" i="2"/>
  <c r="G33" i="2"/>
  <c r="H33" i="2"/>
  <c r="I33" i="2"/>
  <c r="E34" i="2"/>
  <c r="F34" i="2"/>
  <c r="G34" i="2"/>
  <c r="H34" i="2"/>
  <c r="I34" i="2"/>
  <c r="E35" i="2"/>
  <c r="F35" i="2"/>
  <c r="G35" i="2"/>
  <c r="H35" i="2"/>
  <c r="I35" i="2"/>
  <c r="E36" i="2"/>
  <c r="F36" i="2"/>
  <c r="G36" i="2"/>
  <c r="H36" i="2"/>
  <c r="I36" i="2"/>
  <c r="E37" i="2"/>
  <c r="F37" i="2"/>
  <c r="G37" i="2"/>
  <c r="H37" i="2"/>
  <c r="I37" i="2"/>
  <c r="E38" i="2"/>
  <c r="F38" i="2"/>
  <c r="G38" i="2"/>
  <c r="H38" i="2"/>
  <c r="I38" i="2"/>
  <c r="E39" i="2"/>
  <c r="F39" i="2"/>
  <c r="G39" i="2"/>
  <c r="H39" i="2"/>
  <c r="I39" i="2"/>
  <c r="E40" i="2"/>
  <c r="F40" i="2"/>
  <c r="G40" i="2"/>
  <c r="H40" i="2"/>
  <c r="I40" i="2"/>
  <c r="E41" i="2"/>
  <c r="F41" i="2"/>
  <c r="G41" i="2"/>
  <c r="H41" i="2"/>
  <c r="I41" i="2"/>
  <c r="E42" i="2"/>
  <c r="F42" i="2"/>
  <c r="G42" i="2"/>
  <c r="H42" i="2"/>
  <c r="I42" i="2"/>
  <c r="E43" i="2"/>
  <c r="F43" i="2"/>
  <c r="G43" i="2"/>
  <c r="H43" i="2"/>
  <c r="I43" i="2"/>
  <c r="E45" i="2"/>
  <c r="F45" i="2"/>
  <c r="G45" i="2"/>
  <c r="H45" i="2"/>
  <c r="I45" i="2"/>
  <c r="E46" i="2"/>
  <c r="F46" i="2"/>
  <c r="G46" i="2"/>
  <c r="H46" i="2"/>
  <c r="I46" i="2"/>
  <c r="E47" i="2"/>
  <c r="F47" i="2"/>
  <c r="G47" i="2"/>
  <c r="H47" i="2"/>
  <c r="I47" i="2"/>
  <c r="E48" i="2"/>
  <c r="F48" i="2"/>
  <c r="G48" i="2"/>
  <c r="H48" i="2"/>
  <c r="I48" i="2"/>
  <c r="E49" i="2"/>
  <c r="F49" i="2"/>
  <c r="G49" i="2"/>
  <c r="H49" i="2"/>
  <c r="I49" i="2"/>
  <c r="E50" i="2"/>
  <c r="F50" i="2"/>
  <c r="G50" i="2"/>
  <c r="H50" i="2"/>
  <c r="I50" i="2"/>
  <c r="E51" i="2"/>
  <c r="F51" i="2"/>
  <c r="G51" i="2"/>
  <c r="H51" i="2"/>
  <c r="I51" i="2"/>
  <c r="E52" i="2"/>
  <c r="F52" i="2"/>
  <c r="G52" i="2"/>
  <c r="H52" i="2"/>
  <c r="I52" i="2"/>
  <c r="E53" i="2"/>
  <c r="F53" i="2"/>
  <c r="G53" i="2"/>
  <c r="H53" i="2"/>
  <c r="I53" i="2"/>
  <c r="E54" i="2"/>
  <c r="F54" i="2"/>
  <c r="G54" i="2"/>
  <c r="H54" i="2"/>
  <c r="I54" i="2"/>
  <c r="E55" i="2"/>
  <c r="F55" i="2"/>
  <c r="G55" i="2"/>
  <c r="H55" i="2"/>
  <c r="I55" i="2"/>
  <c r="E56" i="2"/>
  <c r="F56" i="2"/>
  <c r="G56" i="2"/>
  <c r="H56" i="2"/>
  <c r="I56" i="2"/>
  <c r="E57" i="2"/>
  <c r="F57" i="2"/>
  <c r="G57" i="2"/>
  <c r="H57" i="2"/>
  <c r="I57" i="2"/>
  <c r="E58" i="2"/>
  <c r="F58" i="2"/>
  <c r="G58" i="2"/>
  <c r="H58" i="2"/>
  <c r="I58" i="2"/>
  <c r="E59" i="2"/>
  <c r="F59" i="2"/>
  <c r="G59" i="2"/>
  <c r="H59" i="2"/>
  <c r="I59" i="2"/>
  <c r="E60" i="2"/>
  <c r="F60" i="2"/>
  <c r="G60" i="2"/>
  <c r="H60" i="2"/>
  <c r="I60" i="2"/>
  <c r="E61" i="2"/>
  <c r="F61" i="2"/>
  <c r="G61" i="2"/>
  <c r="H61" i="2"/>
  <c r="I61" i="2"/>
  <c r="E62" i="2"/>
  <c r="F62" i="2"/>
  <c r="G62" i="2"/>
  <c r="H62" i="2"/>
  <c r="I62" i="2"/>
  <c r="E63" i="2"/>
  <c r="F63" i="2"/>
  <c r="G63" i="2"/>
  <c r="H63" i="2"/>
  <c r="I63" i="2"/>
  <c r="E64" i="2"/>
  <c r="F64" i="2"/>
  <c r="G64" i="2"/>
  <c r="H64" i="2"/>
  <c r="I64" i="2"/>
  <c r="E65" i="2"/>
  <c r="F65" i="2"/>
  <c r="G65" i="2"/>
  <c r="H65" i="2"/>
  <c r="I65" i="2"/>
  <c r="E66" i="2"/>
  <c r="F66" i="2"/>
  <c r="G66" i="2"/>
  <c r="H66" i="2"/>
  <c r="I66" i="2"/>
  <c r="F142" i="2"/>
  <c r="G142" i="2"/>
  <c r="H142" i="2"/>
  <c r="E142" i="2"/>
  <c r="E195" i="2"/>
  <c r="F195" i="2"/>
  <c r="G195" i="2"/>
  <c r="H195" i="2"/>
  <c r="E196" i="2"/>
  <c r="F196" i="2"/>
  <c r="G196" i="2"/>
  <c r="H196" i="2"/>
  <c r="E197" i="2"/>
  <c r="F197" i="2"/>
  <c r="G197" i="2"/>
  <c r="H197" i="2"/>
  <c r="E198" i="2"/>
  <c r="F198" i="2"/>
  <c r="G198" i="2"/>
  <c r="H198" i="2"/>
  <c r="E199" i="2"/>
  <c r="F199" i="2"/>
  <c r="G199" i="2"/>
  <c r="H199" i="2"/>
  <c r="E200" i="2"/>
  <c r="F200" i="2"/>
  <c r="G200" i="2"/>
  <c r="H200" i="2"/>
  <c r="E202" i="2"/>
  <c r="F202" i="2"/>
  <c r="G202" i="2"/>
  <c r="H202" i="2"/>
  <c r="E203" i="2"/>
  <c r="F203" i="2"/>
  <c r="E204" i="2"/>
  <c r="F204" i="2"/>
  <c r="G204" i="2"/>
  <c r="H204" i="2"/>
  <c r="E205" i="2"/>
  <c r="F205" i="2"/>
  <c r="G205" i="2"/>
  <c r="H205" i="2"/>
  <c r="E206" i="2"/>
  <c r="F206" i="2"/>
  <c r="G206" i="2"/>
  <c r="H206" i="2"/>
  <c r="E207" i="2"/>
  <c r="F207" i="2"/>
  <c r="G207" i="2"/>
  <c r="H207" i="2"/>
  <c r="E208" i="2"/>
  <c r="F208" i="2"/>
  <c r="G208" i="2"/>
  <c r="H208" i="2"/>
  <c r="E209" i="2"/>
  <c r="F209" i="2"/>
  <c r="G209" i="2"/>
  <c r="H209" i="2"/>
  <c r="E210" i="2"/>
  <c r="F210" i="2"/>
  <c r="G210" i="2"/>
  <c r="H210" i="2"/>
  <c r="E211" i="2"/>
  <c r="F211" i="2"/>
  <c r="G211" i="2"/>
  <c r="H211" i="2"/>
  <c r="E212" i="2"/>
  <c r="F212" i="2"/>
  <c r="G212" i="2"/>
  <c r="H212" i="2"/>
  <c r="G213" i="2"/>
  <c r="H213" i="2"/>
  <c r="E214" i="2"/>
  <c r="F214" i="2"/>
  <c r="G214" i="2"/>
  <c r="H214" i="2"/>
  <c r="E215" i="2"/>
  <c r="F215" i="2"/>
  <c r="G215" i="2"/>
  <c r="H215" i="2"/>
  <c r="E216" i="2"/>
  <c r="F216" i="2"/>
  <c r="G216" i="2"/>
  <c r="H216" i="2"/>
  <c r="E217" i="2"/>
  <c r="F217" i="2"/>
  <c r="G217" i="2"/>
  <c r="H217" i="2"/>
  <c r="G218" i="2"/>
  <c r="H218" i="2"/>
  <c r="E219" i="2"/>
  <c r="F219" i="2"/>
  <c r="G219" i="2"/>
  <c r="H219" i="2"/>
  <c r="E220" i="2"/>
  <c r="F220" i="2"/>
  <c r="G220" i="2"/>
  <c r="H220" i="2"/>
  <c r="E221" i="2"/>
  <c r="F221" i="2"/>
  <c r="G221" i="2"/>
  <c r="H221" i="2"/>
  <c r="E222" i="2"/>
  <c r="F222" i="2"/>
  <c r="G222" i="2"/>
  <c r="H222" i="2"/>
  <c r="E223" i="2"/>
  <c r="F223" i="2"/>
  <c r="G223" i="2"/>
  <c r="H223" i="2"/>
  <c r="E224" i="2"/>
  <c r="F224" i="2"/>
  <c r="G224" i="2"/>
  <c r="H224" i="2"/>
  <c r="G225" i="2"/>
  <c r="H225" i="2"/>
  <c r="E226" i="2"/>
  <c r="F226" i="2"/>
  <c r="G226" i="2"/>
  <c r="H226" i="2"/>
  <c r="E227" i="2"/>
  <c r="F227" i="2"/>
  <c r="G227" i="2"/>
  <c r="H227" i="2"/>
  <c r="E228" i="2"/>
  <c r="F228" i="2"/>
  <c r="G228" i="2"/>
  <c r="H228" i="2"/>
  <c r="E229" i="2"/>
  <c r="F229" i="2"/>
  <c r="G229" i="2"/>
  <c r="H229" i="2"/>
  <c r="E230" i="2"/>
  <c r="F230" i="2"/>
  <c r="G230" i="2"/>
  <c r="H230" i="2"/>
  <c r="E231" i="2"/>
  <c r="F231" i="2"/>
  <c r="G231" i="2"/>
  <c r="H231" i="2"/>
  <c r="E232" i="2"/>
  <c r="F232" i="2"/>
  <c r="G232" i="2"/>
  <c r="H232" i="2"/>
  <c r="E233" i="2"/>
  <c r="F233" i="2"/>
  <c r="G233" i="2"/>
  <c r="H233" i="2"/>
  <c r="E234" i="2"/>
  <c r="F234" i="2"/>
  <c r="G234" i="2"/>
  <c r="H234" i="2"/>
  <c r="E235" i="2"/>
  <c r="F235" i="2"/>
  <c r="G235" i="2"/>
  <c r="H235" i="2"/>
  <c r="E236" i="2"/>
  <c r="F236" i="2"/>
  <c r="G236" i="2"/>
  <c r="H236" i="2"/>
  <c r="E237" i="2"/>
  <c r="F237" i="2"/>
  <c r="G237" i="2"/>
  <c r="H237" i="2"/>
  <c r="E238" i="2"/>
  <c r="F238" i="2"/>
  <c r="G238" i="2"/>
  <c r="H238" i="2"/>
  <c r="E239" i="2"/>
  <c r="F239" i="2"/>
  <c r="G239" i="2"/>
  <c r="H239" i="2"/>
  <c r="E240" i="2"/>
  <c r="F240" i="2"/>
  <c r="G240" i="2"/>
  <c r="H240" i="2"/>
  <c r="E241" i="2"/>
  <c r="F241" i="2"/>
  <c r="G241" i="2"/>
  <c r="H241" i="2"/>
  <c r="E242" i="2"/>
  <c r="F242" i="2"/>
  <c r="G242" i="2"/>
  <c r="H242" i="2"/>
  <c r="E243" i="2"/>
  <c r="F243" i="2"/>
  <c r="G243" i="2"/>
  <c r="H243" i="2"/>
  <c r="E244" i="2"/>
  <c r="F244" i="2"/>
  <c r="G244" i="2"/>
  <c r="H244" i="2"/>
  <c r="E245" i="2"/>
  <c r="F245" i="2"/>
  <c r="E246" i="2"/>
  <c r="F246" i="2"/>
  <c r="G246" i="2"/>
  <c r="H246" i="2"/>
  <c r="E247" i="2"/>
  <c r="F247" i="2"/>
  <c r="G247" i="2"/>
  <c r="H247" i="2"/>
  <c r="E248" i="2"/>
  <c r="F248" i="2"/>
  <c r="G248" i="2"/>
  <c r="H248" i="2"/>
  <c r="E249" i="2"/>
  <c r="F249" i="2"/>
  <c r="G249" i="2"/>
  <c r="H249" i="2"/>
  <c r="E250" i="2"/>
  <c r="F250" i="2"/>
  <c r="G250" i="2"/>
  <c r="H250" i="2"/>
  <c r="E251" i="2"/>
  <c r="F251" i="2"/>
  <c r="G251" i="2"/>
  <c r="H251" i="2"/>
  <c r="E252" i="2"/>
  <c r="F252" i="2"/>
  <c r="G252" i="2"/>
  <c r="H252" i="2"/>
  <c r="E253" i="2"/>
  <c r="F253" i="2"/>
  <c r="G253" i="2"/>
  <c r="H253" i="2"/>
  <c r="E254" i="2"/>
  <c r="F254" i="2"/>
  <c r="G254" i="2"/>
  <c r="H254" i="2"/>
  <c r="F194" i="2"/>
  <c r="G194" i="2"/>
  <c r="H194" i="2"/>
  <c r="E194" i="2"/>
  <c r="E77" i="2"/>
  <c r="F77" i="2"/>
  <c r="G77" i="2"/>
  <c r="H77" i="2"/>
  <c r="I77" i="2"/>
  <c r="E78" i="2"/>
  <c r="F78" i="2"/>
  <c r="G78" i="2"/>
  <c r="H78" i="2"/>
  <c r="I78" i="2"/>
  <c r="E79" i="2"/>
  <c r="F79" i="2"/>
  <c r="G79" i="2"/>
  <c r="H79" i="2"/>
  <c r="I79" i="2"/>
  <c r="E80" i="2"/>
  <c r="F80" i="2"/>
  <c r="G80" i="2"/>
  <c r="H80" i="2"/>
  <c r="I80" i="2"/>
  <c r="E81" i="2"/>
  <c r="F81" i="2"/>
  <c r="G81" i="2"/>
  <c r="H81" i="2"/>
  <c r="I81" i="2"/>
  <c r="E82" i="2"/>
  <c r="F82" i="2"/>
  <c r="G82" i="2"/>
  <c r="H82" i="2"/>
  <c r="I82" i="2"/>
  <c r="E83" i="2"/>
  <c r="F83" i="2"/>
  <c r="G83" i="2"/>
  <c r="H83" i="2"/>
  <c r="I83" i="2"/>
  <c r="E84" i="2"/>
  <c r="F84" i="2"/>
  <c r="G84" i="2"/>
  <c r="H84" i="2"/>
  <c r="I84" i="2"/>
  <c r="E85" i="2"/>
  <c r="F85" i="2"/>
  <c r="G85" i="2"/>
  <c r="H85" i="2"/>
  <c r="I85" i="2"/>
  <c r="E86" i="2"/>
  <c r="F86" i="2"/>
  <c r="G86" i="2"/>
  <c r="H86" i="2"/>
  <c r="I86" i="2"/>
  <c r="E87" i="2"/>
  <c r="F87" i="2"/>
  <c r="G87" i="2"/>
  <c r="H87" i="2"/>
  <c r="I87" i="2"/>
  <c r="E88" i="2"/>
  <c r="F88" i="2"/>
  <c r="G88" i="2"/>
  <c r="H88" i="2"/>
  <c r="I88" i="2"/>
  <c r="E89" i="2"/>
  <c r="F89" i="2"/>
  <c r="G89" i="2"/>
  <c r="H89" i="2"/>
  <c r="I89" i="2"/>
  <c r="E90" i="2"/>
  <c r="F90" i="2"/>
  <c r="G90" i="2"/>
  <c r="H90" i="2"/>
  <c r="I90" i="2"/>
  <c r="E91" i="2"/>
  <c r="F91" i="2"/>
  <c r="G91" i="2"/>
  <c r="H91" i="2"/>
  <c r="I91" i="2"/>
  <c r="E92" i="2"/>
  <c r="F92" i="2"/>
  <c r="G92" i="2"/>
  <c r="H92" i="2"/>
  <c r="I92" i="2"/>
  <c r="E93" i="2"/>
  <c r="F93" i="2"/>
  <c r="G93" i="2"/>
  <c r="H93" i="2"/>
  <c r="I93" i="2"/>
  <c r="E94" i="2"/>
  <c r="F94" i="2"/>
  <c r="G94" i="2"/>
  <c r="H94" i="2"/>
  <c r="I94" i="2"/>
  <c r="E95" i="2"/>
  <c r="F95" i="2"/>
  <c r="G95" i="2"/>
  <c r="H95" i="2"/>
  <c r="I95" i="2"/>
  <c r="E96" i="2"/>
  <c r="F96" i="2"/>
  <c r="G96" i="2"/>
  <c r="H96" i="2"/>
  <c r="I96" i="2"/>
  <c r="E97" i="2"/>
  <c r="F97" i="2"/>
  <c r="G97" i="2"/>
  <c r="H97" i="2"/>
  <c r="I97" i="2"/>
  <c r="E98" i="2"/>
  <c r="F98" i="2"/>
  <c r="G98" i="2"/>
  <c r="H98" i="2"/>
  <c r="I98" i="2"/>
  <c r="E99" i="2"/>
  <c r="F99" i="2"/>
  <c r="G99" i="2"/>
  <c r="H99" i="2"/>
  <c r="I99" i="2"/>
  <c r="E100" i="2"/>
  <c r="F100" i="2"/>
  <c r="G100" i="2"/>
  <c r="H100" i="2"/>
  <c r="I100" i="2"/>
  <c r="E101" i="2"/>
  <c r="F101" i="2"/>
  <c r="G101" i="2"/>
  <c r="H101" i="2"/>
  <c r="I101" i="2"/>
  <c r="E102" i="2"/>
  <c r="F102" i="2"/>
  <c r="G102" i="2"/>
  <c r="H102" i="2"/>
  <c r="I102" i="2"/>
  <c r="E103" i="2"/>
  <c r="F103" i="2"/>
  <c r="G103" i="2"/>
  <c r="H103" i="2"/>
  <c r="I103" i="2"/>
  <c r="E104" i="2"/>
  <c r="F104" i="2"/>
  <c r="G104" i="2"/>
  <c r="H104" i="2"/>
  <c r="I104" i="2"/>
  <c r="E105" i="2"/>
  <c r="F105" i="2"/>
  <c r="G105" i="2"/>
  <c r="H105" i="2"/>
  <c r="I105" i="2"/>
  <c r="E106" i="2"/>
  <c r="F106" i="2"/>
  <c r="G106" i="2"/>
  <c r="H106" i="2"/>
  <c r="I106" i="2"/>
  <c r="E107" i="2"/>
  <c r="F107" i="2"/>
  <c r="G107" i="2"/>
  <c r="H107" i="2"/>
  <c r="I107" i="2"/>
  <c r="E108" i="2"/>
  <c r="F108" i="2"/>
  <c r="G108" i="2"/>
  <c r="H108" i="2"/>
  <c r="I108" i="2"/>
  <c r="E109" i="2"/>
  <c r="F109" i="2"/>
  <c r="G109" i="2"/>
  <c r="H109" i="2"/>
  <c r="I109" i="2"/>
  <c r="E110" i="2"/>
  <c r="F110" i="2"/>
  <c r="G110" i="2"/>
  <c r="H110" i="2"/>
  <c r="I110" i="2"/>
  <c r="E111" i="2"/>
  <c r="F111" i="2"/>
  <c r="G111" i="2"/>
  <c r="H111" i="2"/>
  <c r="I111" i="2"/>
  <c r="E112" i="2"/>
  <c r="F112" i="2"/>
  <c r="G112" i="2"/>
  <c r="H112" i="2"/>
  <c r="I112" i="2"/>
  <c r="E113" i="2"/>
  <c r="F113" i="2"/>
  <c r="G113" i="2"/>
  <c r="H113" i="2"/>
  <c r="I113" i="2"/>
  <c r="E114" i="2"/>
  <c r="F114" i="2"/>
  <c r="G114" i="2"/>
  <c r="H114" i="2"/>
  <c r="I114" i="2"/>
  <c r="E115" i="2"/>
  <c r="F115" i="2"/>
  <c r="G115" i="2"/>
  <c r="H115" i="2"/>
  <c r="I115" i="2"/>
  <c r="E116" i="2"/>
  <c r="F116" i="2"/>
  <c r="G116" i="2"/>
  <c r="H116" i="2"/>
  <c r="I116" i="2"/>
  <c r="E117" i="2"/>
  <c r="F117" i="2"/>
  <c r="G117" i="2"/>
  <c r="H117" i="2"/>
  <c r="I117" i="2"/>
  <c r="E118" i="2"/>
  <c r="F118" i="2"/>
  <c r="G118" i="2"/>
  <c r="H118" i="2"/>
  <c r="I118" i="2"/>
  <c r="E119" i="2"/>
  <c r="F119" i="2"/>
  <c r="G119" i="2"/>
  <c r="H119" i="2"/>
  <c r="I119" i="2"/>
  <c r="E120" i="2"/>
  <c r="F120" i="2"/>
  <c r="G120" i="2"/>
  <c r="H120" i="2"/>
  <c r="I120" i="2"/>
  <c r="E121" i="2"/>
  <c r="F121" i="2"/>
  <c r="G121" i="2"/>
  <c r="H121" i="2"/>
  <c r="I121" i="2"/>
  <c r="E122" i="2"/>
  <c r="F122" i="2"/>
  <c r="G122" i="2"/>
  <c r="H122" i="2"/>
  <c r="I122" i="2"/>
  <c r="E123" i="2"/>
  <c r="F123" i="2"/>
  <c r="G123" i="2"/>
  <c r="H123" i="2"/>
  <c r="I123" i="2"/>
  <c r="E124" i="2"/>
  <c r="F124" i="2"/>
  <c r="G124" i="2"/>
  <c r="H124" i="2"/>
  <c r="I124" i="2"/>
  <c r="E125" i="2"/>
  <c r="F125" i="2"/>
  <c r="G125" i="2"/>
  <c r="H125" i="2"/>
  <c r="I125" i="2"/>
  <c r="E126" i="2"/>
  <c r="F126" i="2"/>
  <c r="G126" i="2"/>
  <c r="H126" i="2"/>
  <c r="I126" i="2"/>
  <c r="E127" i="2"/>
  <c r="F127" i="2"/>
  <c r="G127" i="2"/>
  <c r="H127" i="2"/>
  <c r="I127" i="2"/>
  <c r="E128" i="2"/>
  <c r="F128" i="2"/>
  <c r="G128" i="2"/>
  <c r="H128" i="2"/>
  <c r="I128" i="2"/>
  <c r="E129" i="2"/>
  <c r="F129" i="2"/>
  <c r="G129" i="2"/>
  <c r="H129" i="2"/>
  <c r="I129" i="2"/>
  <c r="E130" i="2"/>
  <c r="F130" i="2"/>
  <c r="G130" i="2"/>
  <c r="H130" i="2"/>
  <c r="I130" i="2"/>
  <c r="E131" i="2"/>
  <c r="F131" i="2"/>
  <c r="G131" i="2"/>
  <c r="H131" i="2"/>
  <c r="I131" i="2"/>
  <c r="E132" i="2"/>
  <c r="F132" i="2"/>
  <c r="G132" i="2"/>
  <c r="H132" i="2"/>
  <c r="I132" i="2"/>
  <c r="E133" i="2"/>
  <c r="F133" i="2"/>
  <c r="G133" i="2"/>
  <c r="H133" i="2"/>
  <c r="I133" i="2"/>
  <c r="E134" i="2"/>
  <c r="F134" i="2"/>
  <c r="G134" i="2"/>
  <c r="H134" i="2"/>
  <c r="I134" i="2"/>
  <c r="E135" i="2"/>
  <c r="F135" i="2"/>
  <c r="G135" i="2"/>
  <c r="H135" i="2"/>
  <c r="I135" i="2"/>
  <c r="E136" i="2"/>
  <c r="F136" i="2"/>
  <c r="G136" i="2"/>
  <c r="H136" i="2"/>
  <c r="I136" i="2"/>
  <c r="I76" i="2"/>
  <c r="H76" i="2"/>
  <c r="G76" i="2"/>
  <c r="F76" i="2"/>
  <c r="E76" i="2"/>
  <c r="E28" i="4"/>
  <c r="I13" i="18" s="1"/>
  <c r="D28" i="4"/>
  <c r="E16" i="20" s="1"/>
  <c r="C28" i="4"/>
  <c r="D16" i="20" s="1"/>
  <c r="B28" i="4"/>
  <c r="C16" i="20" s="1"/>
  <c r="I20" i="2"/>
  <c r="H20" i="2"/>
  <c r="G20" i="2"/>
  <c r="F20" i="2"/>
  <c r="C14" i="2"/>
  <c r="M14" i="2"/>
  <c r="L14" i="2"/>
  <c r="K14" i="2"/>
  <c r="H259" i="2" s="1"/>
  <c r="H260" i="2" s="1"/>
  <c r="G270" i="2" s="1"/>
  <c r="J14" i="2"/>
  <c r="G259" i="2" s="1"/>
  <c r="G260" i="2" s="1"/>
  <c r="F270" i="2" s="1"/>
  <c r="I14" i="2"/>
  <c r="F259" i="2" s="1"/>
  <c r="F260" i="2" s="1"/>
  <c r="E270" i="2" s="1"/>
  <c r="H14" i="2"/>
  <c r="E259" i="2" s="1"/>
  <c r="E260" i="2" s="1"/>
  <c r="D270" i="2" s="1"/>
  <c r="G14" i="2"/>
  <c r="D259" i="2" s="1"/>
  <c r="D260" i="2" s="1"/>
  <c r="C270" i="2" s="1"/>
  <c r="F14" i="2"/>
  <c r="E14" i="2"/>
  <c r="D14" i="2"/>
  <c r="F30" i="20" l="1"/>
  <c r="D7" i="20"/>
  <c r="D11" i="20" s="1"/>
  <c r="D15" i="20" s="1"/>
  <c r="D17" i="20" s="1"/>
  <c r="C288" i="2"/>
  <c r="G30" i="20"/>
  <c r="F7" i="20"/>
  <c r="F11" i="20" s="1"/>
  <c r="F15" i="20" s="1"/>
  <c r="D114" i="17"/>
  <c r="G124" i="13"/>
  <c r="G122" i="13"/>
  <c r="G125" i="13" s="1"/>
  <c r="H136" i="13" s="1"/>
  <c r="C39" i="20"/>
  <c r="C44" i="20" s="1"/>
  <c r="E30" i="20"/>
  <c r="E27" i="20"/>
  <c r="G88" i="13"/>
  <c r="G90" i="13"/>
  <c r="E39" i="20"/>
  <c r="E44" i="20" s="1"/>
  <c r="C27" i="20"/>
  <c r="F89" i="13"/>
  <c r="D130" i="5"/>
  <c r="D143" i="5" s="1"/>
  <c r="D144" i="5" s="1"/>
  <c r="D30" i="20"/>
  <c r="G89" i="13"/>
  <c r="C30" i="20"/>
  <c r="F90" i="13"/>
  <c r="D39" i="20"/>
  <c r="D44" i="20" s="1"/>
  <c r="D89" i="13"/>
  <c r="G113" i="17"/>
  <c r="G114" i="17"/>
  <c r="H119" i="17"/>
  <c r="F117" i="17"/>
  <c r="E56" i="19"/>
  <c r="G61" i="19"/>
  <c r="E222" i="11"/>
  <c r="E227" i="11" s="1"/>
  <c r="F113" i="17"/>
  <c r="F114" i="17"/>
  <c r="G119" i="17"/>
  <c r="E117" i="17"/>
  <c r="F16" i="20"/>
  <c r="G39" i="20"/>
  <c r="G44" i="20" s="1"/>
  <c r="D54" i="19"/>
  <c r="H55" i="19"/>
  <c r="F61" i="19"/>
  <c r="H58" i="19"/>
  <c r="H11" i="17"/>
  <c r="J13" i="18"/>
  <c r="J14" i="18" s="1"/>
  <c r="D88" i="13"/>
  <c r="E113" i="17"/>
  <c r="E114" i="17"/>
  <c r="F119" i="17"/>
  <c r="D61" i="19"/>
  <c r="G55" i="19"/>
  <c r="E61" i="19"/>
  <c r="G58" i="19"/>
  <c r="D90" i="13"/>
  <c r="D45" i="17"/>
  <c r="D117" i="17"/>
  <c r="E119" i="17"/>
  <c r="D60" i="19"/>
  <c r="F55" i="19"/>
  <c r="H60" i="19"/>
  <c r="D207" i="11"/>
  <c r="D211" i="11" s="1"/>
  <c r="F88" i="13"/>
  <c r="I60" i="17"/>
  <c r="D51" i="18"/>
  <c r="D104" i="18" s="1"/>
  <c r="D65" i="18"/>
  <c r="D67" i="18" s="1"/>
  <c r="E67" i="18" s="1"/>
  <c r="F67" i="18" s="1"/>
  <c r="G67" i="18" s="1"/>
  <c r="H67" i="18" s="1"/>
  <c r="I67" i="18" s="1"/>
  <c r="D115" i="17"/>
  <c r="G7" i="20"/>
  <c r="G11" i="20" s="1"/>
  <c r="G15" i="20" s="1"/>
  <c r="G17" i="20" s="1"/>
  <c r="D27" i="20"/>
  <c r="E55" i="19"/>
  <c r="E44" i="2"/>
  <c r="F13" i="18"/>
  <c r="F14" i="18" s="1"/>
  <c r="E11" i="17"/>
  <c r="G13" i="18"/>
  <c r="G14" i="18" s="1"/>
  <c r="H207" i="11"/>
  <c r="H211" i="11" s="1"/>
  <c r="H115" i="17"/>
  <c r="H54" i="19"/>
  <c r="D144" i="19"/>
  <c r="D160" i="19"/>
  <c r="D177" i="19" s="1"/>
  <c r="F10" i="17"/>
  <c r="H13" i="18"/>
  <c r="H14" i="18" s="1"/>
  <c r="I33" i="5"/>
  <c r="G207" i="11"/>
  <c r="G211" i="11" s="1"/>
  <c r="G115" i="17"/>
  <c r="H120" i="17"/>
  <c r="E7" i="20"/>
  <c r="E11" i="20" s="1"/>
  <c r="E15" i="20" s="1"/>
  <c r="E17" i="20" s="1"/>
  <c r="F39" i="20"/>
  <c r="F44" i="20" s="1"/>
  <c r="F207" i="11"/>
  <c r="F211" i="11" s="1"/>
  <c r="F115" i="17"/>
  <c r="H56" i="19"/>
  <c r="D138" i="19"/>
  <c r="D156" i="19"/>
  <c r="D173" i="19" s="1"/>
  <c r="E207" i="11"/>
  <c r="E211" i="11" s="1"/>
  <c r="G33" i="17"/>
  <c r="D64" i="18"/>
  <c r="H117" i="17"/>
  <c r="C7" i="20"/>
  <c r="C11" i="20" s="1"/>
  <c r="C15" i="20" s="1"/>
  <c r="C17" i="20" s="1"/>
  <c r="F27" i="20"/>
  <c r="H113" i="17"/>
  <c r="H114" i="17"/>
  <c r="H61" i="19"/>
  <c r="G41" i="18"/>
  <c r="G63" i="18"/>
  <c r="I14" i="18"/>
  <c r="J18" i="18"/>
  <c r="D28" i="18"/>
  <c r="F18" i="18"/>
  <c r="H18" i="18"/>
  <c r="I18" i="18"/>
  <c r="G18" i="18"/>
  <c r="G27" i="20"/>
  <c r="D121" i="18"/>
  <c r="F33" i="17"/>
  <c r="F66" i="17"/>
  <c r="N51" i="17"/>
  <c r="G18" i="17"/>
  <c r="N52" i="17"/>
  <c r="N34" i="17"/>
  <c r="N66" i="17"/>
  <c r="O41" i="17"/>
  <c r="D29" i="17"/>
  <c r="O50" i="17"/>
  <c r="G166" i="2"/>
  <c r="D51" i="17"/>
  <c r="O27" i="17"/>
  <c r="N27" i="17" s="1"/>
  <c r="D33" i="17"/>
  <c r="F61" i="17"/>
  <c r="P61" i="17"/>
  <c r="H38" i="20" s="1"/>
  <c r="N55" i="17"/>
  <c r="N64" i="17"/>
  <c r="E53" i="17"/>
  <c r="D53" i="17" s="1"/>
  <c r="N33" i="17"/>
  <c r="D25" i="17"/>
  <c r="D39" i="17"/>
  <c r="D55" i="17"/>
  <c r="D40" i="17"/>
  <c r="D56" i="17"/>
  <c r="F11" i="17"/>
  <c r="D52" i="17"/>
  <c r="E36" i="17"/>
  <c r="D36" i="17" s="1"/>
  <c r="N60" i="17"/>
  <c r="O36" i="17"/>
  <c r="N36" i="17" s="1"/>
  <c r="O53" i="17"/>
  <c r="N61" i="17"/>
  <c r="P33" i="17"/>
  <c r="H13" i="20" s="1"/>
  <c r="D11" i="17"/>
  <c r="N26" i="17"/>
  <c r="N63" i="17"/>
  <c r="D202" i="11"/>
  <c r="F226" i="11" s="1"/>
  <c r="H10" i="17"/>
  <c r="E27" i="17"/>
  <c r="D46" i="17"/>
  <c r="D59" i="17"/>
  <c r="J61" i="17"/>
  <c r="N28" i="17"/>
  <c r="N45" i="17"/>
  <c r="N54" i="17"/>
  <c r="G10" i="17"/>
  <c r="D28" i="17"/>
  <c r="D47" i="17"/>
  <c r="N29" i="17"/>
  <c r="E166" i="2"/>
  <c r="D48" i="17"/>
  <c r="J66" i="17"/>
  <c r="N30" i="17"/>
  <c r="N46" i="17"/>
  <c r="N65" i="17"/>
  <c r="P65" i="17"/>
  <c r="H42" i="20" s="1"/>
  <c r="E10" i="17"/>
  <c r="D66" i="17"/>
  <c r="D30" i="17"/>
  <c r="D49" i="17"/>
  <c r="I66" i="17"/>
  <c r="N32" i="17"/>
  <c r="N56" i="17"/>
  <c r="D32" i="17"/>
  <c r="N57" i="17"/>
  <c r="G11" i="17"/>
  <c r="D34" i="17"/>
  <c r="D65" i="17"/>
  <c r="D26" i="17"/>
  <c r="H60" i="17"/>
  <c r="H61" i="17"/>
  <c r="H66" i="17"/>
  <c r="J64" i="17"/>
  <c r="R61" i="17"/>
  <c r="J38" i="20" s="1"/>
  <c r="J60" i="17"/>
  <c r="G60" i="17"/>
  <c r="G61" i="17"/>
  <c r="G66" i="17"/>
  <c r="I64" i="17"/>
  <c r="N25" i="17"/>
  <c r="P60" i="17"/>
  <c r="S61" i="17"/>
  <c r="K38" i="20" s="1"/>
  <c r="P64" i="17"/>
  <c r="H41" i="20" s="1"/>
  <c r="P66" i="17"/>
  <c r="H43" i="20" s="1"/>
  <c r="I61" i="17"/>
  <c r="E50" i="17"/>
  <c r="D50" i="17" s="1"/>
  <c r="J63" i="17"/>
  <c r="H64" i="17"/>
  <c r="Q60" i="17"/>
  <c r="T61" i="17"/>
  <c r="L38" i="20" s="1"/>
  <c r="Q64" i="17"/>
  <c r="I41" i="20" s="1"/>
  <c r="Q66" i="17"/>
  <c r="I43" i="20" s="1"/>
  <c r="D61" i="17"/>
  <c r="I63" i="17"/>
  <c r="G64" i="17"/>
  <c r="P25" i="17"/>
  <c r="H5" i="20" s="1"/>
  <c r="R60" i="17"/>
  <c r="R64" i="17"/>
  <c r="J41" i="20" s="1"/>
  <c r="R66" i="17"/>
  <c r="J43" i="20" s="1"/>
  <c r="D60" i="17"/>
  <c r="D68" i="17"/>
  <c r="H63" i="17"/>
  <c r="J33" i="17"/>
  <c r="N39" i="17"/>
  <c r="N47" i="17"/>
  <c r="S60" i="17"/>
  <c r="S64" i="17"/>
  <c r="K41" i="20" s="1"/>
  <c r="S66" i="17"/>
  <c r="K43" i="20" s="1"/>
  <c r="E62" i="17"/>
  <c r="E67" i="17" s="1"/>
  <c r="D67" i="17" s="1"/>
  <c r="F60" i="17"/>
  <c r="G63" i="17"/>
  <c r="I33" i="17"/>
  <c r="N40" i="17"/>
  <c r="N48" i="17"/>
  <c r="T60" i="17"/>
  <c r="T64" i="17"/>
  <c r="L41" i="20" s="1"/>
  <c r="O62" i="17"/>
  <c r="N62" i="17" s="1"/>
  <c r="D57" i="17"/>
  <c r="F25" i="17"/>
  <c r="F63" i="17"/>
  <c r="H33" i="17"/>
  <c r="N49" i="17"/>
  <c r="N68" i="17"/>
  <c r="N59" i="17"/>
  <c r="D64" i="17"/>
  <c r="D54" i="17"/>
  <c r="D63" i="17"/>
  <c r="H166" i="2"/>
  <c r="F166" i="2"/>
  <c r="D10" i="17"/>
  <c r="G221" i="11"/>
  <c r="F221" i="11"/>
  <c r="G183" i="11"/>
  <c r="G224" i="11"/>
  <c r="F224" i="11"/>
  <c r="G185" i="11"/>
  <c r="G181" i="11"/>
  <c r="G182" i="11"/>
  <c r="E225" i="11"/>
  <c r="G225" i="11"/>
  <c r="G184" i="11"/>
  <c r="K42" i="12"/>
  <c r="K9" i="12"/>
  <c r="K51" i="12"/>
  <c r="K63" i="12"/>
  <c r="K53" i="12"/>
  <c r="K43" i="12"/>
  <c r="K33" i="12"/>
  <c r="K23" i="12"/>
  <c r="K13" i="12"/>
  <c r="K59" i="12"/>
  <c r="K39" i="12"/>
  <c r="K7" i="12"/>
  <c r="K71" i="12"/>
  <c r="K41" i="12"/>
  <c r="K38" i="12"/>
  <c r="K21" i="12"/>
  <c r="K11" i="12"/>
  <c r="K70" i="12"/>
  <c r="K67" i="12"/>
  <c r="K50" i="12"/>
  <c r="K40" i="12"/>
  <c r="K37" i="12"/>
  <c r="K20" i="12"/>
  <c r="K10" i="12"/>
  <c r="K36" i="12"/>
  <c r="K69" i="12"/>
  <c r="K19" i="12"/>
  <c r="K88" i="12"/>
  <c r="K76" i="12"/>
  <c r="K46" i="12"/>
  <c r="K16" i="12"/>
  <c r="K73" i="12"/>
  <c r="K65" i="12"/>
  <c r="K55" i="12"/>
  <c r="K45" i="12"/>
  <c r="K35" i="12"/>
  <c r="K25" i="12"/>
  <c r="K15" i="12"/>
  <c r="K79" i="12"/>
  <c r="K22" i="12"/>
  <c r="K61" i="12"/>
  <c r="K66" i="12"/>
  <c r="K56" i="12"/>
  <c r="K26" i="12"/>
  <c r="K74" i="12"/>
  <c r="K64" i="12"/>
  <c r="K54" i="12"/>
  <c r="K44" i="12"/>
  <c r="K34" i="12"/>
  <c r="K24" i="12"/>
  <c r="K14" i="12"/>
  <c r="K72" i="12"/>
  <c r="K12" i="12"/>
  <c r="K31" i="12"/>
  <c r="K60" i="12"/>
  <c r="K29" i="12"/>
  <c r="K58" i="12"/>
  <c r="K48" i="12"/>
  <c r="K28" i="12"/>
  <c r="K18" i="12"/>
  <c r="K8" i="12"/>
  <c r="K119" i="12"/>
  <c r="K62" i="12"/>
  <c r="K68" i="12"/>
  <c r="K30" i="12"/>
  <c r="K49" i="12"/>
  <c r="K77" i="12"/>
  <c r="K57" i="12"/>
  <c r="K47" i="12"/>
  <c r="K27" i="12"/>
  <c r="K17" i="12"/>
  <c r="K118" i="12"/>
  <c r="K52" i="12"/>
  <c r="K78" i="12"/>
  <c r="K99" i="12"/>
  <c r="K32" i="12"/>
  <c r="K75" i="12"/>
  <c r="K86" i="12"/>
  <c r="K98" i="12"/>
  <c r="K89" i="12"/>
  <c r="K109" i="12"/>
  <c r="K127" i="12"/>
  <c r="K108" i="12"/>
  <c r="K125" i="12"/>
  <c r="K82" i="12"/>
  <c r="K87" i="12"/>
  <c r="K121" i="12"/>
  <c r="K111" i="12"/>
  <c r="K101" i="12"/>
  <c r="K91" i="12"/>
  <c r="K81" i="12"/>
  <c r="K120" i="12"/>
  <c r="K110" i="12"/>
  <c r="K100" i="12"/>
  <c r="K90" i="12"/>
  <c r="K80" i="12"/>
  <c r="K116" i="12"/>
  <c r="K96" i="12"/>
  <c r="K115" i="12"/>
  <c r="K95" i="12"/>
  <c r="K124" i="12"/>
  <c r="K114" i="12"/>
  <c r="K104" i="12"/>
  <c r="K94" i="12"/>
  <c r="K84" i="12"/>
  <c r="K107" i="12"/>
  <c r="K126" i="12"/>
  <c r="K105" i="12"/>
  <c r="K85" i="12"/>
  <c r="K123" i="12"/>
  <c r="K113" i="12"/>
  <c r="K103" i="12"/>
  <c r="K93" i="12"/>
  <c r="K83" i="12"/>
  <c r="K117" i="12"/>
  <c r="K97" i="12"/>
  <c r="K106" i="12"/>
  <c r="K122" i="12"/>
  <c r="K112" i="12"/>
  <c r="K102" i="12"/>
  <c r="K92" i="12"/>
  <c r="F325" i="2"/>
  <c r="E291" i="2"/>
  <c r="D291" i="2"/>
  <c r="C267" i="2"/>
  <c r="D323" i="2"/>
  <c r="F323" i="2" s="1"/>
  <c r="I44" i="2"/>
  <c r="D324" i="2"/>
  <c r="F324" i="2" s="1"/>
  <c r="H44" i="2"/>
  <c r="G44" i="2"/>
  <c r="F44" i="2"/>
  <c r="F291" i="2"/>
  <c r="D306" i="2"/>
  <c r="F306" i="2" s="1"/>
  <c r="G288" i="2"/>
  <c r="G291" i="2" s="1"/>
  <c r="C291" i="2"/>
  <c r="D308" i="2"/>
  <c r="F308" i="2" s="1"/>
  <c r="E269" i="2"/>
  <c r="C269" i="2"/>
  <c r="E278" i="2"/>
  <c r="D339" i="2"/>
  <c r="F339" i="2" s="1"/>
  <c r="D330" i="2"/>
  <c r="F330" i="2" s="1"/>
  <c r="D304" i="2"/>
  <c r="F304" i="2" s="1"/>
  <c r="D269" i="2"/>
  <c r="D278" i="2"/>
  <c r="C278" i="2"/>
  <c r="G267" i="2"/>
  <c r="C277" i="2"/>
  <c r="F267" i="2"/>
  <c r="G277" i="2"/>
  <c r="D307" i="2"/>
  <c r="F307" i="2" s="1"/>
  <c r="E267" i="2"/>
  <c r="F277" i="2"/>
  <c r="D310" i="2"/>
  <c r="D267" i="2"/>
  <c r="E277" i="2"/>
  <c r="D314" i="2"/>
  <c r="G269" i="2"/>
  <c r="G278" i="2"/>
  <c r="D277" i="2"/>
  <c r="F269" i="2"/>
  <c r="F278" i="2"/>
  <c r="F35" i="20" l="1"/>
  <c r="G35" i="20"/>
  <c r="H12" i="17"/>
  <c r="E35" i="20"/>
  <c r="E208" i="11"/>
  <c r="E209" i="11" s="1"/>
  <c r="D208" i="11"/>
  <c r="D210" i="11" s="1"/>
  <c r="F12" i="17"/>
  <c r="G126" i="13"/>
  <c r="H137" i="13" s="1"/>
  <c r="O31" i="17"/>
  <c r="E171" i="17" s="1"/>
  <c r="F208" i="11"/>
  <c r="F210" i="11" s="1"/>
  <c r="D35" i="20"/>
  <c r="E12" i="17"/>
  <c r="D133" i="5"/>
  <c r="C35" i="20"/>
  <c r="E95" i="18"/>
  <c r="I95" i="18"/>
  <c r="H95" i="18"/>
  <c r="E187" i="11"/>
  <c r="H208" i="11"/>
  <c r="H210" i="11" s="1"/>
  <c r="F17" i="20"/>
  <c r="D59" i="19"/>
  <c r="D118" i="17"/>
  <c r="G59" i="19"/>
  <c r="G118" i="17"/>
  <c r="G208" i="11"/>
  <c r="G210" i="11" s="1"/>
  <c r="I89" i="4"/>
  <c r="J37" i="20"/>
  <c r="J89" i="4"/>
  <c r="K37" i="20"/>
  <c r="D145" i="19"/>
  <c r="D161" i="19"/>
  <c r="D178" i="19" s="1"/>
  <c r="K89" i="4"/>
  <c r="L37" i="20"/>
  <c r="F95" i="18"/>
  <c r="G95" i="18"/>
  <c r="I64" i="18"/>
  <c r="G64" i="18"/>
  <c r="F64" i="18"/>
  <c r="E64" i="18"/>
  <c r="H64" i="18"/>
  <c r="G89" i="4"/>
  <c r="H37" i="20"/>
  <c r="H41" i="18"/>
  <c r="H63" i="18"/>
  <c r="I150" i="5"/>
  <c r="H150" i="5"/>
  <c r="G150" i="5"/>
  <c r="F150" i="5"/>
  <c r="D145" i="5"/>
  <c r="E150" i="5"/>
  <c r="E118" i="17"/>
  <c r="E59" i="19"/>
  <c r="H59" i="19"/>
  <c r="H118" i="17"/>
  <c r="F59" i="19"/>
  <c r="F118" i="17"/>
  <c r="H89" i="4"/>
  <c r="I37" i="20"/>
  <c r="I19" i="18"/>
  <c r="D137" i="19"/>
  <c r="D155" i="19"/>
  <c r="D172" i="19" s="1"/>
  <c r="D27" i="17"/>
  <c r="D128" i="18"/>
  <c r="D129" i="18" s="1"/>
  <c r="F134" i="18" s="1"/>
  <c r="E236" i="11"/>
  <c r="F236" i="11" s="1"/>
  <c r="D82" i="18"/>
  <c r="J19" i="18"/>
  <c r="H19" i="18"/>
  <c r="G19" i="18"/>
  <c r="F19" i="18"/>
  <c r="E65" i="18"/>
  <c r="D165" i="17"/>
  <c r="N53" i="17"/>
  <c r="D167" i="17"/>
  <c r="O58" i="17"/>
  <c r="N58" i="17" s="1"/>
  <c r="G12" i="17"/>
  <c r="N50" i="17"/>
  <c r="G226" i="11"/>
  <c r="E226" i="11"/>
  <c r="E31" i="17"/>
  <c r="D31" i="17" s="1"/>
  <c r="D62" i="17"/>
  <c r="P51" i="17"/>
  <c r="H28" i="20" s="1"/>
  <c r="G4" i="4"/>
  <c r="E188" i="11"/>
  <c r="D12" i="17"/>
  <c r="P59" i="17"/>
  <c r="P45" i="17"/>
  <c r="H22" i="20" s="1"/>
  <c r="P34" i="17"/>
  <c r="H14" i="20" s="1"/>
  <c r="P48" i="17"/>
  <c r="H25" i="20" s="1"/>
  <c r="E69" i="17"/>
  <c r="D69" i="17" s="1"/>
  <c r="P32" i="17"/>
  <c r="H12" i="20" s="1"/>
  <c r="P30" i="17"/>
  <c r="H10" i="20" s="1"/>
  <c r="P28" i="17"/>
  <c r="H8" i="20" s="1"/>
  <c r="P47" i="17"/>
  <c r="H24" i="20" s="1"/>
  <c r="E58" i="17"/>
  <c r="P55" i="17"/>
  <c r="H32" i="20" s="1"/>
  <c r="O67" i="17"/>
  <c r="N67" i="17" s="1"/>
  <c r="P57" i="17"/>
  <c r="H34" i="20" s="1"/>
  <c r="P26" i="17"/>
  <c r="P56" i="17"/>
  <c r="H33" i="20" s="1"/>
  <c r="P46" i="17"/>
  <c r="H23" i="20" s="1"/>
  <c r="P36" i="17"/>
  <c r="H16" i="20" s="1"/>
  <c r="P29" i="17"/>
  <c r="H9" i="20" s="1"/>
  <c r="F48" i="17"/>
  <c r="F57" i="17"/>
  <c r="F28" i="17"/>
  <c r="F49" i="17"/>
  <c r="F45" i="17"/>
  <c r="F32" i="17"/>
  <c r="F29" i="17"/>
  <c r="F51" i="17"/>
  <c r="F26" i="17"/>
  <c r="F27" i="17" s="1"/>
  <c r="F30" i="17"/>
  <c r="F52" i="17"/>
  <c r="F47" i="17"/>
  <c r="F59" i="17"/>
  <c r="F62" i="17" s="1"/>
  <c r="F67" i="17" s="1"/>
  <c r="F36" i="17"/>
  <c r="F54" i="17"/>
  <c r="F34" i="17"/>
  <c r="F39" i="17"/>
  <c r="F55" i="17"/>
  <c r="G25" i="17"/>
  <c r="F68" i="17"/>
  <c r="G114" i="4" s="1"/>
  <c r="F40" i="17"/>
  <c r="F56" i="17"/>
  <c r="F46" i="17"/>
  <c r="P39" i="17"/>
  <c r="P54" i="17"/>
  <c r="H31" i="20" s="1"/>
  <c r="P49" i="17"/>
  <c r="H26" i="20" s="1"/>
  <c r="Q25" i="17"/>
  <c r="I5" i="20" s="1"/>
  <c r="P52" i="17"/>
  <c r="P40" i="17"/>
  <c r="D214" i="11"/>
  <c r="D215" i="11" s="1"/>
  <c r="D337" i="2"/>
  <c r="D311" i="2"/>
  <c r="F311" i="2" s="1"/>
  <c r="D329" i="2"/>
  <c r="F329" i="2" s="1"/>
  <c r="D303" i="2"/>
  <c r="D301" i="2"/>
  <c r="F301" i="2" s="1"/>
  <c r="G268" i="2"/>
  <c r="D327" i="2"/>
  <c r="F327" i="2" s="1"/>
  <c r="D312" i="2"/>
  <c r="D338" i="2"/>
  <c r="E210" i="11" l="1"/>
  <c r="E233" i="11" s="1"/>
  <c r="F233" i="11" s="1"/>
  <c r="D209" i="11"/>
  <c r="O35" i="17"/>
  <c r="O37" i="17" s="1"/>
  <c r="N37" i="17" s="1"/>
  <c r="N31" i="17"/>
  <c r="F209" i="11"/>
  <c r="E189" i="11"/>
  <c r="D129" i="19" s="1"/>
  <c r="G222" i="11" s="1"/>
  <c r="F22" i="18"/>
  <c r="H31" i="18" s="1"/>
  <c r="E32" i="18" s="1"/>
  <c r="H209" i="11"/>
  <c r="G209" i="11"/>
  <c r="I41" i="18"/>
  <c r="I63" i="18"/>
  <c r="E237" i="11"/>
  <c r="F237" i="11" s="1"/>
  <c r="D60" i="18"/>
  <c r="D136" i="19"/>
  <c r="D153" i="19" s="1"/>
  <c r="D170" i="19" s="1"/>
  <c r="D154" i="19"/>
  <c r="D171" i="19" s="1"/>
  <c r="D146" i="19"/>
  <c r="D162" i="19"/>
  <c r="D179" i="19" s="1"/>
  <c r="E169" i="17"/>
  <c r="E174" i="17" s="1"/>
  <c r="H29" i="20"/>
  <c r="P27" i="17"/>
  <c r="H7" i="20" s="1"/>
  <c r="H6" i="20"/>
  <c r="E148" i="5"/>
  <c r="F148" i="5"/>
  <c r="H148" i="5"/>
  <c r="P62" i="17"/>
  <c r="H39" i="20" s="1"/>
  <c r="H36" i="20"/>
  <c r="F21" i="18"/>
  <c r="E68" i="18"/>
  <c r="E66" i="18"/>
  <c r="E93" i="18"/>
  <c r="E94" i="18" s="1"/>
  <c r="G17" i="17"/>
  <c r="E173" i="17" s="1"/>
  <c r="O69" i="17"/>
  <c r="N69" i="17" s="1"/>
  <c r="E70" i="17"/>
  <c r="E72" i="17" s="1"/>
  <c r="E35" i="17"/>
  <c r="E37" i="17" s="1"/>
  <c r="D37" i="17" s="1"/>
  <c r="P50" i="17"/>
  <c r="P53" i="17"/>
  <c r="Q51" i="17"/>
  <c r="I28" i="20" s="1"/>
  <c r="Q65" i="17"/>
  <c r="I42" i="20" s="1"/>
  <c r="H4" i="4"/>
  <c r="P41" i="17"/>
  <c r="P68" i="17" s="1"/>
  <c r="F31" i="17"/>
  <c r="F35" i="17" s="1"/>
  <c r="F37" i="17" s="1"/>
  <c r="Q47" i="17"/>
  <c r="I24" i="20" s="1"/>
  <c r="Q30" i="17"/>
  <c r="I10" i="20" s="1"/>
  <c r="Q57" i="17"/>
  <c r="I34" i="20" s="1"/>
  <c r="Q49" i="17"/>
  <c r="I26" i="20" s="1"/>
  <c r="Q59" i="17"/>
  <c r="Q52" i="17"/>
  <c r="Q48" i="17"/>
  <c r="I25" i="20" s="1"/>
  <c r="Q45" i="17"/>
  <c r="I22" i="20" s="1"/>
  <c r="Q34" i="17"/>
  <c r="I14" i="20" s="1"/>
  <c r="G59" i="17"/>
  <c r="G62" i="17" s="1"/>
  <c r="G40" i="17"/>
  <c r="G56" i="17"/>
  <c r="G52" i="17"/>
  <c r="G45" i="17"/>
  <c r="G57" i="17"/>
  <c r="G30" i="17"/>
  <c r="G54" i="17"/>
  <c r="G46" i="17"/>
  <c r="G65" i="17"/>
  <c r="G32" i="17"/>
  <c r="G36" i="17"/>
  <c r="G47" i="17"/>
  <c r="G68" i="17"/>
  <c r="G34" i="17"/>
  <c r="G26" i="17"/>
  <c r="G27" i="17" s="1"/>
  <c r="G48" i="17"/>
  <c r="H25" i="17"/>
  <c r="G28" i="17"/>
  <c r="G49" i="17"/>
  <c r="G39" i="17"/>
  <c r="G29" i="17"/>
  <c r="G51" i="17"/>
  <c r="G55" i="17"/>
  <c r="Q54" i="17"/>
  <c r="I31" i="20" s="1"/>
  <c r="Q55" i="17"/>
  <c r="I32" i="20" s="1"/>
  <c r="R25" i="17"/>
  <c r="J5" i="20" s="1"/>
  <c r="Q28" i="17"/>
  <c r="I8" i="20" s="1"/>
  <c r="F50" i="17"/>
  <c r="Q26" i="17"/>
  <c r="Q36" i="17"/>
  <c r="I16" i="20" s="1"/>
  <c r="F69" i="17"/>
  <c r="D58" i="17"/>
  <c r="F53" i="17"/>
  <c r="Q46" i="17"/>
  <c r="I23" i="20" s="1"/>
  <c r="Q56" i="17"/>
  <c r="I33" i="20" s="1"/>
  <c r="Q29" i="17"/>
  <c r="I9" i="20" s="1"/>
  <c r="Q39" i="17"/>
  <c r="Q32" i="17"/>
  <c r="I12" i="20" s="1"/>
  <c r="Q40" i="17"/>
  <c r="E223" i="11"/>
  <c r="F223" i="11"/>
  <c r="G223" i="11"/>
  <c r="D328" i="2"/>
  <c r="F328" i="2" s="1"/>
  <c r="D302" i="2"/>
  <c r="N35" i="17" l="1"/>
  <c r="F222" i="11"/>
  <c r="F227" i="11" s="1"/>
  <c r="F229" i="11" s="1"/>
  <c r="E232" i="11"/>
  <c r="F232" i="11" s="1"/>
  <c r="P31" i="17"/>
  <c r="I113" i="17" s="1"/>
  <c r="D147" i="19"/>
  <c r="D164" i="19" s="1"/>
  <c r="D181" i="19" s="1"/>
  <c r="D163" i="19"/>
  <c r="D180" i="19" s="1"/>
  <c r="D83" i="18"/>
  <c r="D69" i="18"/>
  <c r="Q27" i="17"/>
  <c r="I7" i="20" s="1"/>
  <c r="I6" i="20"/>
  <c r="F169" i="17"/>
  <c r="F174" i="17" s="1"/>
  <c r="I29" i="20"/>
  <c r="Q62" i="17"/>
  <c r="I39" i="20" s="1"/>
  <c r="I36" i="20"/>
  <c r="E167" i="17"/>
  <c r="E168" i="17" s="1"/>
  <c r="E170" i="17" s="1"/>
  <c r="E175" i="17" s="1"/>
  <c r="H30" i="20"/>
  <c r="E69" i="18"/>
  <c r="I58" i="19"/>
  <c r="H27" i="20"/>
  <c r="F68" i="18"/>
  <c r="F69" i="18" s="1"/>
  <c r="F65" i="18"/>
  <c r="F93" i="18" s="1"/>
  <c r="F94" i="18" s="1"/>
  <c r="D35" i="17"/>
  <c r="I117" i="17"/>
  <c r="E165" i="17"/>
  <c r="E166" i="17" s="1"/>
  <c r="E176" i="17" s="1"/>
  <c r="O70" i="17"/>
  <c r="O72" i="17" s="1"/>
  <c r="Q53" i="17"/>
  <c r="Q41" i="17"/>
  <c r="Q68" i="17" s="1"/>
  <c r="R51" i="17"/>
  <c r="J28" i="20" s="1"/>
  <c r="I4" i="4"/>
  <c r="P58" i="17"/>
  <c r="H35" i="20" s="1"/>
  <c r="G227" i="11"/>
  <c r="G228" i="11" s="1"/>
  <c r="D81" i="18" s="1"/>
  <c r="E235" i="11"/>
  <c r="F235" i="11" s="1"/>
  <c r="E234" i="11"/>
  <c r="F234" i="11" s="1"/>
  <c r="H114" i="4"/>
  <c r="R48" i="17"/>
  <c r="J25" i="20" s="1"/>
  <c r="Q50" i="17"/>
  <c r="G53" i="17"/>
  <c r="G31" i="17"/>
  <c r="G35" i="17" s="1"/>
  <c r="G37" i="17" s="1"/>
  <c r="G67" i="17"/>
  <c r="G69" i="17" s="1"/>
  <c r="R52" i="17"/>
  <c r="J29" i="20" s="1"/>
  <c r="R45" i="17"/>
  <c r="J22" i="20" s="1"/>
  <c r="R34" i="17"/>
  <c r="J14" i="20" s="1"/>
  <c r="R47" i="17"/>
  <c r="J24" i="20" s="1"/>
  <c r="R26" i="17"/>
  <c r="R39" i="17"/>
  <c r="R57" i="17"/>
  <c r="J34" i="20" s="1"/>
  <c r="H40" i="17"/>
  <c r="H56" i="17"/>
  <c r="H59" i="17"/>
  <c r="H62" i="17" s="1"/>
  <c r="H45" i="17"/>
  <c r="H57" i="17"/>
  <c r="H39" i="17"/>
  <c r="H55" i="17"/>
  <c r="H46" i="17"/>
  <c r="H65" i="17"/>
  <c r="H52" i="17"/>
  <c r="H47" i="17"/>
  <c r="H68" i="17"/>
  <c r="I114" i="4" s="1"/>
  <c r="H48" i="17"/>
  <c r="H26" i="17"/>
  <c r="I25" i="17"/>
  <c r="H34" i="17"/>
  <c r="H28" i="17"/>
  <c r="H49" i="17"/>
  <c r="H30" i="17"/>
  <c r="H54" i="17"/>
  <c r="H32" i="17"/>
  <c r="H29" i="17"/>
  <c r="H51" i="17"/>
  <c r="H36" i="17"/>
  <c r="R28" i="17"/>
  <c r="J8" i="20" s="1"/>
  <c r="G50" i="17"/>
  <c r="R40" i="17"/>
  <c r="R59" i="17"/>
  <c r="R55" i="17"/>
  <c r="J32" i="20" s="1"/>
  <c r="R65" i="17"/>
  <c r="J42" i="20" s="1"/>
  <c r="R36" i="17"/>
  <c r="J16" i="20" s="1"/>
  <c r="R49" i="17"/>
  <c r="J26" i="20" s="1"/>
  <c r="R30" i="17"/>
  <c r="J10" i="20" s="1"/>
  <c r="F58" i="17"/>
  <c r="F70" i="17" s="1"/>
  <c r="S25" i="17"/>
  <c r="K5" i="20" s="1"/>
  <c r="R46" i="17"/>
  <c r="J23" i="20" s="1"/>
  <c r="R56" i="17"/>
  <c r="J33" i="20" s="1"/>
  <c r="R54" i="17"/>
  <c r="J31" i="20" s="1"/>
  <c r="R29" i="17"/>
  <c r="J9" i="20" s="1"/>
  <c r="R32" i="17"/>
  <c r="J12" i="20" s="1"/>
  <c r="E229" i="11"/>
  <c r="E228" i="11"/>
  <c r="I135" i="19" l="1"/>
  <c r="H11" i="20"/>
  <c r="I54" i="19"/>
  <c r="F171" i="17"/>
  <c r="F173" i="17" s="1"/>
  <c r="P35" i="17"/>
  <c r="H15" i="20" s="1"/>
  <c r="F228" i="11"/>
  <c r="R62" i="17"/>
  <c r="J39" i="20" s="1"/>
  <c r="J36" i="20"/>
  <c r="R27" i="17"/>
  <c r="J7" i="20" s="1"/>
  <c r="J6" i="20"/>
  <c r="J58" i="19"/>
  <c r="I27" i="20"/>
  <c r="Q31" i="17"/>
  <c r="J113" i="17" s="1"/>
  <c r="F167" i="17"/>
  <c r="F168" i="17" s="1"/>
  <c r="F170" i="17" s="1"/>
  <c r="F175" i="17" s="1"/>
  <c r="I30" i="20"/>
  <c r="D119" i="18"/>
  <c r="D120" i="18" s="1"/>
  <c r="I96" i="18"/>
  <c r="I98" i="18" s="1"/>
  <c r="D99" i="18" s="1"/>
  <c r="H96" i="18"/>
  <c r="E96" i="18"/>
  <c r="G96" i="18"/>
  <c r="F96" i="18"/>
  <c r="I97" i="18"/>
  <c r="E177" i="17"/>
  <c r="H53" i="17"/>
  <c r="J135" i="19"/>
  <c r="K135" i="19" s="1"/>
  <c r="L135" i="19" s="1"/>
  <c r="M135" i="19" s="1"/>
  <c r="N135" i="19" s="1"/>
  <c r="O135" i="19" s="1"/>
  <c r="P135" i="19" s="1"/>
  <c r="H135" i="19"/>
  <c r="G135" i="19" s="1"/>
  <c r="F135" i="19" s="1"/>
  <c r="E135" i="19" s="1"/>
  <c r="G97" i="18"/>
  <c r="H97" i="18"/>
  <c r="F97" i="18"/>
  <c r="E97" i="18"/>
  <c r="I87" i="18"/>
  <c r="F87" i="18"/>
  <c r="H87" i="18"/>
  <c r="G87" i="18"/>
  <c r="I89" i="18"/>
  <c r="E87" i="18"/>
  <c r="F140" i="18"/>
  <c r="E238" i="11"/>
  <c r="F238" i="11" s="1"/>
  <c r="D59" i="18"/>
  <c r="E70" i="18" s="1"/>
  <c r="D111" i="18"/>
  <c r="D114" i="18" s="1"/>
  <c r="G68" i="18"/>
  <c r="G69" i="18" s="1"/>
  <c r="G65" i="18"/>
  <c r="G93" i="18" s="1"/>
  <c r="G94" i="18" s="1"/>
  <c r="F66" i="18"/>
  <c r="R53" i="17"/>
  <c r="G169" i="17"/>
  <c r="Q58" i="17"/>
  <c r="I35" i="20" s="1"/>
  <c r="F165" i="17"/>
  <c r="F166" i="17" s="1"/>
  <c r="F176" i="17" s="1"/>
  <c r="J117" i="17"/>
  <c r="G229" i="11"/>
  <c r="E239" i="11" s="1"/>
  <c r="G58" i="17"/>
  <c r="G70" i="17" s="1"/>
  <c r="Q63" i="17" s="1"/>
  <c r="S46" i="17"/>
  <c r="K23" i="20" s="1"/>
  <c r="J4" i="4"/>
  <c r="S36" i="17"/>
  <c r="K16" i="20" s="1"/>
  <c r="S47" i="17"/>
  <c r="K24" i="20" s="1"/>
  <c r="R41" i="17"/>
  <c r="R68" i="17" s="1"/>
  <c r="S29" i="17"/>
  <c r="K9" i="20" s="1"/>
  <c r="S56" i="17"/>
  <c r="K33" i="20" s="1"/>
  <c r="S65" i="17"/>
  <c r="K42" i="20" s="1"/>
  <c r="H67" i="17"/>
  <c r="H69" i="17" s="1"/>
  <c r="S39" i="17"/>
  <c r="S34" i="17"/>
  <c r="K14" i="20" s="1"/>
  <c r="S45" i="17"/>
  <c r="K22" i="20" s="1"/>
  <c r="S59" i="17"/>
  <c r="T25" i="17"/>
  <c r="L5" i="20" s="1"/>
  <c r="F72" i="17"/>
  <c r="P63" i="17"/>
  <c r="H50" i="17"/>
  <c r="S52" i="17"/>
  <c r="S57" i="17"/>
  <c r="K34" i="20" s="1"/>
  <c r="R50" i="17"/>
  <c r="H27" i="17"/>
  <c r="H31" i="17" s="1"/>
  <c r="H35" i="17" s="1"/>
  <c r="H37" i="17" s="1"/>
  <c r="S51" i="17"/>
  <c r="K28" i="20" s="1"/>
  <c r="S40" i="17"/>
  <c r="S32" i="17"/>
  <c r="K12" i="20" s="1"/>
  <c r="S28" i="17"/>
  <c r="K8" i="20" s="1"/>
  <c r="S48" i="17"/>
  <c r="K25" i="20" s="1"/>
  <c r="S26" i="17"/>
  <c r="S54" i="17"/>
  <c r="K31" i="20" s="1"/>
  <c r="S49" i="17"/>
  <c r="K26" i="20" s="1"/>
  <c r="S30" i="17"/>
  <c r="K10" i="20" s="1"/>
  <c r="S55" i="17"/>
  <c r="K32" i="20" s="1"/>
  <c r="I32" i="17"/>
  <c r="I39" i="17"/>
  <c r="I55" i="17"/>
  <c r="J25" i="17"/>
  <c r="I30" i="17"/>
  <c r="I40" i="17"/>
  <c r="I56" i="17"/>
  <c r="I59" i="17"/>
  <c r="I62" i="17" s="1"/>
  <c r="I45" i="17"/>
  <c r="I57" i="17"/>
  <c r="I46" i="17"/>
  <c r="I65" i="17"/>
  <c r="I36" i="17"/>
  <c r="I47" i="17"/>
  <c r="I68" i="17"/>
  <c r="J114" i="4" s="1"/>
  <c r="I51" i="17"/>
  <c r="I52" i="17"/>
  <c r="I48" i="17"/>
  <c r="I26" i="17"/>
  <c r="I27" i="17" s="1"/>
  <c r="I29" i="17"/>
  <c r="I54" i="17"/>
  <c r="I34" i="17"/>
  <c r="I28" i="17"/>
  <c r="I49" i="17"/>
  <c r="P37" i="17" l="1"/>
  <c r="I115" i="17" s="1"/>
  <c r="G171" i="17"/>
  <c r="G173" i="17" s="1"/>
  <c r="R31" i="17"/>
  <c r="K113" i="17" s="1"/>
  <c r="H58" i="17"/>
  <c r="H70" i="17" s="1"/>
  <c r="H72" i="17" s="1"/>
  <c r="F177" i="17"/>
  <c r="G72" i="17"/>
  <c r="S62" i="17"/>
  <c r="K39" i="20" s="1"/>
  <c r="K36" i="20"/>
  <c r="I40" i="20"/>
  <c r="J59" i="19"/>
  <c r="J27" i="20"/>
  <c r="K58" i="19"/>
  <c r="S27" i="17"/>
  <c r="K7" i="20" s="1"/>
  <c r="K6" i="20"/>
  <c r="H169" i="17"/>
  <c r="H174" i="17" s="1"/>
  <c r="K29" i="20"/>
  <c r="I11" i="20"/>
  <c r="J54" i="19"/>
  <c r="I59" i="19"/>
  <c r="H40" i="20"/>
  <c r="G167" i="17"/>
  <c r="G168" i="17" s="1"/>
  <c r="G170" i="17" s="1"/>
  <c r="G175" i="17" s="1"/>
  <c r="J30" i="20"/>
  <c r="D100" i="18"/>
  <c r="F142" i="18" s="1"/>
  <c r="D88" i="18"/>
  <c r="D141" i="18" s="1"/>
  <c r="H134" i="18"/>
  <c r="H140" i="18" s="1"/>
  <c r="D90" i="18"/>
  <c r="F239" i="11"/>
  <c r="E37" i="18"/>
  <c r="G70" i="18"/>
  <c r="F70" i="18"/>
  <c r="G66" i="18"/>
  <c r="H68" i="18"/>
  <c r="H69" i="18" s="1"/>
  <c r="H70" i="18" s="1"/>
  <c r="H65" i="18"/>
  <c r="H66" i="18" s="1"/>
  <c r="J118" i="17"/>
  <c r="H95" i="4"/>
  <c r="H116" i="4" s="1"/>
  <c r="R58" i="17"/>
  <c r="J35" i="20" s="1"/>
  <c r="G165" i="17"/>
  <c r="G166" i="17" s="1"/>
  <c r="G176" i="17" s="1"/>
  <c r="K117" i="17"/>
  <c r="G95" i="4"/>
  <c r="G116" i="4" s="1"/>
  <c r="I118" i="17"/>
  <c r="G174" i="17"/>
  <c r="T56" i="17"/>
  <c r="L33" i="20" s="1"/>
  <c r="K4" i="4"/>
  <c r="T29" i="17"/>
  <c r="L9" i="20" s="1"/>
  <c r="T40" i="17"/>
  <c r="I31" i="17"/>
  <c r="I35" i="17" s="1"/>
  <c r="I37" i="17" s="1"/>
  <c r="S53" i="17"/>
  <c r="I67" i="17"/>
  <c r="I69" i="17" s="1"/>
  <c r="S50" i="17"/>
  <c r="T65" i="17"/>
  <c r="L42" i="20" s="1"/>
  <c r="T55" i="17"/>
  <c r="L32" i="20" s="1"/>
  <c r="T30" i="17"/>
  <c r="L10" i="20" s="1"/>
  <c r="T46" i="17"/>
  <c r="L23" i="20" s="1"/>
  <c r="T54" i="17"/>
  <c r="L31" i="20" s="1"/>
  <c r="T36" i="17"/>
  <c r="L16" i="20" s="1"/>
  <c r="T28" i="17"/>
  <c r="L8" i="20" s="1"/>
  <c r="T39" i="17"/>
  <c r="S41" i="17"/>
  <c r="S68" i="17" s="1"/>
  <c r="R33" i="17"/>
  <c r="Q67" i="17"/>
  <c r="Q33" i="17"/>
  <c r="P67" i="17"/>
  <c r="T45" i="17"/>
  <c r="L22" i="20" s="1"/>
  <c r="T34" i="17"/>
  <c r="L14" i="20" s="1"/>
  <c r="T49" i="17"/>
  <c r="L26" i="20" s="1"/>
  <c r="T59" i="17"/>
  <c r="T32" i="17"/>
  <c r="L12" i="20" s="1"/>
  <c r="T52" i="17"/>
  <c r="T48" i="17"/>
  <c r="L25" i="20" s="1"/>
  <c r="T51" i="17"/>
  <c r="L28" i="20" s="1"/>
  <c r="T47" i="17"/>
  <c r="L24" i="20" s="1"/>
  <c r="T57" i="17"/>
  <c r="L34" i="20" s="1"/>
  <c r="T26" i="17"/>
  <c r="J36" i="17"/>
  <c r="J54" i="17"/>
  <c r="J32" i="17"/>
  <c r="J39" i="17"/>
  <c r="J55" i="17"/>
  <c r="J49" i="17"/>
  <c r="J52" i="17"/>
  <c r="J40" i="17"/>
  <c r="J56" i="17"/>
  <c r="J51" i="17"/>
  <c r="J59" i="17"/>
  <c r="J62" i="17" s="1"/>
  <c r="J45" i="17"/>
  <c r="J57" i="17"/>
  <c r="J46" i="17"/>
  <c r="J65" i="17"/>
  <c r="J30" i="17"/>
  <c r="J47" i="17"/>
  <c r="J68" i="17"/>
  <c r="K114" i="4" s="1"/>
  <c r="J34" i="17"/>
  <c r="J28" i="17"/>
  <c r="J48" i="17"/>
  <c r="J26" i="17"/>
  <c r="J27" i="17" s="1"/>
  <c r="J29" i="17"/>
  <c r="I50" i="17"/>
  <c r="I53" i="17"/>
  <c r="I114" i="17" l="1"/>
  <c r="H17" i="20"/>
  <c r="I56" i="19"/>
  <c r="I120" i="17"/>
  <c r="I55" i="19"/>
  <c r="J11" i="20"/>
  <c r="I119" i="17"/>
  <c r="I60" i="19"/>
  <c r="I61" i="19"/>
  <c r="K54" i="19"/>
  <c r="H171" i="17"/>
  <c r="H173" i="17" s="1"/>
  <c r="S31" i="17"/>
  <c r="L113" i="17" s="1"/>
  <c r="Q69" i="17"/>
  <c r="Q70" i="17" s="1"/>
  <c r="Q72" i="17" s="1"/>
  <c r="I44" i="20"/>
  <c r="G177" i="17"/>
  <c r="T27" i="17"/>
  <c r="L6" i="20"/>
  <c r="P69" i="17"/>
  <c r="P70" i="17" s="1"/>
  <c r="P72" i="17" s="1"/>
  <c r="H44" i="20"/>
  <c r="I169" i="17"/>
  <c r="I174" i="17" s="1"/>
  <c r="L29" i="20"/>
  <c r="K27" i="20"/>
  <c r="L58" i="19"/>
  <c r="T62" i="17"/>
  <c r="L39" i="20" s="1"/>
  <c r="L36" i="20"/>
  <c r="H167" i="17"/>
  <c r="H168" i="17" s="1"/>
  <c r="H170" i="17" s="1"/>
  <c r="H175" i="17" s="1"/>
  <c r="K30" i="20"/>
  <c r="H142" i="18"/>
  <c r="E142" i="18"/>
  <c r="D142" i="18"/>
  <c r="E141" i="18"/>
  <c r="F141" i="18"/>
  <c r="F143" i="18" s="1"/>
  <c r="H141" i="18"/>
  <c r="D91" i="18"/>
  <c r="D101" i="18" s="1"/>
  <c r="D102" i="18" s="1"/>
  <c r="D105" i="18" s="1"/>
  <c r="D107" i="18" s="1"/>
  <c r="E95" i="19" s="1"/>
  <c r="D112" i="18"/>
  <c r="D115" i="18" s="1"/>
  <c r="D134" i="18" s="1"/>
  <c r="D140" i="18" s="1"/>
  <c r="D123" i="18"/>
  <c r="E43" i="18"/>
  <c r="F43" i="18"/>
  <c r="G43" i="18"/>
  <c r="H43" i="18"/>
  <c r="I43" i="18"/>
  <c r="I42" i="18"/>
  <c r="Q35" i="17"/>
  <c r="I13" i="20"/>
  <c r="R35" i="17"/>
  <c r="J13" i="20"/>
  <c r="H93" i="18"/>
  <c r="H94" i="18" s="1"/>
  <c r="I68" i="18"/>
  <c r="I69" i="18" s="1"/>
  <c r="I65" i="18"/>
  <c r="I93" i="18" s="1"/>
  <c r="I94" i="18" s="1"/>
  <c r="H165" i="17"/>
  <c r="H166" i="17" s="1"/>
  <c r="H176" i="17" s="1"/>
  <c r="L117" i="17"/>
  <c r="S58" i="17"/>
  <c r="K35" i="20" s="1"/>
  <c r="T50" i="17"/>
  <c r="G55" i="4" a="1"/>
  <c r="G55" i="4" s="1"/>
  <c r="T41" i="17"/>
  <c r="T68" i="17" s="1"/>
  <c r="T53" i="17"/>
  <c r="R63" i="17"/>
  <c r="J31" i="17"/>
  <c r="J35" i="17" s="1"/>
  <c r="J37" i="17" s="1"/>
  <c r="I58" i="17"/>
  <c r="I70" i="17" s="1"/>
  <c r="J50" i="17"/>
  <c r="J67" i="17"/>
  <c r="J69" i="17" s="1"/>
  <c r="J53" i="17"/>
  <c r="K11" i="20" l="1"/>
  <c r="L54" i="19"/>
  <c r="I171" i="17"/>
  <c r="I173" i="17" s="1"/>
  <c r="I167" i="17"/>
  <c r="I168" i="17" s="1"/>
  <c r="I170" i="17" s="1"/>
  <c r="I175" i="17" s="1"/>
  <c r="L30" i="20"/>
  <c r="L27" i="20"/>
  <c r="M58" i="19"/>
  <c r="T31" i="17"/>
  <c r="L7" i="20"/>
  <c r="H143" i="18"/>
  <c r="H177" i="17"/>
  <c r="R67" i="17"/>
  <c r="J40" i="20"/>
  <c r="K59" i="19"/>
  <c r="E96" i="19"/>
  <c r="E97" i="19" s="1"/>
  <c r="D143" i="18"/>
  <c r="D46" i="18"/>
  <c r="F136" i="18"/>
  <c r="D124" i="18"/>
  <c r="E134" i="18" s="1"/>
  <c r="D44" i="18"/>
  <c r="D47" i="18" s="1"/>
  <c r="D136" i="18" s="1"/>
  <c r="G134" i="18"/>
  <c r="G136" i="18" s="1"/>
  <c r="R37" i="17"/>
  <c r="J15" i="20"/>
  <c r="Q37" i="17"/>
  <c r="I15" i="20"/>
  <c r="I70" i="18"/>
  <c r="D71" i="18" s="1"/>
  <c r="I72" i="18"/>
  <c r="D73" i="18" s="1"/>
  <c r="I66" i="18"/>
  <c r="M117" i="17"/>
  <c r="I165" i="17"/>
  <c r="I166" i="17" s="1"/>
  <c r="I176" i="17" s="1"/>
  <c r="K118" i="17"/>
  <c r="I95" i="4"/>
  <c r="I116" i="4" s="1"/>
  <c r="S33" i="17"/>
  <c r="T58" i="17"/>
  <c r="L35" i="20" s="1"/>
  <c r="I72" i="17"/>
  <c r="S63" i="17"/>
  <c r="J58" i="17"/>
  <c r="J70" i="17" s="1"/>
  <c r="I177" i="17" l="1"/>
  <c r="R69" i="17"/>
  <c r="R70" i="17" s="1"/>
  <c r="R72" i="17" s="1"/>
  <c r="J44" i="20"/>
  <c r="K40" i="20"/>
  <c r="L59" i="19"/>
  <c r="M113" i="17"/>
  <c r="M54" i="19"/>
  <c r="L11" i="20"/>
  <c r="E136" i="18"/>
  <c r="E140" i="18"/>
  <c r="E143" i="18" s="1"/>
  <c r="D48" i="18"/>
  <c r="D49" i="18" s="1"/>
  <c r="S35" i="17"/>
  <c r="K13" i="20"/>
  <c r="J61" i="19"/>
  <c r="J55" i="19"/>
  <c r="J60" i="19"/>
  <c r="J56" i="19"/>
  <c r="I17" i="20"/>
  <c r="J115" i="17"/>
  <c r="J120" i="17"/>
  <c r="J119" i="17"/>
  <c r="J114" i="17"/>
  <c r="K60" i="19"/>
  <c r="K61" i="19"/>
  <c r="J17" i="20"/>
  <c r="K55" i="19"/>
  <c r="K56" i="19"/>
  <c r="K114" i="17"/>
  <c r="K120" i="17"/>
  <c r="K119" i="17"/>
  <c r="K115" i="17"/>
  <c r="D74" i="18"/>
  <c r="D75" i="18" s="1"/>
  <c r="D77" i="18" s="1"/>
  <c r="L118" i="17"/>
  <c r="J95" i="4"/>
  <c r="J116" i="4" s="1"/>
  <c r="J72" i="17"/>
  <c r="T63" i="17"/>
  <c r="T33" i="17"/>
  <c r="S67" i="17"/>
  <c r="S69" i="17" l="1"/>
  <c r="S70" i="17" s="1"/>
  <c r="S72" i="17" s="1"/>
  <c r="K44" i="20"/>
  <c r="L40" i="20"/>
  <c r="M59" i="19"/>
  <c r="D52" i="18"/>
  <c r="F137" i="18"/>
  <c r="F138" i="18" s="1"/>
  <c r="E137" i="18"/>
  <c r="E138" i="18" s="1"/>
  <c r="G137" i="18"/>
  <c r="G138" i="18" s="1"/>
  <c r="D137" i="18"/>
  <c r="D138" i="18" s="1"/>
  <c r="T35" i="17"/>
  <c r="L13" i="20"/>
  <c r="S37" i="17"/>
  <c r="K15" i="20"/>
  <c r="M118" i="17"/>
  <c r="K95" i="4"/>
  <c r="K116" i="4" s="1"/>
  <c r="T67" i="17"/>
  <c r="T69" i="17" l="1"/>
  <c r="T70" i="17" s="1"/>
  <c r="T72" i="17" s="1"/>
  <c r="L44" i="20"/>
  <c r="D54" i="18"/>
  <c r="D95" i="19" s="1"/>
  <c r="E100" i="19" s="1"/>
  <c r="D96" i="19"/>
  <c r="L61" i="19"/>
  <c r="L55" i="19"/>
  <c r="L56" i="19"/>
  <c r="L60" i="19"/>
  <c r="K17" i="20"/>
  <c r="L119" i="17"/>
  <c r="L120" i="17"/>
  <c r="L114" i="17"/>
  <c r="L115" i="17"/>
  <c r="T37" i="17"/>
  <c r="L15" i="20"/>
  <c r="D97" i="19" l="1"/>
  <c r="E99" i="19"/>
  <c r="D221" i="19" s="1"/>
  <c r="M56" i="19"/>
  <c r="M60" i="19"/>
  <c r="L17" i="20"/>
  <c r="M61" i="19"/>
  <c r="M55" i="19"/>
  <c r="M119" i="17"/>
  <c r="M114" i="17"/>
  <c r="M115" i="17"/>
  <c r="M120" i="17"/>
  <c r="D204" i="19" l="1"/>
  <c r="D186" i="19"/>
  <c r="D152" i="19"/>
  <c r="D169" i="19"/>
  <c r="D135" i="19"/>
  <c r="E107" i="19"/>
  <c r="G107" i="19" s="1"/>
  <c r="E108" i="19"/>
  <c r="G108" i="19" s="1"/>
  <c r="E109" i="19"/>
  <c r="G109" i="19" s="1"/>
  <c r="E106" i="19"/>
  <c r="G106" i="19" s="1"/>
  <c r="E101" i="1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<sst xmlns="http://schemas.openxmlformats.org/spreadsheetml/2006/main" count="7139" uniqueCount="2297">
  <si>
    <t xml:space="preserve">Company Background and Industry Analysis </t>
  </si>
  <si>
    <t xml:space="preserve">Workshop 1 </t>
  </si>
  <si>
    <t>Mathilde Sison, Averie Forshaw</t>
  </si>
  <si>
    <t xml:space="preserve">BUS 438 </t>
  </si>
  <si>
    <t xml:space="preserve">Prof. Mahdi Rastad </t>
  </si>
  <si>
    <t>a</t>
  </si>
  <si>
    <r>
      <t>Primary SIC:</t>
    </r>
    <r>
      <rPr>
        <sz val="12"/>
        <color theme="1"/>
        <rFont val="Aptos Narrow"/>
        <scheme val="minor"/>
      </rPr>
      <t xml:space="preserve"> Courier services and express delivery services</t>
    </r>
  </si>
  <si>
    <t>b</t>
  </si>
  <si>
    <t xml:space="preserve">UPS runs an integrated delivery and logistics model, earning most of its revenue from domestic and international shipping fees for parcels and freight, priced by speed, distance, weight, and volume. It layers on higher-margin value‑added services including insurance, customs brokerage, supply chain contracts, and e‑commerce logistics. </t>
  </si>
  <si>
    <t>c(i)</t>
  </si>
  <si>
    <r>
      <t xml:space="preserve">Headquarters: </t>
    </r>
    <r>
      <rPr>
        <sz val="12"/>
        <color theme="1"/>
        <rFont val="Aptos Narrow"/>
        <scheme val="minor"/>
      </rPr>
      <t>55 Glenlake Parkway, NE, Atlanta, GA 30328, USA</t>
    </r>
  </si>
  <si>
    <t>c(ii)</t>
  </si>
  <si>
    <r>
      <t>Subsidaries:</t>
    </r>
    <r>
      <rPr>
        <sz val="12"/>
        <color theme="1"/>
        <rFont val="Aptos Narrow"/>
        <scheme val="minor"/>
      </rPr>
      <t xml:space="preserve"> US, NAM, Europe, Asia-Pacific, Latin America, Middle East, parts of Africa</t>
    </r>
  </si>
  <si>
    <t>c(iii)</t>
  </si>
  <si>
    <t xml:space="preserve">UPS operates globally. </t>
  </si>
  <si>
    <t>d</t>
  </si>
  <si>
    <r>
      <t xml:space="preserve">Number of Employees: </t>
    </r>
    <r>
      <rPr>
        <sz val="12"/>
        <color theme="1"/>
        <rFont val="Aptos Narrow"/>
        <scheme val="minor"/>
      </rPr>
      <t>490,000</t>
    </r>
  </si>
  <si>
    <t>Most Recent (12/31/24)</t>
  </si>
  <si>
    <t>Total Assets: 70,070,000</t>
  </si>
  <si>
    <t>Total Equity: 16,718,000</t>
  </si>
  <si>
    <t>Total Revenue: 91,070,000</t>
  </si>
  <si>
    <t xml:space="preserve">Financial Statements and Performance Analysis </t>
  </si>
  <si>
    <t>Workshop 2</t>
  </si>
  <si>
    <t xml:space="preserve">Mathilde Sison, Averie Forshaw </t>
  </si>
  <si>
    <t>Prof. Mahdi Rastad</t>
  </si>
  <si>
    <t xml:space="preserve">UPS Current Stock Price: </t>
  </si>
  <si>
    <t>Average Yearly Share Price</t>
  </si>
  <si>
    <r>
      <rPr>
        <b/>
        <sz val="12"/>
        <color rgb="FF242424"/>
        <rFont val="Aptos Narrow"/>
        <scheme val="minor"/>
      </rPr>
      <t xml:space="preserve">a </t>
    </r>
    <r>
      <rPr>
        <b/>
        <u/>
        <sz val="12"/>
        <color rgb="FF242424"/>
        <rFont val="Aptos Narrow"/>
        <scheme val="minor"/>
      </rPr>
      <t>Standardized Annual Income Statement as a % of Total Revenue</t>
    </r>
  </si>
  <si>
    <t>Sales</t>
  </si>
  <si>
    <t>Cost of Goods Sold (COGS) incl. D&amp;A</t>
  </si>
  <si>
    <t>COGS excluding D&amp;A</t>
  </si>
  <si>
    <t>Depreciation &amp; Amortization Expense</t>
  </si>
  <si>
    <t>Depreciation</t>
  </si>
  <si>
    <t>Amortization of Intangibles</t>
  </si>
  <si>
    <t>Gross Income</t>
  </si>
  <si>
    <t>SG&amp;A Expense</t>
  </si>
  <si>
    <t>Other SG&amp;A</t>
  </si>
  <si>
    <t>Other Operating Expense</t>
  </si>
  <si>
    <t>EBIT (Operating Income)</t>
  </si>
  <si>
    <t>Nonoperating Income - Net</t>
  </si>
  <si>
    <t>Nonoperating Interest Income</t>
  </si>
  <si>
    <t>Other Income (Expense)</t>
  </si>
  <si>
    <t>Interest Expense</t>
  </si>
  <si>
    <t>Gross Interest Expense</t>
  </si>
  <si>
    <t>Interest Capitalized</t>
  </si>
  <si>
    <t>Unusual Expense - Net</t>
  </si>
  <si>
    <t>Impairments</t>
  </si>
  <si>
    <t>Other Intangibles</t>
  </si>
  <si>
    <t>Restructuring Expense</t>
  </si>
  <si>
    <t>Unrealized Valuation Gain/Loss</t>
  </si>
  <si>
    <t>Hedges/Derivatives</t>
  </si>
  <si>
    <t>Pretax Income</t>
  </si>
  <si>
    <t>Income Taxes</t>
  </si>
  <si>
    <t>Income Taxes - Current Domestic</t>
  </si>
  <si>
    <t>Income Taxes - Current Foreign</t>
  </si>
  <si>
    <t>Income Taxes - Deferred Domestic</t>
  </si>
  <si>
    <t>Income Taxes - Deferred Foreign</t>
  </si>
  <si>
    <t>Consolidated Net Income</t>
  </si>
  <si>
    <t>Net Income</t>
  </si>
  <si>
    <t>Net Income available to Common</t>
  </si>
  <si>
    <t>Per Share</t>
  </si>
  <si>
    <t>EPS (recurring)</t>
  </si>
  <si>
    <t>EPS (basic)</t>
  </si>
  <si>
    <t>Basic Shares Outstanding</t>
  </si>
  <si>
    <t>Total Shares Outstanding</t>
  </si>
  <si>
    <t>EPS (diluted)</t>
  </si>
  <si>
    <t>Diluted Shares Outstanding</t>
  </si>
  <si>
    <t>Earnings Persistence</t>
  </si>
  <si>
    <t>Dividends per Share</t>
  </si>
  <si>
    <t>Payout Ratio</t>
  </si>
  <si>
    <t>EBITDA</t>
  </si>
  <si>
    <t>EBIT</t>
  </si>
  <si>
    <r>
      <t xml:space="preserve">b </t>
    </r>
    <r>
      <rPr>
        <b/>
        <u/>
        <sz val="12"/>
        <color theme="1"/>
        <rFont val="Aptos Narrow"/>
        <scheme val="minor"/>
      </rPr>
      <t>Standardized Annual Balance Sheet as a % of Total Assets</t>
    </r>
  </si>
  <si>
    <t>Cash &amp; Short-Term Investments</t>
  </si>
  <si>
    <t xml:space="preserve"> </t>
  </si>
  <si>
    <t>Cash Only</t>
  </si>
  <si>
    <t>Total Short Term Investments</t>
  </si>
  <si>
    <t>Short-Term Receivables</t>
  </si>
  <si>
    <t>Accounts Receivables, Net</t>
  </si>
  <si>
    <t>Accounts Receivables, Gross</t>
  </si>
  <si>
    <t>Bad Debt/Doubtful Accounts</t>
  </si>
  <si>
    <t>Other Receivables</t>
  </si>
  <si>
    <t>Inventories</t>
  </si>
  <si>
    <t>Raw Materials</t>
  </si>
  <si>
    <t>Other Current Assets</t>
  </si>
  <si>
    <t>Miscellaneous Current Assets</t>
  </si>
  <si>
    <t>Total Current Assets</t>
  </si>
  <si>
    <t>Net Property, Plant &amp; Equipment</t>
  </si>
  <si>
    <t>Property, Plant &amp; Equipment - Gross</t>
  </si>
  <si>
    <t>Buildings</t>
  </si>
  <si>
    <t>Land &amp; Improvements</t>
  </si>
  <si>
    <t>Machinery &amp; Equipment</t>
  </si>
  <si>
    <t>Construction in Progress</t>
  </si>
  <si>
    <t>Computer Software and Equipment</t>
  </si>
  <si>
    <t>Transportation Equipment</t>
  </si>
  <si>
    <t>Operating Lease Right-of-Use Assets</t>
  </si>
  <si>
    <t>Accumulated Depreciation</t>
  </si>
  <si>
    <t xml:space="preserve">Total Long-Term Investments </t>
  </si>
  <si>
    <t>LT Investment - Affiliate Companies</t>
  </si>
  <si>
    <t>Other Long-Term Investments</t>
  </si>
  <si>
    <t>Intangible Assets</t>
  </si>
  <si>
    <t>Goodwill</t>
  </si>
  <si>
    <t>Other Intangible Assets</t>
  </si>
  <si>
    <t>Deferred Tax Assets</t>
  </si>
  <si>
    <t>Other Assets</t>
  </si>
  <si>
    <t>Deferred Charges</t>
  </si>
  <si>
    <t>Tangible Other Assets</t>
  </si>
  <si>
    <t>Total Assets</t>
  </si>
  <si>
    <t>ST Debt &amp; Curr. Portion LT Debt</t>
  </si>
  <si>
    <t>Accounts Payable</t>
  </si>
  <si>
    <t>Other Current Liabilities</t>
  </si>
  <si>
    <t>Accrued Payroll</t>
  </si>
  <si>
    <t>Miscellaneous Current Liabilities</t>
  </si>
  <si>
    <t>Total Current Liabilities</t>
  </si>
  <si>
    <t>Long-Term Debt</t>
  </si>
  <si>
    <t>Long-Term Debt excl Lease Obligations</t>
  </si>
  <si>
    <t>Capital and Operating Lease Obligations</t>
  </si>
  <si>
    <t>Provision for Risks &amp; Charges</t>
  </si>
  <si>
    <t>Deferred Tax Liabilities</t>
  </si>
  <si>
    <t>Other Liabilities</t>
  </si>
  <si>
    <t>Other Liabilities (excl. Deferred Income)</t>
  </si>
  <si>
    <t>Deferred Income</t>
  </si>
  <si>
    <t>Total Liabilities</t>
  </si>
  <si>
    <t>Common Equity</t>
  </si>
  <si>
    <t>Common Stock Par/Carry Value</t>
  </si>
  <si>
    <t>Additional Paid-In Capital/Capital Surplus</t>
  </si>
  <si>
    <t>Retained Earnings</t>
  </si>
  <si>
    <t>Cumulative Translation Adjustment/Unrealized For. Exch. Gain</t>
  </si>
  <si>
    <t>Unrealized Gain/Loss Marketable Securities</t>
  </si>
  <si>
    <t>Other Appropriated Reserves</t>
  </si>
  <si>
    <t>Treasury Stock</t>
  </si>
  <si>
    <t>Total Shareholders' Equity</t>
  </si>
  <si>
    <t>Accumulated Minority Interest</t>
  </si>
  <si>
    <t>Total Equity</t>
  </si>
  <si>
    <t>Total Liabilities &amp; Shareholders' Equity</t>
  </si>
  <si>
    <t>Standardized Annual Income Statement: Categorical Growth Rates</t>
  </si>
  <si>
    <t>2020-2021</t>
  </si>
  <si>
    <t>2021-2022</t>
  </si>
  <si>
    <t>2022-2023</t>
  </si>
  <si>
    <t>2023-2024</t>
  </si>
  <si>
    <t>-</t>
  </si>
  <si>
    <t>Standardized Annual Balance Sheet: Categorical Growth Rates</t>
  </si>
  <si>
    <r>
      <t xml:space="preserve">UPS' current stock price is listed at the top of the sheet in </t>
    </r>
    <r>
      <rPr>
        <b/>
        <u/>
        <sz val="12"/>
        <color rgb="FFFF0000"/>
        <rFont val="Aptos Narrow"/>
        <scheme val="minor"/>
      </rPr>
      <t>cell D11</t>
    </r>
    <r>
      <rPr>
        <sz val="12"/>
        <color rgb="FF000000"/>
        <rFont val="Aptos Narrow"/>
        <scheme val="minor"/>
      </rPr>
      <t>.</t>
    </r>
  </si>
  <si>
    <t>Market Value of Equity (in $000,000's)</t>
  </si>
  <si>
    <t>Enterprise Value (in $000,000's)</t>
  </si>
  <si>
    <t xml:space="preserve">UPS Earnings per Share (EPS) for 2024 Fiscal Year: </t>
  </si>
  <si>
    <t>Yahoo! Finance Analysts' Average EPS Estimate for 2026 Fiscal Year:</t>
  </si>
  <si>
    <t xml:space="preserve">UPS' Estimated EPS Growth Rate (%) from 2024-2025: </t>
  </si>
  <si>
    <t xml:space="preserve">Valuation Ratios: </t>
  </si>
  <si>
    <t xml:space="preserve">P/E Ratio </t>
  </si>
  <si>
    <t xml:space="preserve">PEG Ratio (Forward) </t>
  </si>
  <si>
    <t xml:space="preserve">Market-to-Book Ratio </t>
  </si>
  <si>
    <t xml:space="preserve">Enterprise Value-to-EBITDA </t>
  </si>
  <si>
    <t xml:space="preserve">Profitability Ratios: </t>
  </si>
  <si>
    <t xml:space="preserve">Operating Margin </t>
  </si>
  <si>
    <t xml:space="preserve">Net Profit Margin </t>
  </si>
  <si>
    <t xml:space="preserve">Return on Equity (ROE </t>
  </si>
  <si>
    <t xml:space="preserve">Financial Strength Ratios: </t>
  </si>
  <si>
    <t xml:space="preserve">Current Ratio </t>
  </si>
  <si>
    <t xml:space="preserve">Book Debt-to-Equity Ratio </t>
  </si>
  <si>
    <t xml:space="preserve">Market Debt-to-Equity Ratio </t>
  </si>
  <si>
    <t xml:space="preserve">Interest Coverage Ratio </t>
  </si>
  <si>
    <t xml:space="preserve">Payout Ratio </t>
  </si>
  <si>
    <t xml:space="preserve">The P/E ratio on FactSet is lower compared to my calculation, but still strong at 18.65, signaling strong investor belief in UPS' future growth. ROE has been declining over the past 5 years, but could be a sign of capital structure changes. An operating margin of 9.56% shows UPS' consistent ability to offer strong pricing in a relatively low-margin industry. </t>
  </si>
  <si>
    <t xml:space="preserve">DuPont Analysis </t>
  </si>
  <si>
    <t xml:space="preserve">Net Income Margin </t>
  </si>
  <si>
    <t xml:space="preserve">Asset Turnover </t>
  </si>
  <si>
    <t xml:space="preserve">Equity Multiplier </t>
  </si>
  <si>
    <t xml:space="preserve">ROE </t>
  </si>
  <si>
    <t xml:space="preserve">ROIC is usually a better measure than ROE for judging  how good the business is because it looks at returns on capital invested in operations, not just equity  that can be artificially boosted by leverage. </t>
  </si>
  <si>
    <t>UPS Compared to the Industry:</t>
  </si>
  <si>
    <r>
      <rPr>
        <b/>
        <sz val="12"/>
        <color rgb="FF000000"/>
        <rFont val="Aptos Narrow"/>
        <scheme val="minor"/>
      </rPr>
      <t>Source:</t>
    </r>
    <r>
      <rPr>
        <sz val="12"/>
        <color rgb="FF000000"/>
        <rFont val="Aptos Narrow"/>
        <scheme val="minor"/>
      </rPr>
      <t xml:space="preserve"> CSIMarket.com</t>
    </r>
  </si>
  <si>
    <t xml:space="preserve">UPS (2024) </t>
  </si>
  <si>
    <t>Integrated Freight &amp; Logistics (2024)</t>
  </si>
  <si>
    <t xml:space="preserve">Difference </t>
  </si>
  <si>
    <t xml:space="preserve">Problems can potentially rise when comparing company performance to the average industry performance because industry averages can hide differences across firms. The industry average includes many firms of different sizes, strategies, leverage, and life-cycle stages. As a result,  comparing a company's performance against the industry average can lead to wrong conclusions about under or over performance. </t>
  </si>
  <si>
    <t>UPS Compared to FedEx:</t>
  </si>
  <si>
    <t>FedEx (2024)</t>
  </si>
  <si>
    <t>Expected EPS Growth Rate (%)</t>
  </si>
  <si>
    <t xml:space="preserve">Cash from operating activites </t>
  </si>
  <si>
    <t>+</t>
  </si>
  <si>
    <t xml:space="preserve">Cash from investing activities </t>
  </si>
  <si>
    <t xml:space="preserve">Cash from financing activities </t>
  </si>
  <si>
    <t xml:space="preserve">Building Cash </t>
  </si>
  <si>
    <t xml:space="preserve">Strong </t>
  </si>
  <si>
    <t xml:space="preserve">Downsizing </t>
  </si>
  <si>
    <t xml:space="preserve">Growing </t>
  </si>
  <si>
    <t xml:space="preserve">Trouble </t>
  </si>
  <si>
    <t xml:space="preserve">Early Growth </t>
  </si>
  <si>
    <t xml:space="preserve">Using Reserves </t>
  </si>
  <si>
    <t xml:space="preserve">The table helps understand UPS' future growh rate by showing it in the 'strong' phase of generating positive cash from operations. This table helps show that UPS is past its early-growth phase and has stable cash generation, so future growth assumptions should be moderate rather than a sharp rise or decline. </t>
  </si>
  <si>
    <t>Valuation Using Multiples of Comparable Firms</t>
  </si>
  <si>
    <t>Workshop 3</t>
  </si>
  <si>
    <t>Unadjusted Valuation Based on All Comparables</t>
  </si>
  <si>
    <t>EV/Sales</t>
  </si>
  <si>
    <t>EV/EBITDA</t>
  </si>
  <si>
    <t>P/E Ratio</t>
  </si>
  <si>
    <t>Median Value for all Comparable Firms</t>
  </si>
  <si>
    <t>UPS's Estimated Enterprise Value (in $000,000's)</t>
  </si>
  <si>
    <t xml:space="preserve">b </t>
  </si>
  <si>
    <t>UPS's Estimated Share Price</t>
  </si>
  <si>
    <t>Unadjusted Valuation Based on Closest Comparables:</t>
  </si>
  <si>
    <t>Median Value for Closest Comparable Firms</t>
  </si>
  <si>
    <t>All Comparables</t>
  </si>
  <si>
    <t>Company Name</t>
  </si>
  <si>
    <t>Exchange:Ticker</t>
  </si>
  <si>
    <t>Industry Group</t>
  </si>
  <si>
    <t>Primary Sector</t>
  </si>
  <si>
    <t>SIC Code</t>
  </si>
  <si>
    <t>Country</t>
  </si>
  <si>
    <t>Broad Group</t>
  </si>
  <si>
    <t>Sub Group</t>
  </si>
  <si>
    <t>Bottom up Beta for sector</t>
  </si>
  <si>
    <t>Bottom up levered beta</t>
  </si>
  <si>
    <t>ERP for Country</t>
  </si>
  <si>
    <t>Cost of equity in US$</t>
  </si>
  <si>
    <t>Default Spread based on bond rating (if available)</t>
  </si>
  <si>
    <t>Total Default Spread for cost of debt (Company + Country)</t>
  </si>
  <si>
    <t>Pre-tax cost of debt in US $</t>
  </si>
  <si>
    <t>After-tax cost of debt in US $</t>
  </si>
  <si>
    <t>Cost of capital in US$</t>
  </si>
  <si>
    <t>ROE - Cost of Equity</t>
  </si>
  <si>
    <t>ROIC - Cost of Capital</t>
  </si>
  <si>
    <t>Market Cap (in US $)</t>
  </si>
  <si>
    <t>PV of lease debt</t>
  </si>
  <si>
    <t>Total Debt without Oper Leases</t>
  </si>
  <si>
    <t>Total Debt incl leases (in US $)</t>
  </si>
  <si>
    <t>Firm Value (in US $)</t>
  </si>
  <si>
    <t>Cash</t>
  </si>
  <si>
    <t>Enterprise Value (in US $)</t>
  </si>
  <si>
    <t>Cash/ Firm Value</t>
  </si>
  <si>
    <t>Liquidity Ratio (Annual trading volume/Shrs outs)</t>
  </si>
  <si>
    <t>Book Debt to capital ratio</t>
  </si>
  <si>
    <t>Market Debt to capital ratio</t>
  </si>
  <si>
    <t>Book Debt to Equity Ratio</t>
  </si>
  <si>
    <t>Market Debt to Equity ratio</t>
  </si>
  <si>
    <t>Stock price (End of most recent year)in US$</t>
  </si>
  <si>
    <t>Price Change for Sub-group</t>
  </si>
  <si>
    <t>Jensen's Alpha</t>
  </si>
  <si>
    <t>Beta</t>
  </si>
  <si>
    <t>Correlation with market</t>
  </si>
  <si>
    <t>Standard deviation in stock price</t>
  </si>
  <si>
    <t>HiL0 Risk Measure (Hi- lo)/ (Hi+Lo)</t>
  </si>
  <si>
    <t>Interest coverage ratio</t>
  </si>
  <si>
    <t>Current PE</t>
  </si>
  <si>
    <t>Trailing PE</t>
  </si>
  <si>
    <t>PE- Start of 2024</t>
  </si>
  <si>
    <t>Forward PE</t>
  </si>
  <si>
    <t>PEG</t>
  </si>
  <si>
    <t>PBV</t>
  </si>
  <si>
    <t>PBV - Start of 2024</t>
  </si>
  <si>
    <t>PS</t>
  </si>
  <si>
    <t>EV/EBIT</t>
  </si>
  <si>
    <t>EV/Invested Capital</t>
  </si>
  <si>
    <t>Payout ratio</t>
  </si>
  <si>
    <t>Dividend Yield</t>
  </si>
  <si>
    <t>Price Change in 2023</t>
  </si>
  <si>
    <t>Historical growth in Net Income - Last 3 years</t>
  </si>
  <si>
    <t>Historical growth in Net Income - Last 5 years</t>
  </si>
  <si>
    <t>Historical growth in Revenues - Last 3 years</t>
  </si>
  <si>
    <t>Historical growth in Revenues - Last 5 years</t>
  </si>
  <si>
    <t>Expected growth rate in EPS- Next 5 years</t>
  </si>
  <si>
    <t>Expected growth in revenues - Next 2 years</t>
  </si>
  <si>
    <t>Return on Equity</t>
  </si>
  <si>
    <t>Return on Capital (ROC or ROIC)</t>
  </si>
  <si>
    <t>Sales/Capital</t>
  </si>
  <si>
    <t>Net Profit Margin</t>
  </si>
  <si>
    <t>Pre-tax Operating Margin</t>
  </si>
  <si>
    <t>Gross Margin</t>
  </si>
  <si>
    <t>Marginal Tax Rate</t>
  </si>
  <si>
    <t>Effective Tax Rate</t>
  </si>
  <si>
    <t>% held by institutions</t>
  </si>
  <si>
    <t>Trailing Net Income</t>
  </si>
  <si>
    <t>Operating Income</t>
  </si>
  <si>
    <t>Trailing Operating Income (adj for leases)</t>
  </si>
  <si>
    <t>Trailing Gross Profit</t>
  </si>
  <si>
    <t>Revenues</t>
  </si>
  <si>
    <t>Trailing Revenues</t>
  </si>
  <si>
    <t>Trailing EBITDA (adj for leases)</t>
  </si>
  <si>
    <t>Trailing After-tax Operating Income</t>
  </si>
  <si>
    <t>Net Debt repaid (Debt repaid - issued)</t>
  </si>
  <si>
    <t>Change in non-cash Working capital</t>
  </si>
  <si>
    <t>Non-cash Working Capital</t>
  </si>
  <si>
    <t>Non-cash Working Capital as % of Revenues</t>
  </si>
  <si>
    <t>Net Cap Ex</t>
  </si>
  <si>
    <t>Reinvestment Rate</t>
  </si>
  <si>
    <t>FCFF</t>
  </si>
  <si>
    <t>FCFE</t>
  </si>
  <si>
    <t>FCFE without debt</t>
  </si>
  <si>
    <t>Book Value of Equity - 4 qtrs ago</t>
  </si>
  <si>
    <t>Invested Capital - 4 qtre ago</t>
  </si>
  <si>
    <t>Current Book Value of Equity</t>
  </si>
  <si>
    <t>Current Invested Capital</t>
  </si>
  <si>
    <t>Dividends</t>
  </si>
  <si>
    <t>Modified 2-year beta</t>
  </si>
  <si>
    <t>Modified 5-year beta</t>
  </si>
  <si>
    <t>Beta adjustment factor</t>
  </si>
  <si>
    <t>Coeff of variation - Op Income</t>
  </si>
  <si>
    <t>Coeff of variation - Net Income</t>
  </si>
  <si>
    <t>Average 10-year EBIT</t>
  </si>
  <si>
    <t>Average 10-yr Net Income</t>
  </si>
  <si>
    <t>Dividends + Buybacks</t>
  </si>
  <si>
    <t>Only +ve Taxable Income</t>
  </si>
  <si>
    <t>Only +ve Taxes</t>
  </si>
  <si>
    <t>Only +'ve Net Income</t>
  </si>
  <si>
    <t>Onlt +'ve Net Income Mkt cap</t>
  </si>
  <si>
    <t>Only +"ve EBITDA</t>
  </si>
  <si>
    <t>Only +ve EBITDA EV</t>
  </si>
  <si>
    <t>Only +ve div FCFE</t>
  </si>
  <si>
    <t>Capitalized R&amp;D</t>
  </si>
  <si>
    <t>Operating Income adjusted for leases &amp; R&amp;D</t>
  </si>
  <si>
    <t>Invested Capital Adjusted for R&amp;D</t>
  </si>
  <si>
    <t>EBITDAR&amp;D</t>
  </si>
  <si>
    <t>ROE (adj for R&amp;D)</t>
  </si>
  <si>
    <t>ROIC (adj for R&amp;D)</t>
  </si>
  <si>
    <t>EV/EBITDAR&amp;D</t>
  </si>
  <si>
    <t>Depreciation &amp; Amortization (Modified)</t>
  </si>
  <si>
    <t>Invested Capital - 10 years ago</t>
  </si>
  <si>
    <t>Normalized Operating Income</t>
  </si>
  <si>
    <t>Normalized ROIC</t>
  </si>
  <si>
    <t>Change in Debt</t>
  </si>
  <si>
    <t>Debt Repaid</t>
  </si>
  <si>
    <t>Debt Issued</t>
  </si>
  <si>
    <t>Change in Lease Commitments</t>
  </si>
  <si>
    <t>Equity Issuances</t>
  </si>
  <si>
    <t>Interest expense</t>
  </si>
  <si>
    <t>Interest Income</t>
  </si>
  <si>
    <t>Company Age</t>
  </si>
  <si>
    <t>% Price Change: 2023 Q1</t>
  </si>
  <si>
    <t>% Price Change: 2023  Q2</t>
  </si>
  <si>
    <t>% Price Change: 2023 Q3</t>
  </si>
  <si>
    <t>% Pirce change: 2023 Q4</t>
  </si>
  <si>
    <t>% Price Change: 2023</t>
  </si>
  <si>
    <t>% Change in Revenue in LTM</t>
  </si>
  <si>
    <t>Operating Margin in LTM 2022</t>
  </si>
  <si>
    <t>Operating Margin one year before</t>
  </si>
  <si>
    <t>EBIT [LTM] ($USDmm, Historical rate)</t>
  </si>
  <si>
    <t>EBIT [LTM - 1] ($USDmm, Historical rate)</t>
  </si>
  <si>
    <t> Market Capitalization [My Setting] [12/31/2024] ($USDmm, Historical rate) </t>
  </si>
  <si>
    <t> Market Capitalization [My Setting] [03/31/2025] ($USDmm, Historical rate) </t>
  </si>
  <si>
    <t> Market Capitalization [My Setting] [06/30/2025] ($USDmm, Historical rate) </t>
  </si>
  <si>
    <t> Market Capitalization [My Setting] [09/30/2025] ($USDmm, Historical rate) </t>
  </si>
  <si>
    <t> Revenues (with employee count) </t>
  </si>
  <si>
    <t> Market Cap (with employee count) </t>
  </si>
  <si>
    <t> Money Maker indicator </t>
  </si>
  <si>
    <t> Revenue Growth (last 5 yeers) </t>
  </si>
  <si>
    <t> Expected revenue Growth (next 5 years) </t>
  </si>
  <si>
    <t> Current Revenues (when revenues in 2018 available) </t>
  </si>
  <si>
    <t> Current Revenue (when revenus in 2028 available) </t>
  </si>
  <si>
    <t>Market Cap (Dec 30, 2014)</t>
  </si>
  <si>
    <t>Market Cap (Dec 30, 2019)</t>
  </si>
  <si>
    <t>Market Cap (Dec 30, 2020)</t>
  </si>
  <si>
    <t> Market Cap (Dec 30, 2021) </t>
  </si>
  <si>
    <t> Market Cap (Dec 30, 2022) </t>
  </si>
  <si>
    <t> Market Cap (Dec 30, 2023) </t>
  </si>
  <si>
    <t>Short term Debt</t>
  </si>
  <si>
    <t>Bonds as % of Debt</t>
  </si>
  <si>
    <t>Floating Rate Debt </t>
  </si>
  <si>
    <t>Fixd Rate Debt</t>
  </si>
  <si>
    <t>United Parcel Service, Inc. (NYSE:UPS)</t>
  </si>
  <si>
    <t>NYSE:UPS</t>
  </si>
  <si>
    <t>Transportation</t>
  </si>
  <si>
    <t>Industrials</t>
  </si>
  <si>
    <t>United States</t>
  </si>
  <si>
    <t> $     2,969.00 </t>
  </si>
  <si>
    <t>        1,688.0 </t>
  </si>
  <si>
    <t>        4,153.0 </t>
  </si>
  <si>
    <t> $     181.00 </t>
  </si>
  <si>
    <t> $    7,953.00 </t>
  </si>
  <si>
    <t> $     972.00 </t>
  </si>
  <si>
    <t> $     697.00 </t>
  </si>
  <si>
    <t> $       5,784.00 </t>
  </si>
  <si>
    <t> $   107,609.90 </t>
  </si>
  <si>
    <t> $     93,220.00 </t>
  </si>
  <si>
    <t> $     85,475.80 </t>
  </si>
  <si>
    <t> $     70,797.50 </t>
  </si>
  <si>
    <t> $               -   </t>
  </si>
  <si>
    <t> $                  -   </t>
  </si>
  <si>
    <t> $  89,483.00 </t>
  </si>
  <si>
    <t>Deutsche Post AG (XTRA:DHL)</t>
  </si>
  <si>
    <t>XTRA:DHL</t>
  </si>
  <si>
    <t>Germany</t>
  </si>
  <si>
    <t>Developed Europe</t>
  </si>
  <si>
    <t>EU &amp; Environs</t>
  </si>
  <si>
    <t>NA</t>
  </si>
  <si>
    <t> $     4,727.90 </t>
  </si>
  <si>
    <t>        5,161.3 </t>
  </si>
  <si>
    <t>        4,578.2 </t>
  </si>
  <si>
    <t> $             -   </t>
  </si>
  <si>
    <t> $    6,496.50 </t>
  </si>
  <si>
    <t> $  1,268.30 </t>
  </si>
  <si>
    <t> $     255.80 </t>
  </si>
  <si>
    <t> $       8,868.90 </t>
  </si>
  <si>
    <t> $     40,566.20 </t>
  </si>
  <si>
    <t> $     49,044.50 </t>
  </si>
  <si>
    <t> $     52,245.40 </t>
  </si>
  <si>
    <t> $     50,022.90 </t>
  </si>
  <si>
    <t> $  98,619.00 </t>
  </si>
  <si>
    <t> $     61,526.60 </t>
  </si>
  <si>
    <t>Old Dominion Freight Line, Inc. (NasdaqGS:ODFL)</t>
  </si>
  <si>
    <t>NasdaqGS:ODFL</t>
  </si>
  <si>
    <t>Trucking</t>
  </si>
  <si>
    <t> $          25.00 </t>
  </si>
  <si>
    <t>             20.0 </t>
  </si>
  <si>
    <t>             45.0 </t>
  </si>
  <si>
    <t> $    1,390.80 </t>
  </si>
  <si>
    <t> $         0.04 </t>
  </si>
  <si>
    <t> $         4.81 </t>
  </si>
  <si>
    <t> $            81.90 </t>
  </si>
  <si>
    <t> $     37,661.00 </t>
  </si>
  <si>
    <t> $     35,165.60 </t>
  </si>
  <si>
    <t> $     34,298.10 </t>
  </si>
  <si>
    <t> $     29,587.50 </t>
  </si>
  <si>
    <t> $    5,574.90 </t>
  </si>
  <si>
    <t>Grab Holdings Limited (NasdaqGS:GRAB)</t>
  </si>
  <si>
    <t>NasdaqGS:GRAB</t>
  </si>
  <si>
    <t>Singapore</t>
  </si>
  <si>
    <t>Emerging Markets</t>
  </si>
  <si>
    <t>Small Asia</t>
  </si>
  <si>
    <t> $     1,809.00 </t>
  </si>
  <si>
    <t>           275.0 </t>
  </si>
  <si>
    <t>        1,680.0 </t>
  </si>
  <si>
    <t> $       27.00 </t>
  </si>
  <si>
    <t> $         26.00 </t>
  </si>
  <si>
    <t> $       29.00 </t>
  </si>
  <si>
    <t> $     206.00 </t>
  </si>
  <si>
    <t> $       1,170.00 </t>
  </si>
  <si>
    <t> $     19,007.40 </t>
  </si>
  <si>
    <t> $     18,438.40 </t>
  </si>
  <si>
    <t> $     20,742.70 </t>
  </si>
  <si>
    <t> $     24,540.90 </t>
  </si>
  <si>
    <t> $    3,228.00 </t>
  </si>
  <si>
    <t>TFI International Inc. (TSX:TFII)</t>
  </si>
  <si>
    <t>TSX:TFII</t>
  </si>
  <si>
    <t>Canada</t>
  </si>
  <si>
    <t>Australia, NZ and Canada</t>
  </si>
  <si>
    <t>           808.0 </t>
  </si>
  <si>
    <t>           478.4 </t>
  </si>
  <si>
    <t> $         6.79 </t>
  </si>
  <si>
    <t> $       582.50 </t>
  </si>
  <si>
    <t> $     149.70 </t>
  </si>
  <si>
    <t> $         1.82 </t>
  </si>
  <si>
    <t> $          678.30 </t>
  </si>
  <si>
    <t> $     11,425.70 </t>
  </si>
  <si>
    <t> $       6,530.90 </t>
  </si>
  <si>
    <t> $       7,526.20 </t>
  </si>
  <si>
    <t> $       7,300.30 </t>
  </si>
  <si>
    <t> $    8,047.60 </t>
  </si>
  <si>
    <t> $       8,514.30 </t>
  </si>
  <si>
    <t>Knight-Swift Transportation Holdings Inc. (NYSE:KNX)</t>
  </si>
  <si>
    <t>NYSE:KNX</t>
  </si>
  <si>
    <t>        2,148.5 </t>
  </si>
  <si>
    <t>        2,003.0 </t>
  </si>
  <si>
    <t> $         5.57 </t>
  </si>
  <si>
    <t> $       259.90 </t>
  </si>
  <si>
    <t> $     167.10 </t>
  </si>
  <si>
    <t> $       12.50 </t>
  </si>
  <si>
    <t> $          251.60 </t>
  </si>
  <si>
    <t> $       8,586.80 </t>
  </si>
  <si>
    <t> $       7,044.30 </t>
  </si>
  <si>
    <t> $       7,167.50 </t>
  </si>
  <si>
    <t> $       6,412.60 </t>
  </si>
  <si>
    <t> $    7,477.60 </t>
  </si>
  <si>
    <t>InPost S.A. (ENXTAM:INPST)</t>
  </si>
  <si>
    <t>ENXTAM:INPST</t>
  </si>
  <si>
    <t>Luxembourg</t>
  </si>
  <si>
    <t> $        913.40 </t>
  </si>
  <si>
    <t>        2,060.9 </t>
  </si>
  <si>
    <t>        2,087.1 </t>
  </si>
  <si>
    <t> $       518.30 </t>
  </si>
  <si>
    <t> $     176.30 </t>
  </si>
  <si>
    <t> $         4.12 </t>
  </si>
  <si>
    <t> $          590.60 </t>
  </si>
  <si>
    <t> $       8,545.40 </t>
  </si>
  <si>
    <t> $       7,262.00 </t>
  </si>
  <si>
    <t> $       8,241.20 </t>
  </si>
  <si>
    <t> $       6,124.20 </t>
  </si>
  <si>
    <t> $    3,736.80 </t>
  </si>
  <si>
    <t>Schneider National, Inc. (NYSE:SNDR)</t>
  </si>
  <si>
    <t>NYSE:SNDR</t>
  </si>
  <si>
    <t> $        258.50 </t>
  </si>
  <si>
    <t>           191.6 </t>
  </si>
  <si>
    <t>           450.0 </t>
  </si>
  <si>
    <t> $       177.00 </t>
  </si>
  <si>
    <t> $       30.60 </t>
  </si>
  <si>
    <t> $         6.00 </t>
  </si>
  <si>
    <t> $          228.30 </t>
  </si>
  <si>
    <t> $       5,129.40 </t>
  </si>
  <si>
    <t> $       4,009.90 </t>
  </si>
  <si>
    <t> $       4,231.10 </t>
  </si>
  <si>
    <t> $       3,708.60 </t>
  </si>
  <si>
    <t> NA </t>
  </si>
  <si>
    <t>Yamato Holdings Co., Ltd. (TSE:9064)</t>
  </si>
  <si>
    <t>TSE:9064</t>
  </si>
  <si>
    <t>Japan</t>
  </si>
  <si>
    <t> $        508.20 </t>
  </si>
  <si>
    <t>             14.4 </t>
  </si>
  <si>
    <t>           381.5 </t>
  </si>
  <si>
    <t> $       171.80 </t>
  </si>
  <si>
    <t> $       14.00 </t>
  </si>
  <si>
    <t> $       29.60 </t>
  </si>
  <si>
    <t> $       1,074.10 </t>
  </si>
  <si>
    <t> $       3,843.60 </t>
  </si>
  <si>
    <t> $       4,314.90 </t>
  </si>
  <si>
    <t> $       4,236.10 </t>
  </si>
  <si>
    <t> $       5,062.70 </t>
  </si>
  <si>
    <t> $  12,359.40 </t>
  </si>
  <si>
    <t>Shenzhen Yan Tian Port Holdings Co.,Ltd. (SZSE:000088)</t>
  </si>
  <si>
    <t>SZSE:000088</t>
  </si>
  <si>
    <t>China</t>
  </si>
  <si>
    <t>           280.6 </t>
  </si>
  <si>
    <t>             52.1 </t>
  </si>
  <si>
    <t> $     558.00 </t>
  </si>
  <si>
    <t> $         10.20 </t>
  </si>
  <si>
    <t> $       12.30 </t>
  </si>
  <si>
    <t> $     184.30 </t>
  </si>
  <si>
    <t> $            88.20 </t>
  </si>
  <si>
    <t> $       3,469.10 </t>
  </si>
  <si>
    <t> $       3,403.50 </t>
  </si>
  <si>
    <t> $       3,287.90 </t>
  </si>
  <si>
    <t> $       3,235.40 </t>
  </si>
  <si>
    <t>STO Express Co.,Ltd (SZSE:002468)</t>
  </si>
  <si>
    <t>SZSE:002468</t>
  </si>
  <si>
    <t> $        234.00 </t>
  </si>
  <si>
    <t>           716.8 </t>
  </si>
  <si>
    <t>           808.4 </t>
  </si>
  <si>
    <t> $       239.30 </t>
  </si>
  <si>
    <t> $       38.40 </t>
  </si>
  <si>
    <t> $       10.40 </t>
  </si>
  <si>
    <t> $          561.70 </t>
  </si>
  <si>
    <t> $       2,097.40 </t>
  </si>
  <si>
    <t> $       2,459.50 </t>
  </si>
  <si>
    <t> $       2,255.10 </t>
  </si>
  <si>
    <t> $       3,799.80 </t>
  </si>
  <si>
    <t> $    7,339.20 </t>
  </si>
  <si>
    <t>Yunda Holding Group Co., Ltd. (SZSE:002120)</t>
  </si>
  <si>
    <t>SZSE:002120</t>
  </si>
  <si>
    <t>        1,017.8 </t>
  </si>
  <si>
    <t>           617.4 </t>
  </si>
  <si>
    <t> $       269.50 </t>
  </si>
  <si>
    <t> $       47.20 </t>
  </si>
  <si>
    <t> $       24.10 </t>
  </si>
  <si>
    <t> $          392.10 </t>
  </si>
  <si>
    <t> $       2,981.20 </t>
  </si>
  <si>
    <t> $       2,745.70 </t>
  </si>
  <si>
    <t> $       2,704.60 </t>
  </si>
  <si>
    <t> $       3,014.00 </t>
  </si>
  <si>
    <t> $    7,097.30 </t>
  </si>
  <si>
    <t>Deewin Tianxia Co., Ltd (SEHK:2418)</t>
  </si>
  <si>
    <t>SEHK:2418</t>
  </si>
  <si>
    <t>           235.8 </t>
  </si>
  <si>
    <t>           166.9 </t>
  </si>
  <si>
    <t> $         1.12 </t>
  </si>
  <si>
    <t> $         25.30 </t>
  </si>
  <si>
    <t> $         4.23 </t>
  </si>
  <si>
    <t> $         1.75 </t>
  </si>
  <si>
    <t> $            96.70 </t>
  </si>
  <si>
    <t> $          353.90 </t>
  </si>
  <si>
    <t> $          518.70 </t>
  </si>
  <si>
    <t> $          530.80 </t>
  </si>
  <si>
    <t> $          709.30 </t>
  </si>
  <si>
    <t> $       344.70 </t>
  </si>
  <si>
    <t> $       2,648.50 </t>
  </si>
  <si>
    <t>NIKKON Holdings Co.,Ltd. (TSE:9072)</t>
  </si>
  <si>
    <t>TSE:9072</t>
  </si>
  <si>
    <t> $        155.60 </t>
  </si>
  <si>
    <t>           341.6 </t>
  </si>
  <si>
    <t>           567.0 </t>
  </si>
  <si>
    <t> $       152.30 </t>
  </si>
  <si>
    <t> $         3.99 </t>
  </si>
  <si>
    <t> $         9.74 </t>
  </si>
  <si>
    <t> $          111.00 </t>
  </si>
  <si>
    <t> $       1,567.90 </t>
  </si>
  <si>
    <t> $       2,173.20 </t>
  </si>
  <si>
    <t> $       2,688.70 </t>
  </si>
  <si>
    <t> $       2,787.00 </t>
  </si>
  <si>
    <t> $    1,753.10 </t>
  </si>
  <si>
    <t>Österreichische Post AG (WBAG:POST)</t>
  </si>
  <si>
    <t>WBAG:POST</t>
  </si>
  <si>
    <t>Austria</t>
  </si>
  <si>
    <t>           143.3 </t>
  </si>
  <si>
    <t>             31.8 </t>
  </si>
  <si>
    <t> $       194.80 </t>
  </si>
  <si>
    <t> $       33.60 </t>
  </si>
  <si>
    <t> $       19.40 </t>
  </si>
  <si>
    <t> $          609.10 </t>
  </si>
  <si>
    <t> $       2,014.20 </t>
  </si>
  <si>
    <t> $       2,281.70 </t>
  </si>
  <si>
    <t> $       2,399.80 </t>
  </si>
  <si>
    <t> $       2,346.10 </t>
  </si>
  <si>
    <t> $    3,645.30 </t>
  </si>
  <si>
    <t> $       2,466.70 </t>
  </si>
  <si>
    <t>Seino Holdings Co., Ltd. (TSE:9076)</t>
  </si>
  <si>
    <t>TSE:9076</t>
  </si>
  <si>
    <t> $        178.70 </t>
  </si>
  <si>
    <t>             23.7 </t>
  </si>
  <si>
    <t>           221.5 </t>
  </si>
  <si>
    <t> $         4.37 </t>
  </si>
  <si>
    <t> $       235.90 </t>
  </si>
  <si>
    <t> $         7.10 </t>
  </si>
  <si>
    <t> $         8.72 </t>
  </si>
  <si>
    <t> $          359.40 </t>
  </si>
  <si>
    <t> $       2,541.30 </t>
  </si>
  <si>
    <t> $       2,294.20 </t>
  </si>
  <si>
    <t> $       2,288.50 </t>
  </si>
  <si>
    <t> $       2,196.80 </t>
  </si>
  <si>
    <t> $    5,435.10 </t>
  </si>
  <si>
    <t>Kodiak AI, Inc. (NasdaqGM:KDK)</t>
  </si>
  <si>
    <t>NasdaqGM:KDK</t>
  </si>
  <si>
    <t>Auto Parts</t>
  </si>
  <si>
    <t>Consumer Discretionary</t>
  </si>
  <si>
    <t> $          39.60 </t>
  </si>
  <si>
    <t>             12.3 </t>
  </si>
  <si>
    <t>             43.9 </t>
  </si>
  <si>
    <t> $       26.10 </t>
  </si>
  <si>
    <t> $         7.11 </t>
  </si>
  <si>
    <t> $         0.30 </t>
  </si>
  <si>
    <t> $              3.28 </t>
  </si>
  <si>
    <t> $          39.69 </t>
  </si>
  <si>
    <t> $          686.30 </t>
  </si>
  <si>
    <t> $          696.90 </t>
  </si>
  <si>
    <t> $          700.90 </t>
  </si>
  <si>
    <t> $       1,196.70 </t>
  </si>
  <si>
    <t> $         16.50 </t>
  </si>
  <si>
    <t>ANE (Cayman) Inc. (SEHK:9956)</t>
  </si>
  <si>
    <t>SEHK:9956</t>
  </si>
  <si>
    <t>Hong Kong</t>
  </si>
  <si>
    <t>             94.5 </t>
  </si>
  <si>
    <t>               0.1 </t>
  </si>
  <si>
    <t> $         0.90 </t>
  </si>
  <si>
    <t> $       146.50 </t>
  </si>
  <si>
    <t> $         6.90 </t>
  </si>
  <si>
    <t> $         1.42 </t>
  </si>
  <si>
    <t> $            43.60 </t>
  </si>
  <si>
    <t> $       1,051.90 </t>
  </si>
  <si>
    <t> $       1,119.20 </t>
  </si>
  <si>
    <t> $       1,614.10 </t>
  </si>
  <si>
    <t> $       1,543.40 </t>
  </si>
  <si>
    <t> $    1,662.80 </t>
  </si>
  <si>
    <t> $       1,683.00 </t>
  </si>
  <si>
    <t>Blue Dart Express Limited (BSE:526612)</t>
  </si>
  <si>
    <t>BSE:526612</t>
  </si>
  <si>
    <t>India</t>
  </si>
  <si>
    <t>             33.5 </t>
  </si>
  <si>
    <t>                  0 </t>
  </si>
  <si>
    <t> $         46.80 </t>
  </si>
  <si>
    <t> $         9.11 </t>
  </si>
  <si>
    <t> $         0.85 </t>
  </si>
  <si>
    <t> $            79.10 </t>
  </si>
  <si>
    <t> $       1,933.10 </t>
  </si>
  <si>
    <t> $       1,706.00 </t>
  </si>
  <si>
    <t> $       1,768.80 </t>
  </si>
  <si>
    <t> $       1,521.40 </t>
  </si>
  <si>
    <t> $       666.90 </t>
  </si>
  <si>
    <t>Hangzhou SF Intra-city Industrial Co., Ltd. (SEHK:9699)</t>
  </si>
  <si>
    <t>SEHK:9699</t>
  </si>
  <si>
    <t>               2.1 </t>
  </si>
  <si>
    <t> $         22.90 </t>
  </si>
  <si>
    <t> $         0.10 </t>
  </si>
  <si>
    <t> $         2.68 </t>
  </si>
  <si>
    <t> $          176.00 </t>
  </si>
  <si>
    <t> $       1,093.50 </t>
  </si>
  <si>
    <t> $       1,056.40 </t>
  </si>
  <si>
    <t> $       2,205.90 </t>
  </si>
  <si>
    <t> $       1,573.40 </t>
  </si>
  <si>
    <t> $    2,666.70 </t>
  </si>
  <si>
    <t> $       1,292.10 </t>
  </si>
  <si>
    <t>CTT - Correios De Portugal, S.A. (ENXTLS:CTT)</t>
  </si>
  <si>
    <t>ENXTLS:CTT</t>
  </si>
  <si>
    <t>Portugal</t>
  </si>
  <si>
    <t> $          72.30 </t>
  </si>
  <si>
    <t>           409.1 </t>
  </si>
  <si>
    <t>           387.8 </t>
  </si>
  <si>
    <t> $       29.30 </t>
  </si>
  <si>
    <t> $       169.90 </t>
  </si>
  <si>
    <t> $       95.30 </t>
  </si>
  <si>
    <t> $         1.07 </t>
  </si>
  <si>
    <t> $          338.60 </t>
  </si>
  <si>
    <t> $          761.20 </t>
  </si>
  <si>
    <t> $       1,088.60 </t>
  </si>
  <si>
    <t> $       1,138.50 </t>
  </si>
  <si>
    <t> $       1,128.20 </t>
  </si>
  <si>
    <t> $    1,505.50 </t>
  </si>
  <si>
    <t> $       1,157.00 </t>
  </si>
  <si>
    <t>Mullen Group Ltd. (TSX:MTL)</t>
  </si>
  <si>
    <t>TSX:MTL</t>
  </si>
  <si>
    <t>           361.2 </t>
  </si>
  <si>
    <t>           280.7 </t>
  </si>
  <si>
    <t> $         0.71 </t>
  </si>
  <si>
    <t> $       136.60 </t>
  </si>
  <si>
    <t> $       40.80 </t>
  </si>
  <si>
    <t> $         4.40 </t>
  </si>
  <si>
    <t> $          173.00 </t>
  </si>
  <si>
    <t> $          888.20 </t>
  </si>
  <si>
    <t> $          762.40 </t>
  </si>
  <si>
    <t> $          908.10 </t>
  </si>
  <si>
    <t> $          870.70 </t>
  </si>
  <si>
    <t> $    1,506.80 </t>
  </si>
  <si>
    <t>Fukuyama Transporting Co., Ltd. (TSE:9075)</t>
  </si>
  <si>
    <t>TSE:9075</t>
  </si>
  <si>
    <t> $        103.70 </t>
  </si>
  <si>
    <t>           453.2 </t>
  </si>
  <si>
    <t>           582.1 </t>
  </si>
  <si>
    <t> $         43.90 </t>
  </si>
  <si>
    <t> $         5.07 </t>
  </si>
  <si>
    <t> $       11.50 </t>
  </si>
  <si>
    <t> $          102.30 </t>
  </si>
  <si>
    <t> $          939.60 </t>
  </si>
  <si>
    <t> $          957.70 </t>
  </si>
  <si>
    <t> $          859.40 </t>
  </si>
  <si>
    <t> $          914.90 </t>
  </si>
  <si>
    <t> $    2,089.80 </t>
  </si>
  <si>
    <t> $       1,037.30 </t>
  </si>
  <si>
    <t>Maruzen Showa Unyu Co., Ltd. (TSE:9068)</t>
  </si>
  <si>
    <t>TSE:9068</t>
  </si>
  <si>
    <t> $            8.80 </t>
  </si>
  <si>
    <t>             13.8 </t>
  </si>
  <si>
    <t>             11.3 </t>
  </si>
  <si>
    <t> $       103.30 </t>
  </si>
  <si>
    <t> $         2.01 </t>
  </si>
  <si>
    <t> $         7.53 </t>
  </si>
  <si>
    <t> $            83.40 </t>
  </si>
  <si>
    <t> $          779.10 </t>
  </si>
  <si>
    <t> $          796.60 </t>
  </si>
  <si>
    <t> $          949.90 </t>
  </si>
  <si>
    <t> $          916.80 </t>
  </si>
  <si>
    <t> $       983.70 </t>
  </si>
  <si>
    <t>Evergreen International Storage &amp; Transport Corporation (TWSE:2607)</t>
  </si>
  <si>
    <t>TWSE:2607</t>
  </si>
  <si>
    <t>Shipbuilding &amp; Marine</t>
  </si>
  <si>
    <t>Taiwan</t>
  </si>
  <si>
    <t>             20.8 </t>
  </si>
  <si>
    <t>               3.5 </t>
  </si>
  <si>
    <t> $         78.50 </t>
  </si>
  <si>
    <t> $         3.72 </t>
  </si>
  <si>
    <t> $       25.30 </t>
  </si>
  <si>
    <t> $            38.80 </t>
  </si>
  <si>
    <t> $       1,017.30 </t>
  </si>
  <si>
    <t> $       1,013.40 </t>
  </si>
  <si>
    <t> $       1,235.20 </t>
  </si>
  <si>
    <t>Transport Corporation of India Limited (NSEI:TCI)</t>
  </si>
  <si>
    <t>NSEI:TCI</t>
  </si>
  <si>
    <t> $            2.00 </t>
  </si>
  <si>
    <t>               7.2 </t>
  </si>
  <si>
    <t>               5.5 </t>
  </si>
  <si>
    <t> $         0.54 </t>
  </si>
  <si>
    <t> $         43.30 </t>
  </si>
  <si>
    <t> $         2.55 </t>
  </si>
  <si>
    <t> $         2.64 </t>
  </si>
  <si>
    <t> $            12.40 </t>
  </si>
  <si>
    <t> $       1,029.70 </t>
  </si>
  <si>
    <t> $          988.40 </t>
  </si>
  <si>
    <t> $       1,010.70 </t>
  </si>
  <si>
    <t> $       1,019.90 </t>
  </si>
  <si>
    <t> $       527.00 </t>
  </si>
  <si>
    <t>SIMPAR S.A. (BOVESPA:SIMH3)</t>
  </si>
  <si>
    <t>BOVESPA:SIMH3</t>
  </si>
  <si>
    <t>Brazil</t>
  </si>
  <si>
    <t>Latin America &amp; Caribbean</t>
  </si>
  <si>
    <t> $        645.20 </t>
  </si>
  <si>
    <t>        2,091.7 </t>
  </si>
  <si>
    <t>        2,225.4 </t>
  </si>
  <si>
    <t> $         2.38 </t>
  </si>
  <si>
    <t> $    1,324.40 </t>
  </si>
  <si>
    <t> $  1,389.50 </t>
  </si>
  <si>
    <t> $     281.20 </t>
  </si>
  <si>
    <t> $       1,127.00 </t>
  </si>
  <si>
    <t> $          489.20 </t>
  </si>
  <si>
    <t> $          609.00 </t>
  </si>
  <si>
    <t> $          795.70 </t>
  </si>
  <si>
    <t> $          799.20 </t>
  </si>
  <si>
    <t> $    8,120.20 </t>
  </si>
  <si>
    <t> $          804.30 </t>
  </si>
  <si>
    <t>Forward Air Corporation (NasdaqGS:FWRD)</t>
  </si>
  <si>
    <t>NasdaqGS:FWRD</t>
  </si>
  <si>
    <t> $          68.10 </t>
  </si>
  <si>
    <t>           176.1 </t>
  </si>
  <si>
    <t>           160.0 </t>
  </si>
  <si>
    <t> $         0.83 </t>
  </si>
  <si>
    <t> $         71.90 </t>
  </si>
  <si>
    <t> $     184.10 </t>
  </si>
  <si>
    <t> $          124.80 </t>
  </si>
  <si>
    <t> $          933.80 </t>
  </si>
  <si>
    <t> $          610.80 </t>
  </si>
  <si>
    <t> $          746.60 </t>
  </si>
  <si>
    <t> $          789.50 </t>
  </si>
  <si>
    <t>Serve Robotics Inc. (NasdaqCM:SERV)</t>
  </si>
  <si>
    <t>NasdaqCM:SERV</t>
  </si>
  <si>
    <t>Restaurant/Dining</t>
  </si>
  <si>
    <t> $            2.54 </t>
  </si>
  <si>
    <t>               0.6 </t>
  </si>
  <si>
    <t> $     254.60 </t>
  </si>
  <si>
    <t> $         5.75 </t>
  </si>
  <si>
    <t> $              7.75 </t>
  </si>
  <si>
    <t> $          593.70 </t>
  </si>
  <si>
    <t> $          326.70 </t>
  </si>
  <si>
    <t> $          652.00 </t>
  </si>
  <si>
    <t> $          714.90 </t>
  </si>
  <si>
    <t> $           1.94 </t>
  </si>
  <si>
    <t>Singapore Post Limited (SGX:S08)</t>
  </si>
  <si>
    <t>SGX:S08</t>
  </si>
  <si>
    <t>           257.9 </t>
  </si>
  <si>
    <t>            (1.5)  </t>
  </si>
  <si>
    <t> $         27.90 </t>
  </si>
  <si>
    <t> $       13.90 </t>
  </si>
  <si>
    <t> $         5.21 </t>
  </si>
  <si>
    <t> $          181.80 </t>
  </si>
  <si>
    <t> $          873.80 </t>
  </si>
  <si>
    <t> $       1,029.90 </t>
  </si>
  <si>
    <t> $       1,078.50 </t>
  </si>
  <si>
    <t> $          732.50 </t>
  </si>
  <si>
    <t> $       575.20 </t>
  </si>
  <si>
    <t>Longzhou Group Co., Ltd. (SZSE:002682)</t>
  </si>
  <si>
    <t>SZSE:002682</t>
  </si>
  <si>
    <t>           331.0 </t>
  </si>
  <si>
    <t>           303.4 </t>
  </si>
  <si>
    <t> $       20.70 </t>
  </si>
  <si>
    <t> $         0.19 </t>
  </si>
  <si>
    <t> $            63.80 </t>
  </si>
  <si>
    <t> $          325.90 </t>
  </si>
  <si>
    <t> $          361.90 </t>
  </si>
  <si>
    <t> $          376.00 </t>
  </si>
  <si>
    <t> $          349.90 </t>
  </si>
  <si>
    <t>PostNL N.V. (ENXTAM:PNL)</t>
  </si>
  <si>
    <t>ENXTAM:PNL</t>
  </si>
  <si>
    <t>Netherlands</t>
  </si>
  <si>
    <t>           525.0 </t>
  </si>
  <si>
    <t>           116.9 </t>
  </si>
  <si>
    <t> $         29.20 </t>
  </si>
  <si>
    <t> $       38.60 </t>
  </si>
  <si>
    <t> $       19.90 </t>
  </si>
  <si>
    <t> $          189.40 </t>
  </si>
  <si>
    <t> $          541.70 </t>
  </si>
  <si>
    <t> $          538.40 </t>
  </si>
  <si>
    <t> $          551.40 </t>
  </si>
  <si>
    <t> $          623.70 </t>
  </si>
  <si>
    <t>Guangdong Prolto Supply Chain Management Co., Ltd. (SZSE:002769)</t>
  </si>
  <si>
    <t>SZSE:002769</t>
  </si>
  <si>
    <t>             17.5 </t>
  </si>
  <si>
    <t>             10.2 </t>
  </si>
  <si>
    <t> $         41.80 </t>
  </si>
  <si>
    <t> $         1.29 </t>
  </si>
  <si>
    <t> $         1.97 </t>
  </si>
  <si>
    <t> $            16.80 </t>
  </si>
  <si>
    <t> $          350.00 </t>
  </si>
  <si>
    <t> $          354.00 </t>
  </si>
  <si>
    <t> $          495.20 </t>
  </si>
  <si>
    <t> $          455.10 </t>
  </si>
  <si>
    <t>GuangDong GenSho Logistics Co.,LTD (SHSE:603813)</t>
  </si>
  <si>
    <t>SHSE:603813</t>
  </si>
  <si>
    <t> $            6.50 </t>
  </si>
  <si>
    <t>               8.1 </t>
  </si>
  <si>
    <t>             13.3 </t>
  </si>
  <si>
    <t> $         0.26 </t>
  </si>
  <si>
    <t> $            12.50 </t>
  </si>
  <si>
    <t> $          165.50 </t>
  </si>
  <si>
    <t> $          208.30 </t>
  </si>
  <si>
    <t> $          198.60 </t>
  </si>
  <si>
    <t> $          319.50 </t>
  </si>
  <si>
    <t>Shanghai Shine-Link International Logistics Co., Ltd. (SHSE:603648)</t>
  </si>
  <si>
    <t>SHSE:603648</t>
  </si>
  <si>
    <t>             35.4 </t>
  </si>
  <si>
    <t>             15.0 </t>
  </si>
  <si>
    <t> $         19.60 </t>
  </si>
  <si>
    <t> $         1.46 </t>
  </si>
  <si>
    <t> $         3.05 </t>
  </si>
  <si>
    <t> $            12.80 </t>
  </si>
  <si>
    <t> $          509.40 </t>
  </si>
  <si>
    <t> $          466.50 </t>
  </si>
  <si>
    <t> $          543.30 </t>
  </si>
  <si>
    <t> $          554.90 </t>
  </si>
  <si>
    <t>VRL Logistics Limited (NSEI:VRLLOG)</t>
  </si>
  <si>
    <t>NSEI:VRLLOG</t>
  </si>
  <si>
    <t> $            2.10 </t>
  </si>
  <si>
    <t>             27.1 </t>
  </si>
  <si>
    <t>             22.2 </t>
  </si>
  <si>
    <t> $         47.10 </t>
  </si>
  <si>
    <t> $       11.30 </t>
  </si>
  <si>
    <t> $         0.37 </t>
  </si>
  <si>
    <t> $              2.30 </t>
  </si>
  <si>
    <t> $          516.30 </t>
  </si>
  <si>
    <t> $          484.40 </t>
  </si>
  <si>
    <t> $          588.60 </t>
  </si>
  <si>
    <t> $       359.40 </t>
  </si>
  <si>
    <t>Kerry TJ Logistics Company Limited (TWSE:2608)</t>
  </si>
  <si>
    <t>TWSE:2608</t>
  </si>
  <si>
    <t> $          17.10 </t>
  </si>
  <si>
    <t>           111.6 </t>
  </si>
  <si>
    <t>             98.9 </t>
  </si>
  <si>
    <t> $         51.70 </t>
  </si>
  <si>
    <t> $         5.43 </t>
  </si>
  <si>
    <t> $            20.90 </t>
  </si>
  <si>
    <t> $          551.30 </t>
  </si>
  <si>
    <t> $          528.40 </t>
  </si>
  <si>
    <t> $          540.60 </t>
  </si>
  <si>
    <t> $          526.20 </t>
  </si>
  <si>
    <t>K.R.S. Corporation (TSE:9369)</t>
  </si>
  <si>
    <t>TSE:9369</t>
  </si>
  <si>
    <t> $          33.10 </t>
  </si>
  <si>
    <t> $         34.60 </t>
  </si>
  <si>
    <t> $         8.24 </t>
  </si>
  <si>
    <t> $         0.53 </t>
  </si>
  <si>
    <t> $          107.40 </t>
  </si>
  <si>
    <t> $          409.00 </t>
  </si>
  <si>
    <t> $          370.70 </t>
  </si>
  <si>
    <t> $          473.50 </t>
  </si>
  <si>
    <t> $          486.60 </t>
  </si>
  <si>
    <t>Posti Group Oyj (HLSE:POSTI)</t>
  </si>
  <si>
    <t>HLSE:POSTI</t>
  </si>
  <si>
    <t>Finland</t>
  </si>
  <si>
    <t> $        244.00 </t>
  </si>
  <si>
    <t>             87.6 </t>
  </si>
  <si>
    <t>           257.4 </t>
  </si>
  <si>
    <t> $         63.40 </t>
  </si>
  <si>
    <t> $          266.80 </t>
  </si>
  <si>
    <t> $    1,714.30 </t>
  </si>
  <si>
    <t> $          406.80 </t>
  </si>
  <si>
    <t>Universal Logistics Holdings, Inc. (NasdaqGS:ULH)</t>
  </si>
  <si>
    <t>NasdaqGS:ULH</t>
  </si>
  <si>
    <t> $        302.20 </t>
  </si>
  <si>
    <t>           589.3 </t>
  </si>
  <si>
    <t>           855.0 </t>
  </si>
  <si>
    <t> $         82.30 </t>
  </si>
  <si>
    <t> $       47.40 </t>
  </si>
  <si>
    <t> $       10.50 </t>
  </si>
  <si>
    <t> $            67.60 </t>
  </si>
  <si>
    <t> $          383.30 </t>
  </si>
  <si>
    <t> $          403.60 </t>
  </si>
  <si>
    <t> $          391.60 </t>
  </si>
  <si>
    <t> $          382.90 </t>
  </si>
  <si>
    <t>Hargreaves Services Plc (AIM:HSP)</t>
  </si>
  <si>
    <t>AIM:HSP</t>
  </si>
  <si>
    <t>Business &amp; Consumer Services</t>
  </si>
  <si>
    <t>United Kingdom</t>
  </si>
  <si>
    <t>UK</t>
  </si>
  <si>
    <t> $            0.70 </t>
  </si>
  <si>
    <t>             29.2 </t>
  </si>
  <si>
    <t> $         19.70 </t>
  </si>
  <si>
    <t> $         4.90 </t>
  </si>
  <si>
    <t> $         2.62 </t>
  </si>
  <si>
    <t> $            13.80 </t>
  </si>
  <si>
    <t> $          236.90 </t>
  </si>
  <si>
    <t> $          259.90 </t>
  </si>
  <si>
    <t> $          338.20 </t>
  </si>
  <si>
    <t> $          315.50 </t>
  </si>
  <si>
    <t> $       356.30 </t>
  </si>
  <si>
    <t> $          291.00 </t>
  </si>
  <si>
    <t>Proficient Auto Logistics, Inc. (NasdaqGS:PAL)</t>
  </si>
  <si>
    <t>NasdaqGS:PAL</t>
  </si>
  <si>
    <t> $            4.10 </t>
  </si>
  <si>
    <t>             55.1 </t>
  </si>
  <si>
    <t>             38.9 </t>
  </si>
  <si>
    <t> $         7.05 </t>
  </si>
  <si>
    <t> $            11.10 </t>
  </si>
  <si>
    <t> $            4.15 </t>
  </si>
  <si>
    <t> $          218.10 </t>
  </si>
  <si>
    <t> $          226.60 </t>
  </si>
  <si>
    <t> $          196.50 </t>
  </si>
  <si>
    <t> $          191.50 </t>
  </si>
  <si>
    <t> $       418.50 </t>
  </si>
  <si>
    <t> $          268.30 </t>
  </si>
  <si>
    <t>Sebang Co., Ltd (KOSE:A004360)</t>
  </si>
  <si>
    <t>KOSE:A004360</t>
  </si>
  <si>
    <t>South Korea</t>
  </si>
  <si>
    <t>             20.1 </t>
  </si>
  <si>
    <t>               7.0 </t>
  </si>
  <si>
    <t> $         19.80 </t>
  </si>
  <si>
    <t> $         3.64 </t>
  </si>
  <si>
    <t> $         2.95 </t>
  </si>
  <si>
    <t> $            57.70 </t>
  </si>
  <si>
    <t> $          154.60 </t>
  </si>
  <si>
    <t> $          155.10 </t>
  </si>
  <si>
    <t> $          223.80 </t>
  </si>
  <si>
    <t> $          197.30 </t>
  </si>
  <si>
    <t>Maruwn Corporation (TSE:9067)</t>
  </si>
  <si>
    <t>TSE:9067</t>
  </si>
  <si>
    <t>               4.3 </t>
  </si>
  <si>
    <t>               1.4 </t>
  </si>
  <si>
    <t> $           9.81 </t>
  </si>
  <si>
    <t> $         0.05 </t>
  </si>
  <si>
    <t> $         0.60 </t>
  </si>
  <si>
    <t> $            16.60 </t>
  </si>
  <si>
    <t> $          146.40 </t>
  </si>
  <si>
    <t> $          145.00 </t>
  </si>
  <si>
    <t> $          148.00 </t>
  </si>
  <si>
    <t> $          158.20 </t>
  </si>
  <si>
    <t>Lindsay Australia Limited (ASX:LAU)</t>
  </si>
  <si>
    <t>ASX:LAU</t>
  </si>
  <si>
    <t>Australia</t>
  </si>
  <si>
    <t>Australia &amp; NZ</t>
  </si>
  <si>
    <t> $          45.20 </t>
  </si>
  <si>
    <t>             49.1 </t>
  </si>
  <si>
    <t>             72.4 </t>
  </si>
  <si>
    <t> $         9.58 </t>
  </si>
  <si>
    <t> $         1.35 </t>
  </si>
  <si>
    <t> $            51.50 </t>
  </si>
  <si>
    <t> $          170.50 </t>
  </si>
  <si>
    <t> $          140.40 </t>
  </si>
  <si>
    <t> $          149.70 </t>
  </si>
  <si>
    <t> $          157.60 </t>
  </si>
  <si>
    <t> $       559.70 </t>
  </si>
  <si>
    <t> $          171.40 </t>
  </si>
  <si>
    <t>Enshu Truck Co.,Ltd. (TSE:9057)</t>
  </si>
  <si>
    <t>TSE:9057</t>
  </si>
  <si>
    <t>             15.1 </t>
  </si>
  <si>
    <t>               6.6 </t>
  </si>
  <si>
    <t> $         21.50 </t>
  </si>
  <si>
    <t> $         0.47 </t>
  </si>
  <si>
    <t> $         0.08 </t>
  </si>
  <si>
    <t> $            24.20 </t>
  </si>
  <si>
    <t> $          63.70 </t>
  </si>
  <si>
    <t> $          207.10 </t>
  </si>
  <si>
    <t> $          168.20 </t>
  </si>
  <si>
    <t> $          180.10 </t>
  </si>
  <si>
    <t> $          152.40 </t>
  </si>
  <si>
    <t>PT Mandiri Herindo Adiperkasa Tbk (IDX:MAHA)</t>
  </si>
  <si>
    <t>IDX:MAHA</t>
  </si>
  <si>
    <t>Coal &amp; Related Energy</t>
  </si>
  <si>
    <t>Energy</t>
  </si>
  <si>
    <t>Indonesia</t>
  </si>
  <si>
    <t> $            5.80 </t>
  </si>
  <si>
    <t>             16.4 </t>
  </si>
  <si>
    <t>               0.9 </t>
  </si>
  <si>
    <t> $         21.70 </t>
  </si>
  <si>
    <t> $         2.45 </t>
  </si>
  <si>
    <t> $         2.25 </t>
  </si>
  <si>
    <t> $            22.70 </t>
  </si>
  <si>
    <t> $          176.70 </t>
  </si>
  <si>
    <t> $          149.00 </t>
  </si>
  <si>
    <t> $          148.50 </t>
  </si>
  <si>
    <t> $       161.60 </t>
  </si>
  <si>
    <t> $          169.20 </t>
  </si>
  <si>
    <t>GDEX Berhad (KLSE:GDEX)</t>
  </si>
  <si>
    <t>KLSE:GDEX</t>
  </si>
  <si>
    <t>Malaysia</t>
  </si>
  <si>
    <t>               5.3 </t>
  </si>
  <si>
    <t> $           2.30 </t>
  </si>
  <si>
    <t> $         1.19 </t>
  </si>
  <si>
    <t> $              2.17 </t>
  </si>
  <si>
    <t> $          216.80 </t>
  </si>
  <si>
    <t> $          231.10 </t>
  </si>
  <si>
    <t> $          210.40 </t>
  </si>
  <si>
    <t> $          131.60 </t>
  </si>
  <si>
    <t>PT Indomobil Multi Jasa Tbk (IDX:IMJS)</t>
  </si>
  <si>
    <t>IDX:IMJS</t>
  </si>
  <si>
    <t>Financial Svcs. (Non-bank &amp; Insurance)</t>
  </si>
  <si>
    <t>Financials</t>
  </si>
  <si>
    <t>        2,256.2 </t>
  </si>
  <si>
    <t>        2,250.6 </t>
  </si>
  <si>
    <t> $            34.70 </t>
  </si>
  <si>
    <t> $            79.90 </t>
  </si>
  <si>
    <t> $            88.30 </t>
  </si>
  <si>
    <t> $          100.90 </t>
  </si>
  <si>
    <t> $          126.70 </t>
  </si>
  <si>
    <t> $       287.90 </t>
  </si>
  <si>
    <t>Logory Logistics Technology Co., Ltd. (SEHK:2482)</t>
  </si>
  <si>
    <t>SEHK:2482</t>
  </si>
  <si>
    <t>             63.7 </t>
  </si>
  <si>
    <t>             52.5 </t>
  </si>
  <si>
    <t> $         12.20 </t>
  </si>
  <si>
    <t> $         1.87 </t>
  </si>
  <si>
    <t> $         0.80 </t>
  </si>
  <si>
    <t> $            14.40 </t>
  </si>
  <si>
    <t> $          140.00 </t>
  </si>
  <si>
    <t> $          277.70 </t>
  </si>
  <si>
    <t> $          164.80 </t>
  </si>
  <si>
    <t> $    1,021.10 </t>
  </si>
  <si>
    <t> $          132.50 </t>
  </si>
  <si>
    <t>Chung Lien Co., Ltd (TPEX:5604)</t>
  </si>
  <si>
    <t>TPEX:5604</t>
  </si>
  <si>
    <t>Real Estate (Operations &amp; Services)</t>
  </si>
  <si>
    <t>Real Estate</t>
  </si>
  <si>
    <t> $           3.50 </t>
  </si>
  <si>
    <t> $         0.02 </t>
  </si>
  <si>
    <t> $         0.00 </t>
  </si>
  <si>
    <t> $              0.00 </t>
  </si>
  <si>
    <t> $          138.90 </t>
  </si>
  <si>
    <t> $          129.50 </t>
  </si>
  <si>
    <t> $          140.60 </t>
  </si>
  <si>
    <t> $          133.60 </t>
  </si>
  <si>
    <t>Japan Oil Transportation Co., Ltd. (TSE:9074)</t>
  </si>
  <si>
    <t>TSE:9074</t>
  </si>
  <si>
    <t>Oil/Gas Distribution</t>
  </si>
  <si>
    <t> $          18.20 </t>
  </si>
  <si>
    <t> $         13.00 </t>
  </si>
  <si>
    <t> $         0.87 </t>
  </si>
  <si>
    <t> $         1.58 </t>
  </si>
  <si>
    <t> $            10.60 </t>
  </si>
  <si>
    <t> $            59.50 </t>
  </si>
  <si>
    <t> $            66.70 </t>
  </si>
  <si>
    <t> $            69.70 </t>
  </si>
  <si>
    <t> $            87.50 </t>
  </si>
  <si>
    <t>The Keihin Co., Ltd. (TSE:9312)</t>
  </si>
  <si>
    <t>TSE:9312</t>
  </si>
  <si>
    <t>             14.9 </t>
  </si>
  <si>
    <t>               7.4 </t>
  </si>
  <si>
    <t> $         21.90 </t>
  </si>
  <si>
    <t> $         0.51 </t>
  </si>
  <si>
    <t> $         2.09 </t>
  </si>
  <si>
    <t> $            22.40 </t>
  </si>
  <si>
    <t> $            82.70 </t>
  </si>
  <si>
    <t> $          102.60 </t>
  </si>
  <si>
    <t> $          115.40 </t>
  </si>
  <si>
    <t> $          115.00 </t>
  </si>
  <si>
    <t>Changan Minsheng APLL Logistics Co., Ltd. (SEHK:1292)</t>
  </si>
  <si>
    <t>SEHK:1292</t>
  </si>
  <si>
    <t>             24.0 </t>
  </si>
  <si>
    <t>             12.0 </t>
  </si>
  <si>
    <t> $       14.70 </t>
  </si>
  <si>
    <t> $         13.80 </t>
  </si>
  <si>
    <t> $         1.08 </t>
  </si>
  <si>
    <t> $       10.30 </t>
  </si>
  <si>
    <t> $          300.70 </t>
  </si>
  <si>
    <t> $            48.60 </t>
  </si>
  <si>
    <t> $            59.20 </t>
  </si>
  <si>
    <t> $            77.00 </t>
  </si>
  <si>
    <t> $          118.20 </t>
  </si>
  <si>
    <t> $    1,251.00 </t>
  </si>
  <si>
    <t> $            99.90 </t>
  </si>
  <si>
    <t>NANSO Transport Co.,Ltd. (TSE:9034)</t>
  </si>
  <si>
    <t>TSE:9034</t>
  </si>
  <si>
    <t> $         13.50 </t>
  </si>
  <si>
    <t> $         0.41 </t>
  </si>
  <si>
    <t> $         0.12 </t>
  </si>
  <si>
    <t> $              3.99 </t>
  </si>
  <si>
    <t> $            68.60 </t>
  </si>
  <si>
    <t> $            85.50 </t>
  </si>
  <si>
    <t> $            92.40 </t>
  </si>
  <si>
    <t>PT Trimitra Trans Persada Tbk (IDX:BLOG)</t>
  </si>
  <si>
    <t>IDX:BLOG</t>
  </si>
  <si>
    <t> $          20.60 </t>
  </si>
  <si>
    <t>               4.5 </t>
  </si>
  <si>
    <t>             12.5 </t>
  </si>
  <si>
    <t> $         1.25 </t>
  </si>
  <si>
    <t> $              2.05 </t>
  </si>
  <si>
    <t> $          104.40 </t>
  </si>
  <si>
    <t> $         74.80 </t>
  </si>
  <si>
    <t> $            90.40 </t>
  </si>
  <si>
    <t>Lindbergh S.p.A. (BIT:LDB)</t>
  </si>
  <si>
    <t>BIT:LDB</t>
  </si>
  <si>
    <t>Italy</t>
  </si>
  <si>
    <t> $            1.42 </t>
  </si>
  <si>
    <t>               3.3 </t>
  </si>
  <si>
    <t>               4.6 </t>
  </si>
  <si>
    <t> $         3.29 </t>
  </si>
  <si>
    <t> $           3.23 </t>
  </si>
  <si>
    <t> $              5.02 </t>
  </si>
  <si>
    <t> $            32.00 </t>
  </si>
  <si>
    <t> $            38.30 </t>
  </si>
  <si>
    <t> $            49.00 </t>
  </si>
  <si>
    <t> $            67.10 </t>
  </si>
  <si>
    <t> $         34.50 </t>
  </si>
  <si>
    <t> $            87.20 </t>
  </si>
  <si>
    <t>Tejas Cargo India Limited (NSEI:TEJASCARGO)</t>
  </si>
  <si>
    <t>NSEI:TEJASCARGO</t>
  </si>
  <si>
    <t>               1.0 </t>
  </si>
  <si>
    <t>            (1.8)  </t>
  </si>
  <si>
    <t> $           4.58 </t>
  </si>
  <si>
    <t> $         1.79 </t>
  </si>
  <si>
    <t> $         0.43 </t>
  </si>
  <si>
    <t> $              0.90 </t>
  </si>
  <si>
    <t> $          132.40 </t>
  </si>
  <si>
    <t> $          146.90 </t>
  </si>
  <si>
    <t> $          221.80 </t>
  </si>
  <si>
    <t> $          121.80 </t>
  </si>
  <si>
    <t>EDA Group Holdings Limited (SEHK:2505)</t>
  </si>
  <si>
    <t>SEHK:2505</t>
  </si>
  <si>
    <t> $        114.10 </t>
  </si>
  <si>
    <t>             37.2 </t>
  </si>
  <si>
    <t>             32.8 </t>
  </si>
  <si>
    <t> $         0.29 </t>
  </si>
  <si>
    <t> $         11.00 </t>
  </si>
  <si>
    <t> $         6.01 </t>
  </si>
  <si>
    <t> $         0.27 </t>
  </si>
  <si>
    <t> $            16.50 </t>
  </si>
  <si>
    <t> $          135.10 </t>
  </si>
  <si>
    <t> $          166.20 </t>
  </si>
  <si>
    <t> $          146.70 </t>
  </si>
  <si>
    <t> $          140.30 </t>
  </si>
  <si>
    <t> $       260.10 </t>
  </si>
  <si>
    <t> $            80.20 </t>
  </si>
  <si>
    <t>Taiwan Pelican Express Co., Ltd. (TWSE:2642)</t>
  </si>
  <si>
    <t>TWSE:2642</t>
  </si>
  <si>
    <t> $            3.40 </t>
  </si>
  <si>
    <t>               8.8 </t>
  </si>
  <si>
    <t> $         0.69 </t>
  </si>
  <si>
    <t> $         1.13 </t>
  </si>
  <si>
    <t> $            11.00 </t>
  </si>
  <si>
    <t> $          106.00 </t>
  </si>
  <si>
    <t> $            87.40 </t>
  </si>
  <si>
    <t> $            84.10 </t>
  </si>
  <si>
    <t> $            94.60 </t>
  </si>
  <si>
    <t>Sea &amp; Land Integrated Corp. (TPEX:5603)</t>
  </si>
  <si>
    <t>TPEX:5603</t>
  </si>
  <si>
    <t>             28.1 </t>
  </si>
  <si>
    <t>             24.5 </t>
  </si>
  <si>
    <t> $           0.52 </t>
  </si>
  <si>
    <t> $              5.60 </t>
  </si>
  <si>
    <t> $            81.70 </t>
  </si>
  <si>
    <t> $            73.40 </t>
  </si>
  <si>
    <t> $            79.30 </t>
  </si>
  <si>
    <t> $            67.80 </t>
  </si>
  <si>
    <t>Okayamaken Freight Transportation Co., Ltd. (TSE:9063)</t>
  </si>
  <si>
    <t>TSE:9063</t>
  </si>
  <si>
    <t>             35.3 </t>
  </si>
  <si>
    <t>             31.4 </t>
  </si>
  <si>
    <t> $           7.26 </t>
  </si>
  <si>
    <t> $         1.15 </t>
  </si>
  <si>
    <t> $            19.70 </t>
  </si>
  <si>
    <t> $            37.70 </t>
  </si>
  <si>
    <t> $            46.40 </t>
  </si>
  <si>
    <t> $            47.50 </t>
  </si>
  <si>
    <t> $            49.30 </t>
  </si>
  <si>
    <t>Yues International Holdings Group Limited (SEHK:1529)</t>
  </si>
  <si>
    <t>SEHK:1529</t>
  </si>
  <si>
    <t>               2.4 </t>
  </si>
  <si>
    <t> $         8.34 </t>
  </si>
  <si>
    <t> $         1.39 </t>
  </si>
  <si>
    <t> $            10.00 </t>
  </si>
  <si>
    <t> $              4.04 </t>
  </si>
  <si>
    <t> $              3.21 </t>
  </si>
  <si>
    <t> $            24.60 </t>
  </si>
  <si>
    <t> $            42.40 </t>
  </si>
  <si>
    <t> $         48.50 </t>
  </si>
  <si>
    <t> $            53.10 </t>
  </si>
  <si>
    <t>Globe International Carriers Limited (NSEI:GICL)</t>
  </si>
  <si>
    <t>NSEI:GICL</t>
  </si>
  <si>
    <t> $           1.41 </t>
  </si>
  <si>
    <t> $         0.40 </t>
  </si>
  <si>
    <t> $            28.80 </t>
  </si>
  <si>
    <t> $            27.70 </t>
  </si>
  <si>
    <t> $            35.40 </t>
  </si>
  <si>
    <t> $            46.20 </t>
  </si>
  <si>
    <t>Smart Logistics Global Limited (NasdaqCM:SLGB)</t>
  </si>
  <si>
    <t>NasdaqCM:SLGB</t>
  </si>
  <si>
    <t>               6.4 </t>
  </si>
  <si>
    <t>               5.9 </t>
  </si>
  <si>
    <t> $           2.73 </t>
  </si>
  <si>
    <t> $              0.22 </t>
  </si>
  <si>
    <t>MaltaPost p.l.c. (MTSE:MTP)</t>
  </si>
  <si>
    <t>MTSE:MTP</t>
  </si>
  <si>
    <t>Malta</t>
  </si>
  <si>
    <t> $            2.45 </t>
  </si>
  <si>
    <t>               0.5 </t>
  </si>
  <si>
    <t> $           7.29 </t>
  </si>
  <si>
    <t> $         0.13 </t>
  </si>
  <si>
    <t> $         0.15 </t>
  </si>
  <si>
    <t> $              6.08 </t>
  </si>
  <si>
    <t> $            39.10 </t>
  </si>
  <si>
    <t> $            35.60 </t>
  </si>
  <si>
    <t> $            39.60 </t>
  </si>
  <si>
    <t> $         50.10 </t>
  </si>
  <si>
    <t> $            48.10 </t>
  </si>
  <si>
    <t>Tohbu Network Co., Ltd. (TSE:9036)</t>
  </si>
  <si>
    <t>TSE:9036</t>
  </si>
  <si>
    <t>               0.2 </t>
  </si>
  <si>
    <t> $           1.51 </t>
  </si>
  <si>
    <t> $         0.09 </t>
  </si>
  <si>
    <t> $         0.57 </t>
  </si>
  <si>
    <t> $              4.74 </t>
  </si>
  <si>
    <t> $            29.20 </t>
  </si>
  <si>
    <t> $            32.70 </t>
  </si>
  <si>
    <t> $            33.70 </t>
  </si>
  <si>
    <t> $            35.00 </t>
  </si>
  <si>
    <t>Japan Logistic Systems Corp. (TSE:9060)</t>
  </si>
  <si>
    <t>TSE:9060</t>
  </si>
  <si>
    <t>             32.5 </t>
  </si>
  <si>
    <t>             39.7 </t>
  </si>
  <si>
    <t> $         11.80 </t>
  </si>
  <si>
    <t> $         1.54 </t>
  </si>
  <si>
    <t> $         0.39 </t>
  </si>
  <si>
    <t> $            21.50 </t>
  </si>
  <si>
    <t> $            31.10 </t>
  </si>
  <si>
    <t> $            34.40 </t>
  </si>
  <si>
    <t> $            40.40 </t>
  </si>
  <si>
    <t>PT Grahaprima Suksesmandiri Tbk (IDX:GTRA)</t>
  </si>
  <si>
    <t>IDX:GTRA</t>
  </si>
  <si>
    <t>             13.4 </t>
  </si>
  <si>
    <t>               9.3 </t>
  </si>
  <si>
    <t> $           8.30 </t>
  </si>
  <si>
    <t> $         3.78 </t>
  </si>
  <si>
    <t> $              1.24 </t>
  </si>
  <si>
    <t> $            13.60 </t>
  </si>
  <si>
    <t> $            11.30 </t>
  </si>
  <si>
    <t> $            15.30 </t>
  </si>
  <si>
    <t> $            37.30 </t>
  </si>
  <si>
    <t> $         33.80 </t>
  </si>
  <si>
    <t> $            33.40 </t>
  </si>
  <si>
    <t>Thai Parcels Public Company Limited (SET:TPL)</t>
  </si>
  <si>
    <t>SET:TPL</t>
  </si>
  <si>
    <t>Thailand</t>
  </si>
  <si>
    <t> $          21.23 </t>
  </si>
  <si>
    <t>               1.1 </t>
  </si>
  <si>
    <t> $         8.99 </t>
  </si>
  <si>
    <t> $           0.04 </t>
  </si>
  <si>
    <t> $              1.35 </t>
  </si>
  <si>
    <t> $              7.56 </t>
  </si>
  <si>
    <t> $              8.55 </t>
  </si>
  <si>
    <t> $            24.80 </t>
  </si>
  <si>
    <t>Sin-Kung Logistics Berhad (KLSE:SINKUNG)</t>
  </si>
  <si>
    <t>KLSE:SINKUNG</t>
  </si>
  <si>
    <t> $          23.00 </t>
  </si>
  <si>
    <t>               2.7 </t>
  </si>
  <si>
    <t>               2.2 </t>
  </si>
  <si>
    <t> $           1.15 </t>
  </si>
  <si>
    <t> $         0.97 </t>
  </si>
  <si>
    <t> $              0.20 </t>
  </si>
  <si>
    <t> $            0.04 </t>
  </si>
  <si>
    <t> $            39.30 </t>
  </si>
  <si>
    <t> $            27.00 </t>
  </si>
  <si>
    <t>AVG Logistics Limited (NSEI:AVG)</t>
  </si>
  <si>
    <t>NSEI:AVG</t>
  </si>
  <si>
    <t> $            5.90 </t>
  </si>
  <si>
    <t>             11.7 </t>
  </si>
  <si>
    <t> $         2.44 </t>
  </si>
  <si>
    <t> $           5.91 </t>
  </si>
  <si>
    <t> $         0.14 </t>
  </si>
  <si>
    <t> $              1.63 </t>
  </si>
  <si>
    <t> $            64.90 </t>
  </si>
  <si>
    <t> $            44.10 </t>
  </si>
  <si>
    <t> $            53.40 </t>
  </si>
  <si>
    <t> $            37.90 </t>
  </si>
  <si>
    <t>Chasen Holdings Limited (SGX:5NV)</t>
  </si>
  <si>
    <t>SGX:5NV</t>
  </si>
  <si>
    <t> $            5.50 </t>
  </si>
  <si>
    <t>             37.5 </t>
  </si>
  <si>
    <t> $         2.17 </t>
  </si>
  <si>
    <t> $         0.50 </t>
  </si>
  <si>
    <t> $              2.49 </t>
  </si>
  <si>
    <t> $            21.10 </t>
  </si>
  <si>
    <t> $            19.60 </t>
  </si>
  <si>
    <t> $            19.50 </t>
  </si>
  <si>
    <t> $            22.20 </t>
  </si>
  <si>
    <t>Kyogoku unyu shoji Co., Ltd. (TSE:9073)</t>
  </si>
  <si>
    <t>TSE:9073</t>
  </si>
  <si>
    <t> $            1.60 </t>
  </si>
  <si>
    <t>               0.3 </t>
  </si>
  <si>
    <t> $           1.01 </t>
  </si>
  <si>
    <t> $         0.20 </t>
  </si>
  <si>
    <t> $         0.49 </t>
  </si>
  <si>
    <t> $              4.90 </t>
  </si>
  <si>
    <t> $            30.20 </t>
  </si>
  <si>
    <t> $            22.80 </t>
  </si>
  <si>
    <t> $            25.20 </t>
  </si>
  <si>
    <t>Legion Consortium Limited (SEHK:2129)</t>
  </si>
  <si>
    <t>SEHK:2129</t>
  </si>
  <si>
    <t> $            0.71 </t>
  </si>
  <si>
    <t>               9.8 </t>
  </si>
  <si>
    <t>               3.1 </t>
  </si>
  <si>
    <t> $           0.57 </t>
  </si>
  <si>
    <t> $         0.33 </t>
  </si>
  <si>
    <t> $         0.46 </t>
  </si>
  <si>
    <t> $              1.50 </t>
  </si>
  <si>
    <t> $            15.90 </t>
  </si>
  <si>
    <t> $            18.50 </t>
  </si>
  <si>
    <t> $            21.20 </t>
  </si>
  <si>
    <t> $            20.10 </t>
  </si>
  <si>
    <t> $         50.50 </t>
  </si>
  <si>
    <t>Ashwini Container Movers Limited (NSEI:ASHWINI)</t>
  </si>
  <si>
    <t>NSEI:ASHWINI</t>
  </si>
  <si>
    <t> $            1.12 </t>
  </si>
  <si>
    <t>               1.8 </t>
  </si>
  <si>
    <t> $           2.61 </t>
  </si>
  <si>
    <t> $         0.65 </t>
  </si>
  <si>
    <t> $              0.70 </t>
  </si>
  <si>
    <t> $         11.60 </t>
  </si>
  <si>
    <t> $            23.10 </t>
  </si>
  <si>
    <t>M P J Logistics Public Company Limited (SET:MPJ)</t>
  </si>
  <si>
    <t>SET:MPJ</t>
  </si>
  <si>
    <t>               9.2 </t>
  </si>
  <si>
    <t> $         9.47 </t>
  </si>
  <si>
    <t> $           3.38 </t>
  </si>
  <si>
    <t> $         0.66 </t>
  </si>
  <si>
    <t> $         0.01 </t>
  </si>
  <si>
    <t> $              1.47 </t>
  </si>
  <si>
    <t> $            20.50 </t>
  </si>
  <si>
    <t> $            18.80 </t>
  </si>
  <si>
    <t> $            19.00 </t>
  </si>
  <si>
    <t> $            23.40 </t>
  </si>
  <si>
    <t>Masafat for Specialised Transport Company (ASE:MSFT)</t>
  </si>
  <si>
    <t>ASE:MSFT</t>
  </si>
  <si>
    <t>Jordan</t>
  </si>
  <si>
    <t>Africa and Middle East</t>
  </si>
  <si>
    <t>               1.9 </t>
  </si>
  <si>
    <t> $           1.48 </t>
  </si>
  <si>
    <t> $         1.01 </t>
  </si>
  <si>
    <t> $              4.38 </t>
  </si>
  <si>
    <t> $                -   </t>
  </si>
  <si>
    <t> $            20.40 </t>
  </si>
  <si>
    <t> $            20.30 </t>
  </si>
  <si>
    <t>PT Mineral Sumberdaya Mandiri Tbk (IDX:AKSI)</t>
  </si>
  <si>
    <t>IDX:AKSI</t>
  </si>
  <si>
    <t> $           0.49 </t>
  </si>
  <si>
    <t> $         0.07 </t>
  </si>
  <si>
    <t> $              2.92 </t>
  </si>
  <si>
    <t> $            10.80 </t>
  </si>
  <si>
    <t> $              7.52 </t>
  </si>
  <si>
    <t> $            12.10 </t>
  </si>
  <si>
    <t> $            13.90 </t>
  </si>
  <si>
    <t> $         26.30 </t>
  </si>
  <si>
    <t> $            20.60 </t>
  </si>
  <si>
    <t>Trans Polonia S.A. (WSE:TRN)</t>
  </si>
  <si>
    <t>WSE:TRN</t>
  </si>
  <si>
    <t>Poland</t>
  </si>
  <si>
    <t> $          43.10 </t>
  </si>
  <si>
    <t>             23.8 </t>
  </si>
  <si>
    <t> $           0.82 </t>
  </si>
  <si>
    <t> $         0.81 </t>
  </si>
  <si>
    <t> $         1.00 </t>
  </si>
  <si>
    <t> $            17.30 </t>
  </si>
  <si>
    <t> $            12.90 </t>
  </si>
  <si>
    <t> $            14.50 </t>
  </si>
  <si>
    <t> $            23.20 </t>
  </si>
  <si>
    <t> $            19.40 </t>
  </si>
  <si>
    <t>Mena Transport Public Company Limited (SET:MENA)</t>
  </si>
  <si>
    <t>SET:MENA</t>
  </si>
  <si>
    <t>               3.0 </t>
  </si>
  <si>
    <t> $           1.72 </t>
  </si>
  <si>
    <t> $              2.60 </t>
  </si>
  <si>
    <t> $            21.00 </t>
  </si>
  <si>
    <t>G Capital Berhad (KLSE:GCAP)</t>
  </si>
  <si>
    <t>KLSE:GCAP</t>
  </si>
  <si>
    <t>               1.5 </t>
  </si>
  <si>
    <t> $         0.62 </t>
  </si>
  <si>
    <t> $         0.03 </t>
  </si>
  <si>
    <t> $              1.23 </t>
  </si>
  <si>
    <t> $            16.40 </t>
  </si>
  <si>
    <t>Jayesh Logistics Limited (NSEI:JAYESH)</t>
  </si>
  <si>
    <t>NSEI:JAYESH</t>
  </si>
  <si>
    <t> $            3.46 </t>
  </si>
  <si>
    <t> $           1.45 </t>
  </si>
  <si>
    <t> $              1.53 </t>
  </si>
  <si>
    <t> $            1.16 </t>
  </si>
  <si>
    <t> $            25.60 </t>
  </si>
  <si>
    <t> $            18.40 </t>
  </si>
  <si>
    <t> $            16.70 </t>
  </si>
  <si>
    <t> $         13.10 </t>
  </si>
  <si>
    <t>Toppoint Holdings Inc. (NYSEAM:TOPP)</t>
  </si>
  <si>
    <t>NYSEAM:TOPP</t>
  </si>
  <si>
    <t>               0.8 </t>
  </si>
  <si>
    <t> $         8.46 </t>
  </si>
  <si>
    <t> $         0.36 </t>
  </si>
  <si>
    <t> $              0.56 </t>
  </si>
  <si>
    <t> $            33.80 </t>
  </si>
  <si>
    <t> $            28.00 </t>
  </si>
  <si>
    <t> $            24.30 </t>
  </si>
  <si>
    <t>PT Satria Antaran Prima Tbk (IDX:SAPX)</t>
  </si>
  <si>
    <t>IDX:SAPX</t>
  </si>
  <si>
    <t> $            3.71 </t>
  </si>
  <si>
    <t>               6.8 </t>
  </si>
  <si>
    <t> $           0.67 </t>
  </si>
  <si>
    <t> $              0.61 </t>
  </si>
  <si>
    <t> $              3.04 </t>
  </si>
  <si>
    <t> $            14.30 </t>
  </si>
  <si>
    <t> $              9.26 </t>
  </si>
  <si>
    <t> $            10.90 </t>
  </si>
  <si>
    <t> $         33.60 </t>
  </si>
  <si>
    <t> $            15.20 </t>
  </si>
  <si>
    <t>Rapid Fleet Management Services Limited (NSEI:RAPIDFLEET)</t>
  </si>
  <si>
    <t>NSEI:RAPIDFLEET</t>
  </si>
  <si>
    <t>            (1.0)  </t>
  </si>
  <si>
    <t> $         4.94 </t>
  </si>
  <si>
    <t> $           1.21 </t>
  </si>
  <si>
    <t> $         0.28 </t>
  </si>
  <si>
    <t> $              1.42 </t>
  </si>
  <si>
    <t> $            17.50 </t>
  </si>
  <si>
    <t>PT Guna Timur Raya Tbk (IDX:TRUK)</t>
  </si>
  <si>
    <t>IDX:TRUK</t>
  </si>
  <si>
    <t> $            0.11 </t>
  </si>
  <si>
    <t>            (0.3)  </t>
  </si>
  <si>
    <t>            (0.2)  </t>
  </si>
  <si>
    <t> $              0.03 </t>
  </si>
  <si>
    <t> $              2.27 </t>
  </si>
  <si>
    <t> $              2.82 </t>
  </si>
  <si>
    <t> $              3.61 </t>
  </si>
  <si>
    <t> $              9.92 </t>
  </si>
  <si>
    <t>Eastern International Ltd. (NasdaqCM:ELOG)</t>
  </si>
  <si>
    <t>NasdaqCM:ELOG</t>
  </si>
  <si>
    <t>               6.0 </t>
  </si>
  <si>
    <t> $         5.73 </t>
  </si>
  <si>
    <t> $           2.41 </t>
  </si>
  <si>
    <t> $         0.25 </t>
  </si>
  <si>
    <t> $              8.71 </t>
  </si>
  <si>
    <t> $            27.40 </t>
  </si>
  <si>
    <t>PUDO Inc. (OTCPK:PDPT.F)</t>
  </si>
  <si>
    <t>OTCPK:PDPT.F</t>
  </si>
  <si>
    <t> $           0.06 </t>
  </si>
  <si>
    <t> $              0.35 </t>
  </si>
  <si>
    <t> $              7.42 </t>
  </si>
  <si>
    <t> $              7.98 </t>
  </si>
  <si>
    <t>Locate Technologies Limited (NZSE:LOC)</t>
  </si>
  <si>
    <t>NZSE:LOC</t>
  </si>
  <si>
    <t>Software (System &amp; Application)</t>
  </si>
  <si>
    <t>Information Technology</t>
  </si>
  <si>
    <t> $            0.03 </t>
  </si>
  <si>
    <t> $         1.85 </t>
  </si>
  <si>
    <t> $              0.26 </t>
  </si>
  <si>
    <t> $           3.93 </t>
  </si>
  <si>
    <t>Orissa Bengal Carrier Limited (BSE:541206)</t>
  </si>
  <si>
    <t>BSE:541206</t>
  </si>
  <si>
    <t> $            1.76 </t>
  </si>
  <si>
    <t> $           0.47 </t>
  </si>
  <si>
    <t> $         0.67 </t>
  </si>
  <si>
    <t> $            14.00 </t>
  </si>
  <si>
    <t> $            13.20 </t>
  </si>
  <si>
    <t>Ancom Logistics Berhad (KLSE:ANCOMLB)</t>
  </si>
  <si>
    <t>KLSE:ANCOMLB</t>
  </si>
  <si>
    <t> $            9.21 </t>
  </si>
  <si>
    <t> $         0.59 </t>
  </si>
  <si>
    <t> $              3.39 </t>
  </si>
  <si>
    <t> $            1.89 </t>
  </si>
  <si>
    <t>Neptune Logitek Limited (BSE:544663)</t>
  </si>
  <si>
    <t>BSE:544663</t>
  </si>
  <si>
    <t> $           1.91 </t>
  </si>
  <si>
    <t> $         0.61 </t>
  </si>
  <si>
    <t> $            0.55 </t>
  </si>
  <si>
    <t> $            10.20 </t>
  </si>
  <si>
    <t> $            10.70 </t>
  </si>
  <si>
    <t>Chartered Logistics Limited (BSE:531977)</t>
  </si>
  <si>
    <t>BSE:531977</t>
  </si>
  <si>
    <t> $         1.38 </t>
  </si>
  <si>
    <t> $           0.12 </t>
  </si>
  <si>
    <t> $         0.18 </t>
  </si>
  <si>
    <t> $              0.27 </t>
  </si>
  <si>
    <t> $            11.90 </t>
  </si>
  <si>
    <t> $            11.80 </t>
  </si>
  <si>
    <t>Transport &amp; Investment Barter Company (ASE:NAQL)</t>
  </si>
  <si>
    <t>ASE:NAQL</t>
  </si>
  <si>
    <t>               0.0 </t>
  </si>
  <si>
    <t> $           0.13 </t>
  </si>
  <si>
    <t> $              0.46 </t>
  </si>
  <si>
    <t> $              5.69 </t>
  </si>
  <si>
    <t> $              6.68 </t>
  </si>
  <si>
    <t> $              8.10 </t>
  </si>
  <si>
    <t>SER Industries Limited (BSE:507984)</t>
  </si>
  <si>
    <t>BSE:507984</t>
  </si>
  <si>
    <t> $              1.37 </t>
  </si>
  <si>
    <t> $              3.46 </t>
  </si>
  <si>
    <t>PT Utama Radar Cahaya Tbk (IDX:RCCC)</t>
  </si>
  <si>
    <t>IDX:RCCC</t>
  </si>
  <si>
    <t>               1.7 </t>
  </si>
  <si>
    <t> $           1.18 </t>
  </si>
  <si>
    <t> $              0.36 </t>
  </si>
  <si>
    <t> $            17.10 </t>
  </si>
  <si>
    <t> $              6.14 </t>
  </si>
  <si>
    <t> $              5.27 </t>
  </si>
  <si>
    <t> $           5.75 </t>
  </si>
  <si>
    <t> $              8.36 </t>
  </si>
  <si>
    <t>Elite Express Holding Inc. (NasdaqCM:ETS)</t>
  </si>
  <si>
    <t>NasdaqCM:ETS</t>
  </si>
  <si>
    <t> $            0.13 </t>
  </si>
  <si>
    <t> $       15.60 </t>
  </si>
  <si>
    <t> $              0.02 </t>
  </si>
  <si>
    <t> $              7.95 </t>
  </si>
  <si>
    <t> $              8.40 </t>
  </si>
  <si>
    <t> $            11.20 </t>
  </si>
  <si>
    <t> $           2.59 </t>
  </si>
  <si>
    <t> $              8.24 </t>
  </si>
  <si>
    <t>Haoxin Holdings Limited (NasdaqCM:HXHX)</t>
  </si>
  <si>
    <t>NasdaqCM:HXHX</t>
  </si>
  <si>
    <t> $            5.37 </t>
  </si>
  <si>
    <t>             10.7 </t>
  </si>
  <si>
    <t> $           7.67 </t>
  </si>
  <si>
    <t> $         0.21 </t>
  </si>
  <si>
    <t> $              0.29 </t>
  </si>
  <si>
    <t> $            19.80 </t>
  </si>
  <si>
    <t>PT Mitra International Resources Tbk (IDX:MIRA)</t>
  </si>
  <si>
    <t>IDX:MIRA</t>
  </si>
  <si>
    <t>            (0.0)  </t>
  </si>
  <si>
    <t> $              0.21 </t>
  </si>
  <si>
    <t> $              2.21 </t>
  </si>
  <si>
    <t> $              2.38 </t>
  </si>
  <si>
    <t> $              3.19 </t>
  </si>
  <si>
    <t> $              7.84 </t>
  </si>
  <si>
    <t>S.C.Transporturi Auto Giulesti S.A. (BVB:TRGI)</t>
  </si>
  <si>
    <t>BVB:TRGI</t>
  </si>
  <si>
    <t>Romania</t>
  </si>
  <si>
    <t>Eastern Europe &amp; Russia</t>
  </si>
  <si>
    <t> $           0.02 </t>
  </si>
  <si>
    <t> $              6.31 </t>
  </si>
  <si>
    <t>Blue-Ex Limited (KASE:BLUEX)</t>
  </si>
  <si>
    <t>KASE:BLUEX</t>
  </si>
  <si>
    <t>Pakistan</t>
  </si>
  <si>
    <t> $            0.10 </t>
  </si>
  <si>
    <t> $           0.64 </t>
  </si>
  <si>
    <t> $              2.18 </t>
  </si>
  <si>
    <t> $              4.08 </t>
  </si>
  <si>
    <t> $              5.88 </t>
  </si>
  <si>
    <t> $              6.39 </t>
  </si>
  <si>
    <t>PT Eka Sari Lorena Transport Tbk (IDX:LRNA)</t>
  </si>
  <si>
    <t>IDX:LRNA</t>
  </si>
  <si>
    <t>               2.8 </t>
  </si>
  <si>
    <t> $         0.16 </t>
  </si>
  <si>
    <t> $              0.10 </t>
  </si>
  <si>
    <t> $              3.54 </t>
  </si>
  <si>
    <t> $              3.05 </t>
  </si>
  <si>
    <t> $              2.95 </t>
  </si>
  <si>
    <t> $              3.89 </t>
  </si>
  <si>
    <t> $           3.77 </t>
  </si>
  <si>
    <t> $              6.38 </t>
  </si>
  <si>
    <t>DirectBooking Technology Co., Ltd. (NasdaqCM:ZDAI)</t>
  </si>
  <si>
    <t>NasdaqCM:ZDAI</t>
  </si>
  <si>
    <t> $         5.28 </t>
  </si>
  <si>
    <t> $         0.22 </t>
  </si>
  <si>
    <t> $              0.76 </t>
  </si>
  <si>
    <t> $            12.30 </t>
  </si>
  <si>
    <t> $            20.70 </t>
  </si>
  <si>
    <t> $            17.80 </t>
  </si>
  <si>
    <t> $         19.30 </t>
  </si>
  <si>
    <t> $              5.39 </t>
  </si>
  <si>
    <t>Addentax Group Corp. (NasdaqCM:ATXG)</t>
  </si>
  <si>
    <t>NasdaqCM:ATXG</t>
  </si>
  <si>
    <t>               0.7 </t>
  </si>
  <si>
    <t> $         0.84 </t>
  </si>
  <si>
    <t> $         0.44 </t>
  </si>
  <si>
    <t> $              0.04 </t>
  </si>
  <si>
    <t> $              3.70 </t>
  </si>
  <si>
    <t> $              8.44 </t>
  </si>
  <si>
    <t> $              6.76 </t>
  </si>
  <si>
    <t> $            11.70 </t>
  </si>
  <si>
    <t>Balurghat Technologies Limited (BSE:520127)</t>
  </si>
  <si>
    <t>BSE:520127</t>
  </si>
  <si>
    <t> $            1.21 </t>
  </si>
  <si>
    <t>            (0.1)  </t>
  </si>
  <si>
    <t>               1.2 </t>
  </si>
  <si>
    <t> $           0.23 </t>
  </si>
  <si>
    <t> $              0.31 </t>
  </si>
  <si>
    <t> $              5.38 </t>
  </si>
  <si>
    <t> $              3.65 </t>
  </si>
  <si>
    <t> $              3.40 </t>
  </si>
  <si>
    <t>S.C. Transcom S.A. (BVB:TRVM)</t>
  </si>
  <si>
    <t>BVB:TRVM</t>
  </si>
  <si>
    <t> $           0.34 </t>
  </si>
  <si>
    <t> $              2.42 </t>
  </si>
  <si>
    <t> $              2.09 </t>
  </si>
  <si>
    <t> $              2.46 </t>
  </si>
  <si>
    <t> $           1.90 </t>
  </si>
  <si>
    <t> $              2.54 </t>
  </si>
  <si>
    <t>C&amp;N Holdings Limited (SEHK:8430)</t>
  </si>
  <si>
    <t>SEHK:8430</t>
  </si>
  <si>
    <t> $              0.84 </t>
  </si>
  <si>
    <t> $              2.13 </t>
  </si>
  <si>
    <t> $              2.34 </t>
  </si>
  <si>
    <t> $              2.44 </t>
  </si>
  <si>
    <t> $              3.73 </t>
  </si>
  <si>
    <t> $         17.70 </t>
  </si>
  <si>
    <t>Forposta S.A. (WSE:FPO)</t>
  </si>
  <si>
    <t>WSE:FPO</t>
  </si>
  <si>
    <t> $              0.45 </t>
  </si>
  <si>
    <t> $              0.42 </t>
  </si>
  <si>
    <t> $              1.71 </t>
  </si>
  <si>
    <t>BLT Logistics Limited (BSE:544474)</t>
  </si>
  <si>
    <t>BSE:544474</t>
  </si>
  <si>
    <t> $            1.15 </t>
  </si>
  <si>
    <t> $           0.80 </t>
  </si>
  <si>
    <t> $              3.02 </t>
  </si>
  <si>
    <t>Dhillon Freight Carrier Limited (BSE:544556)</t>
  </si>
  <si>
    <t>BSE:544556</t>
  </si>
  <si>
    <t> $           0.28 </t>
  </si>
  <si>
    <t> $              0.01 </t>
  </si>
  <si>
    <t>MoveByBike Europe AB (publ) (XSAT:MBBAB)</t>
  </si>
  <si>
    <t>XSAT:MBBAB</t>
  </si>
  <si>
    <t>Sweden</t>
  </si>
  <si>
    <t> $         1.74 </t>
  </si>
  <si>
    <t> $              0.24 </t>
  </si>
  <si>
    <t> $              1.22 </t>
  </si>
  <si>
    <t> $              0.55 </t>
  </si>
  <si>
    <t> $              2.48 </t>
  </si>
  <si>
    <t> $              1.90 </t>
  </si>
  <si>
    <t> $           3.26 </t>
  </si>
  <si>
    <t>Gconnect Logitech and Supply Chain Limited (BSE:544156)</t>
  </si>
  <si>
    <t>BSE:544156</t>
  </si>
  <si>
    <t> $           0.05 </t>
  </si>
  <si>
    <t> $              1.46 </t>
  </si>
  <si>
    <t> $              0.82 </t>
  </si>
  <si>
    <t> $              0.91 </t>
  </si>
  <si>
    <t>Jalan Transolutions (India) Limited (NSEI:JALAN)</t>
  </si>
  <si>
    <t>NSEI:JALAN</t>
  </si>
  <si>
    <t> $              0.32 </t>
  </si>
  <si>
    <t> $              1.62 </t>
  </si>
  <si>
    <t> $              1.82 </t>
  </si>
  <si>
    <t> $              0.77 </t>
  </si>
  <si>
    <t>Critical Solutions, Inc. (OTCPK:CSLI)</t>
  </si>
  <si>
    <t>OTCPK:CSLI</t>
  </si>
  <si>
    <t>Electrical Equipment</t>
  </si>
  <si>
    <t>MingZhu Logistics Holdings Limited (OTCPK:YGMZ.F)</t>
  </si>
  <si>
    <t>OTCPK:YGMZ.F</t>
  </si>
  <si>
    <t>               5.1 </t>
  </si>
  <si>
    <t>               3.6 </t>
  </si>
  <si>
    <t> $         2.00 </t>
  </si>
  <si>
    <t> $           6.04 </t>
  </si>
  <si>
    <t> $              6.19 </t>
  </si>
  <si>
    <t> $              6.59 </t>
  </si>
  <si>
    <t> $            58.20 </t>
  </si>
  <si>
    <t> $            78.20 </t>
  </si>
  <si>
    <t> $            57.40 </t>
  </si>
  <si>
    <t>Speedy AD (BUL:SPDY)</t>
  </si>
  <si>
    <t>BUL:SPDY</t>
  </si>
  <si>
    <t>Bulgaria</t>
  </si>
  <si>
    <t>             19.0 </t>
  </si>
  <si>
    <t>               5.8 </t>
  </si>
  <si>
    <t> $         28.60 </t>
  </si>
  <si>
    <t> $         0.45 </t>
  </si>
  <si>
    <t> $          582.20 </t>
  </si>
  <si>
    <t> $          603.90 </t>
  </si>
  <si>
    <t> $          625.50 </t>
  </si>
  <si>
    <t>OZ Vision Inc. (OTCPK:OZVN)</t>
  </si>
  <si>
    <t>OTCPK:OZVN</t>
  </si>
  <si>
    <t> $              1.10 </t>
  </si>
  <si>
    <t> $            40.80 </t>
  </si>
  <si>
    <t> $            58.50 </t>
  </si>
  <si>
    <t>DRS Dilip Roadlines Limited (NSEI:DRSDILIP)</t>
  </si>
  <si>
    <t>NSEI:DRSDILIP</t>
  </si>
  <si>
    <t> $            0.38 </t>
  </si>
  <si>
    <t> $            20.20 </t>
  </si>
  <si>
    <t>Standardized Annual Income Statement</t>
  </si>
  <si>
    <t xml:space="preserve">Report Date </t>
  </si>
  <si>
    <t>DEC '20</t>
  </si>
  <si>
    <t>DEC '21</t>
  </si>
  <si>
    <t>DEC '22</t>
  </si>
  <si>
    <t>DEC '23</t>
  </si>
  <si>
    <t>DEC '24</t>
  </si>
  <si>
    <t xml:space="preserve">Standardized Annual Balance Sheet </t>
  </si>
  <si>
    <t>Report Date</t>
  </si>
  <si>
    <t>Standardized Statement of Cash Flows</t>
  </si>
  <si>
    <t>Operating Activities</t>
  </si>
  <si>
    <t>Net Income / Starting Line</t>
  </si>
  <si>
    <t>Depreciation, Depletion &amp; Amortization</t>
  </si>
  <si>
    <t>Depreciation and Depletion</t>
  </si>
  <si>
    <t>Amortization of Intangible Assets</t>
  </si>
  <si>
    <t>Deferred Taxes &amp; Investment Tax Credit</t>
  </si>
  <si>
    <t>Deferred Taxes</t>
  </si>
  <si>
    <t>Other Funds</t>
  </si>
  <si>
    <t>Funds from Operations</t>
  </si>
  <si>
    <t>Changes in Working Capital</t>
  </si>
  <si>
    <t>Receivables</t>
  </si>
  <si>
    <t>Other Accruals</t>
  </si>
  <si>
    <t>Other Assets/Liabilities</t>
  </si>
  <si>
    <t>Net Operating Cash Flow</t>
  </si>
  <si>
    <t>Investing Activities</t>
  </si>
  <si>
    <t>Capital Expenditures</t>
  </si>
  <si>
    <t>Capital Expenditures (Fixed Assets)</t>
  </si>
  <si>
    <t>Net Assets from Acquisitions</t>
  </si>
  <si>
    <t>Sale of Fixed Assets &amp; Businesses</t>
  </si>
  <si>
    <t>Purchase/Sale of Investments</t>
  </si>
  <si>
    <t>Purchase of Investments</t>
  </si>
  <si>
    <t>Sale/Maturity of Investments</t>
  </si>
  <si>
    <t>Other Uses</t>
  </si>
  <si>
    <t>Other Sources</t>
  </si>
  <si>
    <t>Net Investing Cash Flow</t>
  </si>
  <si>
    <t>Financing Activities</t>
  </si>
  <si>
    <t>Cash Dividends Paid</t>
  </si>
  <si>
    <t>Common Dividends</t>
  </si>
  <si>
    <t>Change in Capital Stock</t>
  </si>
  <si>
    <t>Repurchase of Common &amp; Preferred Stk.</t>
  </si>
  <si>
    <t>Sale of Common &amp; Preferred Stock</t>
  </si>
  <si>
    <t>Proceeds from Sale of Stock</t>
  </si>
  <si>
    <t>Issuance/Reduction of Debt, Net</t>
  </si>
  <si>
    <t>Change in Current Debt</t>
  </si>
  <si>
    <t>Change in Long-Term Debt</t>
  </si>
  <si>
    <t>Issuance of Long-Term Debt</t>
  </si>
  <si>
    <t>Reduction in Long-Term Debt</t>
  </si>
  <si>
    <t>Net Financing Cash Flow</t>
  </si>
  <si>
    <t>All Activities</t>
  </si>
  <si>
    <t>Exchange Rate Effect</t>
  </si>
  <si>
    <t>Net Change in Cash</t>
  </si>
  <si>
    <t>Free Cash Flow</t>
  </si>
  <si>
    <t>Free Cash Flow per Share</t>
  </si>
  <si>
    <t>Free Cash Flow Yield (%)</t>
  </si>
  <si>
    <t>Date</t>
  </si>
  <si>
    <t>Price</t>
  </si>
  <si>
    <t>Y</t>
  </si>
  <si>
    <t xml:space="preserve">X </t>
  </si>
  <si>
    <t>Selective Comparables</t>
  </si>
  <si>
    <t>FedEx Corporation (NYSE:FDX)</t>
  </si>
  <si>
    <t>NYSE:FDX</t>
  </si>
  <si>
    <t>4513</t>
  </si>
  <si>
    <t>Expeditors International of Washington, Inc. (NYSE:EXPD)</t>
  </si>
  <si>
    <t>NYSE:EXPD</t>
  </si>
  <si>
    <t>4731</t>
  </si>
  <si>
    <t>X1</t>
  </si>
  <si>
    <t>X2</t>
  </si>
  <si>
    <t>X3</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</si>
  <si>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</si>
  <si>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</si>
  <si>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</si>
  <si>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</si>
  <si>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</si>
  <si>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</si>
  <si>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</si>
  <si>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</si>
  <si>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</si>
  <si>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</si>
  <si>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</si>
  <si>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</si>
  <si>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</si>
  <si>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</si>
  <si>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</si>
  <si>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</si>
  <si>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</si>
  <si>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</si>
  <si>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</si>
  <si>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</si>
  <si>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</si>
  <si>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</si>
  <si>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</si>
  <si>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</si>
  <si>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Scatter Plots</t>
  </si>
  <si>
    <t>Regression Results: Full Model</t>
  </si>
  <si>
    <t>Modified Regression Model: Reduced Model</t>
  </si>
  <si>
    <t>Dropped Payout Ratio</t>
  </si>
  <si>
    <t>Valuation Based on Model Forecast for Adjusted Multiple</t>
  </si>
  <si>
    <t>UPS Values</t>
  </si>
  <si>
    <t>Adjusted EV/ EBITDA for UPS:</t>
  </si>
  <si>
    <t>Raw EV/ EBITDA for UPS:</t>
  </si>
  <si>
    <t>% Difference:</t>
  </si>
  <si>
    <t>Comparison of Adjusted vs. Unadjusted Valuation</t>
  </si>
  <si>
    <t>UPS's EV/ EBITDA (Raw)</t>
  </si>
  <si>
    <t>UPS's Share Price (Raw)</t>
  </si>
  <si>
    <t>UPS's Growth (Raw)</t>
  </si>
  <si>
    <t>UPS's Beta (Raw)</t>
  </si>
  <si>
    <t>UPS's EV/ EBITDA (Adjusted)</t>
  </si>
  <si>
    <t>UPS's Share Price (Adjusted)</t>
  </si>
  <si>
    <t>UPS's EV in $000,000's (Adjusted)=</t>
  </si>
  <si>
    <t>UPS's Share Price (Adjusted)=</t>
  </si>
  <si>
    <t>% Difference from Valuation Based on All Comparables</t>
  </si>
  <si>
    <t>% Difference from Valuation Based on Close Comparables</t>
  </si>
  <si>
    <t xml:space="preserve">EV/ Sales EV Est. </t>
  </si>
  <si>
    <t xml:space="preserve">EV/ EBITDA EV Est. </t>
  </si>
  <si>
    <t xml:space="preserve">EV/ Sales Est. </t>
  </si>
  <si>
    <t xml:space="preserve">EV/EBITDA EV Est. </t>
  </si>
  <si>
    <t>UPS's EV in $000,000's (Adjusted)</t>
  </si>
  <si>
    <t>Estimating Cost of Capital</t>
  </si>
  <si>
    <t>Workshop 6</t>
  </si>
  <si>
    <t>a(i)</t>
  </si>
  <si>
    <t xml:space="preserve">Year(s) to Maturity </t>
  </si>
  <si>
    <t>T-Bond Yield</t>
  </si>
  <si>
    <t>TIPS Yield</t>
  </si>
  <si>
    <t xml:space="preserve">a(ii) </t>
  </si>
  <si>
    <t xml:space="preserve">Risk Free Rate Chosen </t>
  </si>
  <si>
    <t xml:space="preserve">T-Bond Yield </t>
  </si>
  <si>
    <t>b(ii)</t>
  </si>
  <si>
    <t>Date Accessed: 1/31/26</t>
  </si>
  <si>
    <t xml:space="preserve">Real Rate = Nominal Rate - Inflation </t>
  </si>
  <si>
    <t xml:space="preserve">Nominal Rate = Real Rate + Inflation </t>
  </si>
  <si>
    <t>TIPS Rate = Risk-Free Rate - Inflation</t>
  </si>
  <si>
    <t xml:space="preserve">Risk-Free Rate = TIPS Rate + Inflation </t>
  </si>
  <si>
    <t xml:space="preserve">MRP = Nom. Exp. Mkt. Return - Risk-Free Rate </t>
  </si>
  <si>
    <t xml:space="preserve">MRP = Real Rate - TIPS Rate </t>
  </si>
  <si>
    <t xml:space="preserve">From Exhibit 11.6: Real Rate = </t>
  </si>
  <si>
    <t xml:space="preserve">TIPS  Rate Being Used = </t>
  </si>
  <si>
    <t xml:space="preserve">Estimated MRP = </t>
  </si>
  <si>
    <t xml:space="preserve">S&amp;P500 10-Year Historical Prices </t>
  </si>
  <si>
    <t>Return</t>
  </si>
  <si>
    <t>S&amp;P500</t>
  </si>
  <si>
    <t xml:space="preserve">UPS </t>
  </si>
  <si>
    <t>UPS 10-Year Historical Prices</t>
  </si>
  <si>
    <t xml:space="preserve">60 Month Rolling Beta </t>
  </si>
  <si>
    <t xml:space="preserve">Date </t>
  </si>
  <si>
    <t xml:space="preserve">Beta </t>
  </si>
  <si>
    <t>S&amp;P 500</t>
  </si>
  <si>
    <t>UPS vs. S&amp;P 500 (60-Month)</t>
  </si>
  <si>
    <t>c(iia)</t>
  </si>
  <si>
    <t>R-Squared</t>
  </si>
  <si>
    <t xml:space="preserve">95% Confidence Interval </t>
  </si>
  <si>
    <t xml:space="preserve">I conclude that a good estimate for UPS's beta is </t>
  </si>
  <si>
    <t>c(iib)</t>
  </si>
  <si>
    <t xml:space="preserve">Adjusted Beta </t>
  </si>
  <si>
    <t xml:space="preserve">c(iic) </t>
  </si>
  <si>
    <t xml:space="preserve">FDX vs. S&amp;P 500 </t>
  </si>
  <si>
    <t xml:space="preserve">S&amp;P 500 5-Year Historical Prices </t>
  </si>
  <si>
    <t xml:space="preserve">Return </t>
  </si>
  <si>
    <t xml:space="preserve">FDX 5-Year Historical Prices </t>
  </si>
  <si>
    <t xml:space="preserve">FDX </t>
  </si>
  <si>
    <t xml:space="preserve">DHL 5-Year Historical Prices </t>
  </si>
  <si>
    <t xml:space="preserve">DHL </t>
  </si>
  <si>
    <t>TFII 5-Year Historical Prices</t>
  </si>
  <si>
    <t>TFII</t>
  </si>
  <si>
    <t xml:space="preserve">EXPD 5-Year Historical Prices </t>
  </si>
  <si>
    <t xml:space="preserve">EXPD </t>
  </si>
  <si>
    <t xml:space="preserve">S&amp;P500 </t>
  </si>
  <si>
    <t>DHL vs. S&amp;P 500</t>
  </si>
  <si>
    <t>EXPD vs. S&amp;P 500</t>
  </si>
  <si>
    <t xml:space="preserve">FedEx </t>
  </si>
  <si>
    <t xml:space="preserve">Expeditors International of Washington </t>
  </si>
  <si>
    <t>Competitors</t>
  </si>
  <si>
    <t>TFI International Inc</t>
  </si>
  <si>
    <t xml:space="preserve">Deutsche Post AG </t>
  </si>
  <si>
    <t xml:space="preserve">Median Unlevered Beta </t>
  </si>
  <si>
    <t>UPS's Target D/E</t>
  </si>
  <si>
    <t xml:space="preserve">Relevered Beta </t>
  </si>
  <si>
    <t>c(iicii)</t>
  </si>
  <si>
    <t>c(iiciii)</t>
  </si>
  <si>
    <t xml:space="preserve">Levered Beta </t>
  </si>
  <si>
    <t xml:space="preserve">D/E Ratio </t>
  </si>
  <si>
    <t xml:space="preserve">Unlevered Beta </t>
  </si>
  <si>
    <t xml:space="preserve">ODFL 5-Year Historical Prices </t>
  </si>
  <si>
    <t>ODFL</t>
  </si>
  <si>
    <t xml:space="preserve">ODFL vs. S&amp;P 500 </t>
  </si>
  <si>
    <t xml:space="preserve">TFII vs. S&amp;P 500 </t>
  </si>
  <si>
    <t xml:space="preserve">Ol Dominion Freight Line, Inc. </t>
  </si>
  <si>
    <t xml:space="preserve">Bond Name/CUSIP </t>
  </si>
  <si>
    <t xml:space="preserve">Maturity Date </t>
  </si>
  <si>
    <t xml:space="preserve">Moody Rating </t>
  </si>
  <si>
    <t>S&amp;P Rating</t>
  </si>
  <si>
    <t xml:space="preserve">Yield </t>
  </si>
  <si>
    <t>Par ($000,000s)</t>
  </si>
  <si>
    <t>A</t>
  </si>
  <si>
    <t>A2</t>
  </si>
  <si>
    <t>UPS3908475/911312AR7</t>
  </si>
  <si>
    <t>UPS.QD/911312AJ5</t>
  </si>
  <si>
    <t>UPS.GB/911308AB0</t>
  </si>
  <si>
    <t xml:space="preserve">UPS's Estimated Cost of Debt </t>
  </si>
  <si>
    <t xml:space="preserve">Risk-Free Rate </t>
  </si>
  <si>
    <t xml:space="preserve">Average Marginal Tax Rate </t>
  </si>
  <si>
    <t xml:space="preserve">UPS's Total Debt </t>
  </si>
  <si>
    <t xml:space="preserve">UPS's Total MV Equity </t>
  </si>
  <si>
    <t>UPS's Total D + Total E</t>
  </si>
  <si>
    <t xml:space="preserve">UPS's D/(D+E) </t>
  </si>
  <si>
    <t xml:space="preserve">UPS's E/(D+E) </t>
  </si>
  <si>
    <t xml:space="preserve">UPS's Market D/E </t>
  </si>
  <si>
    <t xml:space="preserve">UPS's Target D/E Ratio </t>
  </si>
  <si>
    <t>Target D/E Ratio Used</t>
  </si>
  <si>
    <t xml:space="preserve">Historic Market </t>
  </si>
  <si>
    <t>a,b</t>
  </si>
  <si>
    <t xml:space="preserve">After-Tax WACC Calculation </t>
  </si>
  <si>
    <t xml:space="preserve">UPS Regression </t>
  </si>
  <si>
    <t xml:space="preserve">Comp. Firms </t>
  </si>
  <si>
    <t xml:space="preserve">Final Calculation </t>
  </si>
  <si>
    <t>x</t>
  </si>
  <si>
    <t>y</t>
  </si>
  <si>
    <t>Part c</t>
  </si>
  <si>
    <t xml:space="preserve">Target D/E Ratio </t>
  </si>
  <si>
    <t xml:space="preserve">Market Risk Premium </t>
  </si>
  <si>
    <t xml:space="preserve">Cost of Debt (Rd) </t>
  </si>
  <si>
    <t xml:space="preserve">Corporate Tax Rate </t>
  </si>
  <si>
    <t xml:space="preserve">Levered Cost of Equity (Re) </t>
  </si>
  <si>
    <t xml:space="preserve">Pre-Tax WACC (Ru) </t>
  </si>
  <si>
    <t xml:space="preserve">After-Tax WACC </t>
  </si>
  <si>
    <t xml:space="preserve">Damodaran's </t>
  </si>
  <si>
    <t xml:space="preserve">My Calculation </t>
  </si>
  <si>
    <t xml:space="preserve">% Difference from Damodaran's </t>
  </si>
  <si>
    <t xml:space="preserve">D/(D+E) </t>
  </si>
  <si>
    <t xml:space="preserve">E/(D+E) </t>
  </si>
  <si>
    <t>D/E</t>
  </si>
  <si>
    <t xml:space="preserve">Tax Rate </t>
  </si>
  <si>
    <t xml:space="preserve">Cost of Equity (Re) </t>
  </si>
  <si>
    <t xml:space="preserve">WACC (Cost of Capital) </t>
  </si>
  <si>
    <t xml:space="preserve">Average Yield </t>
  </si>
  <si>
    <r>
      <t xml:space="preserve">MRP = </t>
    </r>
    <r>
      <rPr>
        <b/>
        <sz val="12"/>
        <color rgb="FFFF0000"/>
        <rFont val="Aptos Narrow"/>
        <scheme val="minor"/>
      </rPr>
      <t>(Real Rate + Inflation)</t>
    </r>
    <r>
      <rPr>
        <b/>
        <sz val="12"/>
        <color theme="1"/>
        <rFont val="Aptos Narrow"/>
        <scheme val="minor"/>
      </rPr>
      <t xml:space="preserve"> - </t>
    </r>
    <r>
      <rPr>
        <b/>
        <sz val="12"/>
        <color rgb="FF00B050"/>
        <rFont val="Aptos Narrow"/>
        <scheme val="minor"/>
      </rPr>
      <t>(TIPS Rate + Inflation)</t>
    </r>
    <r>
      <rPr>
        <b/>
        <sz val="12"/>
        <color theme="1"/>
        <rFont val="Aptos Narrow"/>
        <scheme val="minor"/>
      </rPr>
      <t xml:space="preserve"> </t>
    </r>
  </si>
  <si>
    <t>"Damodaran's" Source: https://pages.stern.nyu.edu/~adamodar/New_Home_Page/datafile/wacc.html.htm</t>
  </si>
  <si>
    <t>Workshop 4</t>
  </si>
  <si>
    <t>Forcasting Growth</t>
  </si>
  <si>
    <t>[2%, 8%]</t>
  </si>
  <si>
    <t>median Estimate of 10-Year Industry CAGR:</t>
  </si>
  <si>
    <t>First Guess Confidence Interval for 10-Year CAGR:</t>
  </si>
  <si>
    <r>
      <rPr>
        <b/>
        <sz val="12"/>
        <color theme="1"/>
        <rFont val="Aptos Narrow"/>
        <scheme val="minor"/>
      </rPr>
      <t>Source:</t>
    </r>
    <r>
      <rPr>
        <sz val="12"/>
        <color theme="1"/>
        <rFont val="Aptos Narrow"/>
        <family val="2"/>
        <scheme val="minor"/>
      </rPr>
      <t xml:space="preserve"> WS4 Exhibit 5.1</t>
    </r>
  </si>
  <si>
    <t>b(i)</t>
  </si>
  <si>
    <t>b(iii)</t>
  </si>
  <si>
    <t>Portfolio Momentum: E-commerce and global trade support moderate industry growth</t>
  </si>
  <si>
    <t>Mergers &amp; Acquisitions: UPS uses limited M&amp;A, not a major growth driver</t>
  </si>
  <si>
    <t>Market Share Performance: Highly competitive industry, large share gains are unlikely</t>
  </si>
  <si>
    <t>Conclusion:</t>
  </si>
  <si>
    <t>Growth is moderate, so 8% upper bound may be too high [2%, 6%]</t>
  </si>
  <si>
    <t>c</t>
  </si>
  <si>
    <r>
      <rPr>
        <b/>
        <sz val="12"/>
        <color theme="1"/>
        <rFont val="Aptos Narrow"/>
        <scheme val="minor"/>
      </rPr>
      <t>Growth Sustainability:</t>
    </r>
    <r>
      <rPr>
        <sz val="12"/>
        <color theme="1"/>
        <rFont val="Aptos Narrow"/>
        <family val="2"/>
        <scheme val="minor"/>
      </rPr>
      <t xml:space="preserve"> UPS does not depend on new product launches, as it provides recurring logistics services. Growth is sustainable but moderate and tied to economic cycles.</t>
    </r>
  </si>
  <si>
    <r>
      <t xml:space="preserve">Growth Stability: </t>
    </r>
    <r>
      <rPr>
        <sz val="12"/>
        <color theme="1"/>
        <rFont val="Aptos Narrow"/>
        <scheme val="minor"/>
      </rPr>
      <t>Based on Exhibit 5.9, transportation growth over the last 40 years roughly ranges from: 2% to 10%. The spread is fairly wide spread, meaning growth is not very stable.</t>
    </r>
  </si>
  <si>
    <t>e</t>
  </si>
  <si>
    <r>
      <t xml:space="preserve">Growth Convergence: </t>
    </r>
    <r>
      <rPr>
        <sz val="12"/>
        <color theme="1"/>
        <rFont val="Aptos Narrow"/>
        <scheme val="minor"/>
      </rPr>
      <t>Based on Exhibit 5.10 the firms with moderate growth (5-10%) tend to maintain about 5% growth short term. Over time, growth decays and converges toward industry medians. UPS's short term growth is estimated at approximately 5%, while long term growth is expected to converge towards 2-3%</t>
    </r>
  </si>
  <si>
    <t>f</t>
  </si>
  <si>
    <r>
      <rPr>
        <b/>
        <sz val="12"/>
        <color theme="1"/>
        <rFont val="Aptos Narrow"/>
        <scheme val="minor"/>
      </rPr>
      <t>Analysts Estimates:</t>
    </r>
    <r>
      <rPr>
        <sz val="12"/>
        <color theme="1"/>
        <rFont val="Aptos Narrow"/>
        <family val="2"/>
        <scheme val="minor"/>
      </rPr>
      <t xml:space="preserve"> Yahoo!Finance reports strong next-year growth (12.68%), but this is only short-term. UPS's 2026 revenue guidance implies only about 1% growth. Adjusting analyst optimism downward and considering long-term convergence, a reasonable growth estimate is 3-6% with a point estimate of 4%. </t>
    </r>
  </si>
  <si>
    <t>Exhibit 5.9 Range of Median Industry Growth (40 Years)</t>
  </si>
  <si>
    <t>[2%, 10%]</t>
  </si>
  <si>
    <t>Exhibit 5.10 Short-Term Growth Estimate</t>
  </si>
  <si>
    <t>Exhibit 5.10 Long-Term Growth Estimate</t>
  </si>
  <si>
    <t>2-3%</t>
  </si>
  <si>
    <t>Analysts Final Confidence Interval</t>
  </si>
  <si>
    <t>[3%, 6%]</t>
  </si>
  <si>
    <t>Analysts Final Point Estimate</t>
  </si>
  <si>
    <t>Number of Employees</t>
  </si>
  <si>
    <t>Dividends Per Share</t>
  </si>
  <si>
    <t>Diluted Weighted Average Shares</t>
  </si>
  <si>
    <t>Normalized Diluted EPS</t>
  </si>
  <si>
    <t>Diluted EPS Including ExtraOrd Items</t>
  </si>
  <si>
    <t>Diluted EPS Excluding ExtraOrd Items</t>
  </si>
  <si>
    <t>Basic Weighted Average Shares</t>
  </si>
  <si>
    <t>Normalized Basic EPS</t>
  </si>
  <si>
    <t>Basic EPS Including Extraordinary Items</t>
  </si>
  <si>
    <t>Basic EPS Excluding Extraordinary Items</t>
  </si>
  <si>
    <t>Preferred Dividends</t>
  </si>
  <si>
    <t xml:space="preserve">    Provision for Income Taxes</t>
  </si>
  <si>
    <t>Net Income Before Taxes</t>
  </si>
  <si>
    <t xml:space="preserve">    Other, Net</t>
  </si>
  <si>
    <t xml:space="preserve">    Gain (Loss) on Sale of Assets</t>
  </si>
  <si>
    <t xml:space="preserve">    Interest Inc.(Exp.),Net-Non-Op., Total</t>
  </si>
  <si>
    <t>Total Operating Expense</t>
  </si>
  <si>
    <t xml:space="preserve">    Other Operating Expenses, Total</t>
  </si>
  <si>
    <t xml:space="preserve">    Unusual Expense (Income)</t>
  </si>
  <si>
    <t xml:space="preserve">    Interest Exp.(Inc.), Net-Operating, Total</t>
  </si>
  <si>
    <t xml:space="preserve">    Depreciation/Amortization</t>
  </si>
  <si>
    <t xml:space="preserve">    Research &amp; Development</t>
  </si>
  <si>
    <t xml:space="preserve">    Selling/General/Admin. Expenses, Total</t>
  </si>
  <si>
    <t>Gross Profit</t>
  </si>
  <si>
    <t xml:space="preserve">    Cost of Revenue, Total</t>
  </si>
  <si>
    <t>Total Revenue</t>
  </si>
  <si>
    <t>Million</t>
  </si>
  <si>
    <t>Scale</t>
  </si>
  <si>
    <t>USD</t>
  </si>
  <si>
    <t>Currency</t>
  </si>
  <si>
    <t>FYE December</t>
  </si>
  <si>
    <t>Income Statement - Annual (As Originally Reported)</t>
  </si>
  <si>
    <t>United Parcel Service Inc (UPS)</t>
  </si>
  <si>
    <t>Total Common Shares Outstanding</t>
  </si>
  <si>
    <t>Other Equity, Total</t>
  </si>
  <si>
    <t>Unrealized Gain (Loss)</t>
  </si>
  <si>
    <t>ESOP Debt Guarantee</t>
  </si>
  <si>
    <t>Treasury Stock - Common</t>
  </si>
  <si>
    <t>Retained Earnings (Accumulated Deficit)</t>
  </si>
  <si>
    <t>Additional Paid-In Capital</t>
  </si>
  <si>
    <t>Common Stock</t>
  </si>
  <si>
    <t>Limited Partner</t>
  </si>
  <si>
    <t>Preferred Stock - Non Redeemable, Net</t>
  </si>
  <si>
    <t>Redeemable Preferred Stock, Total</t>
  </si>
  <si>
    <t>Minority Interest</t>
  </si>
  <si>
    <t>Other Liabilities, Total</t>
  </si>
  <si>
    <t>Deferred Income Tax</t>
  </si>
  <si>
    <t>Total Long Term Debt</t>
  </si>
  <si>
    <t xml:space="preserve">    Capital Lease Obligations</t>
  </si>
  <si>
    <t xml:space="preserve">    Long Term Debt</t>
  </si>
  <si>
    <t>Other Current Liabilities, Total</t>
  </si>
  <si>
    <t>Notes Payable/Short Term Debt</t>
  </si>
  <si>
    <t>Current Port. of  LT Debt/Capital Leases</t>
  </si>
  <si>
    <t>Accrued Expenses</t>
  </si>
  <si>
    <t>Payable/Accrued</t>
  </si>
  <si>
    <t>Other Assets, Total</t>
  </si>
  <si>
    <t>Other Long Term Assets, Total</t>
  </si>
  <si>
    <t>Note Receivable - Long Term</t>
  </si>
  <si>
    <t>Long Term Investments</t>
  </si>
  <si>
    <t>Intangibles, Net</t>
  </si>
  <si>
    <t>Goodwill, Net</t>
  </si>
  <si>
    <t>Property/Plant/Equipment, Total - Net</t>
  </si>
  <si>
    <t xml:space="preserve">    Accumulated Depreciation, Total</t>
  </si>
  <si>
    <t xml:space="preserve">    Property/Plant/Equipment, Total - Gross</t>
  </si>
  <si>
    <t>Other Current Assets, Total</t>
  </si>
  <si>
    <t>Prepaid Expenses</t>
  </si>
  <si>
    <t>Total Inventory</t>
  </si>
  <si>
    <t>Total Receivables, Net</t>
  </si>
  <si>
    <t>Cash, Cash Equiv. &amp; Short Term Inv.</t>
  </si>
  <si>
    <t xml:space="preserve">    Cash &amp; Equivalents</t>
  </si>
  <si>
    <t>Balance Sheet - Annual (As Originally Reported)</t>
  </si>
  <si>
    <t xml:space="preserve">Capital Budgeting and Pro-Forma Analysis </t>
  </si>
  <si>
    <t>Workshop 5</t>
  </si>
  <si>
    <t xml:space="preserve">Taxable Income </t>
  </si>
  <si>
    <t xml:space="preserve">Taxation </t>
  </si>
  <si>
    <t xml:space="preserve">a(i) </t>
  </si>
  <si>
    <t xml:space="preserve">Medium-Term Growth Rate (g1) </t>
  </si>
  <si>
    <t xml:space="preserve">Long-Term Growth Rate (g2) </t>
  </si>
  <si>
    <t xml:space="preserve">Growth Rate Being Used </t>
  </si>
  <si>
    <t xml:space="preserve">Average Tax-Rate (2020-2024) </t>
  </si>
  <si>
    <t xml:space="preserve">Target Payout Ratio </t>
  </si>
  <si>
    <t xml:space="preserve">Cost of Debt </t>
  </si>
  <si>
    <t xml:space="preserve">Income Statement </t>
  </si>
  <si>
    <t xml:space="preserve">Balance Sheet </t>
  </si>
  <si>
    <t xml:space="preserve">Sales </t>
  </si>
  <si>
    <t xml:space="preserve">COGS </t>
  </si>
  <si>
    <t xml:space="preserve">Gross Income </t>
  </si>
  <si>
    <t xml:space="preserve">Depreciation </t>
  </si>
  <si>
    <t xml:space="preserve">EBIT </t>
  </si>
  <si>
    <t xml:space="preserve">Interest Expense </t>
  </si>
  <si>
    <t xml:space="preserve">Income Tax </t>
  </si>
  <si>
    <t xml:space="preserve">Net Income </t>
  </si>
  <si>
    <t>b(I,ii,iii)</t>
  </si>
  <si>
    <t>Revenue Growth</t>
  </si>
  <si>
    <t>Year</t>
  </si>
  <si>
    <t>EBIT Growth</t>
  </si>
  <si>
    <t>EPS Growth</t>
  </si>
  <si>
    <t>d(i,ii,iii)</t>
  </si>
  <si>
    <t>Arithmetic</t>
  </si>
  <si>
    <t>Geometric</t>
  </si>
  <si>
    <t>Std. Dev.</t>
  </si>
  <si>
    <t>Range</t>
  </si>
  <si>
    <t xml:space="preserve">Geometric Average is More reliable because it reflects compounded growth. </t>
  </si>
  <si>
    <t>e(i)</t>
  </si>
  <si>
    <t>Revenue</t>
  </si>
  <si>
    <t>Ln(Revenue)</t>
  </si>
  <si>
    <t>Ln(Revenue) vs. Time</t>
  </si>
  <si>
    <t>e(ii)</t>
  </si>
  <si>
    <t>Slope Coefficient</t>
  </si>
  <si>
    <t>Confidence Interval (Lower 95%, Upper 95%)</t>
  </si>
  <si>
    <t>(Average Historical Compounded Average Growth Rate)</t>
  </si>
  <si>
    <t>Total Dividends ($000,000's)</t>
  </si>
  <si>
    <t>Net Income ($000,000's)</t>
  </si>
  <si>
    <t>Retention Ratio</t>
  </si>
  <si>
    <t>ROA</t>
  </si>
  <si>
    <t>ROE</t>
  </si>
  <si>
    <t>Sustainable Growth Rate:</t>
  </si>
  <si>
    <t>Internal Growth Rate:</t>
  </si>
  <si>
    <t>(a)</t>
  </si>
  <si>
    <t>(b)</t>
  </si>
  <si>
    <t>Summary- Est. Growth Rates</t>
  </si>
  <si>
    <t>Medium-Term</t>
  </si>
  <si>
    <t>Long-Term</t>
  </si>
  <si>
    <t>3a</t>
  </si>
  <si>
    <t>3e</t>
  </si>
  <si>
    <t>3f</t>
  </si>
  <si>
    <t>4d</t>
  </si>
  <si>
    <t>4e</t>
  </si>
  <si>
    <t>5a</t>
  </si>
  <si>
    <t>5b</t>
  </si>
  <si>
    <t>Int. Growth Rate</t>
  </si>
  <si>
    <t>Sust. Growth Rate</t>
  </si>
  <si>
    <t>Forecasted Medium-Term Growth Rate (g1)</t>
  </si>
  <si>
    <t>Forecasted Long-Term Growth Rate (g2)</t>
  </si>
  <si>
    <t xml:space="preserve">SG&amp;A </t>
  </si>
  <si>
    <t xml:space="preserve">Depreciation &amp; Amortizaton </t>
  </si>
  <si>
    <t xml:space="preserve">Other Operating Expense </t>
  </si>
  <si>
    <t xml:space="preserve">Operating Income (EBIT) </t>
  </si>
  <si>
    <t xml:space="preserve">Other Income (Expense) </t>
  </si>
  <si>
    <t xml:space="preserve">Unusual Expense </t>
  </si>
  <si>
    <t>Earnings Before Tax</t>
  </si>
  <si>
    <t xml:space="preserve">Cash &amp; ST Investments </t>
  </si>
  <si>
    <t xml:space="preserve">Receivables ST </t>
  </si>
  <si>
    <t xml:space="preserve">Bad Debt </t>
  </si>
  <si>
    <t xml:space="preserve">Other Current Assets </t>
  </si>
  <si>
    <t xml:space="preserve">Total Current Assets </t>
  </si>
  <si>
    <t>Gross PP&amp;E</t>
  </si>
  <si>
    <t xml:space="preserve">Accumulated Depr </t>
  </si>
  <si>
    <t>Net PP&amp;E</t>
  </si>
  <si>
    <t xml:space="preserve">Intangible Assets </t>
  </si>
  <si>
    <t xml:space="preserve">Other Assets </t>
  </si>
  <si>
    <t xml:space="preserve">Total Assets </t>
  </si>
  <si>
    <t xml:space="preserve">Long-Term Investments </t>
  </si>
  <si>
    <t xml:space="preserve">Deferred Tax Assets </t>
  </si>
  <si>
    <t xml:space="preserve">Accounts Payable </t>
  </si>
  <si>
    <t xml:space="preserve">ST Debt </t>
  </si>
  <si>
    <t xml:space="preserve">Other Current Liabilities </t>
  </si>
  <si>
    <t xml:space="preserve">LT Debt </t>
  </si>
  <si>
    <t xml:space="preserve">Total Liabilities </t>
  </si>
  <si>
    <t xml:space="preserve">Provisions for Risk &amp; Charges </t>
  </si>
  <si>
    <t xml:space="preserve">Deffered Tax Liabilities </t>
  </si>
  <si>
    <t xml:space="preserve">Total Equity </t>
  </si>
  <si>
    <t xml:space="preserve">Total Liabilities &amp; Equity </t>
  </si>
  <si>
    <t xml:space="preserve">Net New Finance </t>
  </si>
  <si>
    <t xml:space="preserve">Incremental Retained Earnings </t>
  </si>
  <si>
    <t xml:space="preserve">% of Sales </t>
  </si>
  <si>
    <t>Balanced?</t>
  </si>
  <si>
    <t>1st Revision</t>
  </si>
  <si>
    <t xml:space="preserve">Diff in Incr. Ret. Earnings </t>
  </si>
  <si>
    <t>Original Forecast</t>
  </si>
  <si>
    <t>Forecasted Years</t>
  </si>
  <si>
    <t>2 a,b</t>
  </si>
  <si>
    <t xml:space="preserve">Total Debt </t>
  </si>
  <si>
    <t xml:space="preserve">Total debt </t>
  </si>
  <si>
    <t xml:space="preserve">c </t>
  </si>
  <si>
    <t xml:space="preserve">Return on Equity (ROE) </t>
  </si>
  <si>
    <t xml:space="preserve">Financials Strength Ratios: </t>
  </si>
  <si>
    <t xml:space="preserve">Needed info for FCF Calculations: </t>
  </si>
  <si>
    <t>Net Working Capital</t>
  </si>
  <si>
    <t xml:space="preserve">Change in Net Working Capital </t>
  </si>
  <si>
    <t xml:space="preserve">Net PP&amp;E </t>
  </si>
  <si>
    <t xml:space="preserve">Change in PP&amp;E </t>
  </si>
  <si>
    <t xml:space="preserve">Capital Expenditures </t>
  </si>
  <si>
    <t xml:space="preserve">EBIT (1 - Tax Rate) </t>
  </si>
  <si>
    <t xml:space="preserve">Plus Depreciation </t>
  </si>
  <si>
    <t xml:space="preserve">Less Capital Expenditures </t>
  </si>
  <si>
    <t xml:space="preserve">Less Change in NWC </t>
  </si>
  <si>
    <t xml:space="preserve">Free Cash Flow in ($000,000's) </t>
  </si>
  <si>
    <t xml:space="preserve">FCF Calc: </t>
  </si>
  <si>
    <t xml:space="preserve">Total equity shows a sharp jump in early years because the firm accumulated a large amount of retained earnings and then shows steady growth as profits continue to be reinvested every year. Cash has a spike in 2021 as profitability increases, and declines as excess cash is used to repay debt and fund growth. Total debt falls sharply as excess cash is used to repay borrowings, and gradually increases as UPS takes on new debt to support growth in the future. </t>
  </si>
  <si>
    <t xml:space="preserve">Operating margin spikes duing a recovery period post-covid and stabilizes for projected constant future growth. The net profit margin follows the recovery trend. ROE drops because the early years are based on market value of equity while later years are based on book value. Debt-to-equity shows a sharp jump because the market equity is much higher than the book value on the balance sheet. Interest coverage drops as UPS repays debt and reduces interest expense. The drop in payout ratio is from high dividends in early years vs. the stable long term dividend projection. </t>
  </si>
  <si>
    <t>Valuation and the Second Driver: ROIC</t>
  </si>
  <si>
    <t>Workshop 7</t>
  </si>
  <si>
    <t>UPS</t>
  </si>
  <si>
    <t>1- Tax Rate</t>
  </si>
  <si>
    <t>NOPLAT</t>
  </si>
  <si>
    <t>PP&amp;E</t>
  </si>
  <si>
    <t>Working Capital</t>
  </si>
  <si>
    <t>Less Cash</t>
  </si>
  <si>
    <t>Invested Capital</t>
  </si>
  <si>
    <t>ROIC</t>
  </si>
  <si>
    <t>Average Historic ROIC</t>
  </si>
  <si>
    <t>Noirmalized UPS ROIC</t>
  </si>
  <si>
    <t>Company</t>
  </si>
  <si>
    <t>Industry Average ROIC</t>
  </si>
  <si>
    <t>Forecasted long-term ROIC from Exhibits 4.6 and 4.8</t>
  </si>
  <si>
    <t>Forecasted long-term ROIC from average of UPS and in dustry historic ROIC</t>
  </si>
  <si>
    <t>UPS's Estimated Long-Term ROIC</t>
  </si>
  <si>
    <t>DCF Method</t>
  </si>
  <si>
    <t>WACC (WS6)</t>
  </si>
  <si>
    <t>Long-Term Growth Rate (g2)(WS4)</t>
  </si>
  <si>
    <t>FCF (in $000,000's)</t>
  </si>
  <si>
    <t>Terminal Value</t>
  </si>
  <si>
    <t>PV (FCFs)</t>
  </si>
  <si>
    <t>PV (terminal Value)</t>
  </si>
  <si>
    <t>Total PV of FCFs</t>
  </si>
  <si>
    <t>PV (Terminal Value)</t>
  </si>
  <si>
    <t>Enterprise Value</t>
  </si>
  <si>
    <t>EV w/ Mid-Year Correction</t>
  </si>
  <si>
    <t>Plus: Cash</t>
  </si>
  <si>
    <t>b(iv)</t>
  </si>
  <si>
    <t>Less: Total Debt</t>
  </si>
  <si>
    <t>b(v)</t>
  </si>
  <si>
    <t>Market Value of Equity</t>
  </si>
  <si>
    <t>Shares Outstanding</t>
  </si>
  <si>
    <t>b(vi)</t>
  </si>
  <si>
    <t>Share Price</t>
  </si>
  <si>
    <t>FTE Method (For Financial Company)</t>
  </si>
  <si>
    <t>R(e ) (WS6)</t>
  </si>
  <si>
    <t>Tax Rate (WS6)</t>
  </si>
  <si>
    <t>Current Debt (WS5)</t>
  </si>
  <si>
    <t>LT Debt &amp; Leases (WS5)</t>
  </si>
  <si>
    <t>Total Debt</t>
  </si>
  <si>
    <t>Net Borrowing</t>
  </si>
  <si>
    <t>FCFE (Free CF to Equity)</t>
  </si>
  <si>
    <t>Discounted by R(e )</t>
  </si>
  <si>
    <t>PV (Total FCFs)</t>
  </si>
  <si>
    <t>Total Equity Value</t>
  </si>
  <si>
    <t>Total Equity Value w/ MYA</t>
  </si>
  <si>
    <t>APV Method</t>
  </si>
  <si>
    <t>R(u ) (WS6)</t>
  </si>
  <si>
    <t>Cost of Debt (WS6)</t>
  </si>
  <si>
    <t>FCF (in $000,000's)(WS5)</t>
  </si>
  <si>
    <t>Discounted by R(u )</t>
  </si>
  <si>
    <t>Total Unlevered Value</t>
  </si>
  <si>
    <t>Interest Tax Shield</t>
  </si>
  <si>
    <t>ITS Discounted by R(u )</t>
  </si>
  <si>
    <t>Terminal Value of ITS</t>
  </si>
  <si>
    <t>PV (Terminal Val. Of ITS)</t>
  </si>
  <si>
    <t>PV( ITS)</t>
  </si>
  <si>
    <t>APV of UPS</t>
  </si>
  <si>
    <t>APV w/ Mid-Yr Adjustment</t>
  </si>
  <si>
    <t>Less: Debt</t>
  </si>
  <si>
    <t>FCF 2029</t>
  </si>
  <si>
    <t>WACC</t>
  </si>
  <si>
    <t>LT Growth Rate (g2)</t>
  </si>
  <si>
    <t>FCF 2030</t>
  </si>
  <si>
    <t>Continuing Value</t>
  </si>
  <si>
    <t>EBIT in 2030</t>
  </si>
  <si>
    <t>(1-Tax Rate)</t>
  </si>
  <si>
    <t>NOPLAT in 2030</t>
  </si>
  <si>
    <t>Expected Growth Rate</t>
  </si>
  <si>
    <t>RONIC</t>
  </si>
  <si>
    <t>EV/ EBITDA Multiple (WS3)</t>
  </si>
  <si>
    <t>EBITDA 2029</t>
  </si>
  <si>
    <t>EV 2029= Continuing Value</t>
  </si>
  <si>
    <t>Comparison of Est. CVs</t>
  </si>
  <si>
    <t xml:space="preserve">Reference Section: </t>
  </si>
  <si>
    <t>4.a</t>
  </si>
  <si>
    <t>4.b</t>
  </si>
  <si>
    <t>4.c</t>
  </si>
  <si>
    <t>CV from Pt.2 (DCF)</t>
  </si>
  <si>
    <t>CV from Pt. 3 (APV)</t>
  </si>
  <si>
    <t>DCF method:</t>
  </si>
  <si>
    <t>PV(CV) using WACC</t>
  </si>
  <si>
    <t>N/A</t>
  </si>
  <si>
    <t>PV(FCF's)</t>
  </si>
  <si>
    <t>EV</t>
  </si>
  <si>
    <t>APV method:</t>
  </si>
  <si>
    <t>PV(CV) using R(u)</t>
  </si>
  <si>
    <t>PV (FCF's)</t>
  </si>
  <si>
    <t>PV (ITS)</t>
  </si>
  <si>
    <t>Sensitivity Analysis and Comparison of Valuation Models</t>
  </si>
  <si>
    <t>Workshop 8</t>
  </si>
  <si>
    <t xml:space="preserve">1b </t>
  </si>
  <si>
    <t>1a</t>
  </si>
  <si>
    <t>i</t>
  </si>
  <si>
    <t>I, ii</t>
  </si>
  <si>
    <t>iii</t>
  </si>
  <si>
    <t>1c</t>
  </si>
  <si>
    <t xml:space="preserve">Share Price </t>
  </si>
  <si>
    <t xml:space="preserve">Market Cap </t>
  </si>
  <si>
    <t xml:space="preserve">Error Margin </t>
  </si>
  <si>
    <t xml:space="preserve">DCF </t>
  </si>
  <si>
    <t>APV</t>
  </si>
  <si>
    <t xml:space="preserve">Current Market Value </t>
  </si>
  <si>
    <t xml:space="preserve">Firm Value (Average of APV and DCF Value) </t>
  </si>
  <si>
    <t>Corresponding Average Share Price</t>
  </si>
  <si>
    <t xml:space="preserve">% Difference </t>
  </si>
  <si>
    <t>2a</t>
  </si>
  <si>
    <t xml:space="preserve">Driver </t>
  </si>
  <si>
    <t>% Change</t>
  </si>
  <si>
    <t xml:space="preserve">Value Original </t>
  </si>
  <si>
    <t xml:space="preserve">Value After </t>
  </si>
  <si>
    <t xml:space="preserve">Impact on Original Value </t>
  </si>
  <si>
    <t>Sensitivity Analysis:</t>
  </si>
  <si>
    <t>Risk-Free Rate</t>
  </si>
  <si>
    <t xml:space="preserve">Growth Rate (g2) </t>
  </si>
  <si>
    <t xml:space="preserve">1% increase </t>
  </si>
  <si>
    <t>I,ii</t>
  </si>
  <si>
    <t>Growth rate has the biggest impact on UPS.</t>
  </si>
  <si>
    <t xml:space="preserve">2b </t>
  </si>
  <si>
    <t xml:space="preserve">Risk-free Rate </t>
  </si>
  <si>
    <t xml:space="preserve">Firm Value </t>
  </si>
  <si>
    <t>F133+F135</t>
  </si>
  <si>
    <t>Cost of Debt</t>
  </si>
  <si>
    <t>Growth Rate</t>
  </si>
  <si>
    <t xml:space="preserve">Most of my core ratios for both UPS and FedEx including P/E, EV/EBITDA, operating margin, net profit margin, ROE, and the current ratio, are very close to the values reported in FactSet indicating that my basic calculations for each company are reasonable. However, for both UPS and FedEx my expected EPS growth, PEG ratio, debt‑to‑equity, interest coverage, and payout ratio differ more noticeably from the database figures, largely because those services use adjusted earnings, including additional forms of debt such as lease liabilities, and rely on forward or trailing‑12‑month data rather than the single fiscal‑year GAAP numbers I applied in my spreadsheet.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</si>
</sst>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8" formatCode="&quot;$&quot;#,##0.00_);[Red]\(&quot;$&quot;#,##0.00\)"/>
    <numFmt numFmtId="44" formatCode="_(&quot;$&quot;* #,##0.00_);_(&quot;$&quot;* \(#,##0.00\);_(&quot;$&quot;* &quot;-&quot;??_);_(@_)"/>
    <numFmt numFmtId="43" formatCode="_(* #,##0.00_);_(* \(#,##0.00\);_(* &quot;-&quot;??_);_(@_)"/>
    <numFmt numFmtId="164" formatCode="_([$$-409]* #,##0.00_);_([$$-409]* \(#,##0.00\);_([$$-409]* &quot;-&quot;??_);_(@_)"/>
    <numFmt numFmtId="165" formatCode="#,##0.0000"/>
    <numFmt numFmtId="166" formatCode="0.0000"/>
    <numFmt numFmtId="167" formatCode="mm/dd/yy"/>
    <numFmt numFmtId="168" formatCode="0.0"/>
    <numFmt numFmtId="169" formatCode="&quot;$&quot;#,##0.00"/>
    <numFmt numFmtId="170" formatCode="_(* #,##0.0_);_(* \(#,##0.0\)_)\ ;_(* 0_)"/>
    <numFmt numFmtId="171" formatCode="0.0%"/>
    <numFmt numFmtId="172" formatCode="0.000000"/>
    <numFmt numFmtId="173" formatCode="0.000%"/>
    <numFmt numFmtId="174" formatCode="0.0000%"/>
    <numFmt numFmtId="175" formatCode="_(&quot;$&quot;* #,##0_);_(&quot;$&quot;* \(#,##0\);_(&quot;$&quot;* &quot;-&quot;??_);_(@_)"/>
  </numFmts>
  <fonts count="47">
    <font>
      <sz val="12"/>
      <color theme="1"/>
      <name val="Aptos Narrow"/>
      <family val="2"/>
      <scheme val="minor"/>
    </font>
    <font>
      <sz val="12"/>
      <color rgb="FF000000"/>
      <name val="Aptos Narrow"/>
      <scheme val="minor"/>
    </font>
    <font>
      <b/>
      <sz val="12"/>
      <color theme="1"/>
      <name val="Aptos Narrow"/>
      <scheme val="minor"/>
    </font>
    <font>
      <sz val="12"/>
      <color theme="1"/>
      <name val="Aptos Narrow"/>
      <family val="2"/>
      <scheme val="minor"/>
    </font>
    <font>
      <b/>
      <u/>
      <sz val="18"/>
      <color theme="1"/>
      <name val="Aptos Narrow (Body)"/>
    </font>
    <font>
      <sz val="12"/>
      <color theme="1"/>
      <name val="Aptos Narrow"/>
      <scheme val="minor"/>
    </font>
    <font>
      <sz val="12"/>
      <color rgb="FF001D35"/>
      <name val="Aptos Narrow"/>
      <scheme val="minor"/>
    </font>
    <font>
      <b/>
      <sz val="12"/>
      <color rgb="FF000000"/>
      <name val="Aptos Narrow"/>
      <scheme val="minor"/>
    </font>
    <font>
      <b/>
      <sz val="10"/>
      <color rgb="FF003366"/>
      <name val="Arial"/>
      <family val="2"/>
    </font>
    <font>
      <b/>
      <sz val="10"/>
      <color theme="1"/>
      <name val="Arial"/>
      <family val="2"/>
    </font>
    <font>
      <b/>
      <sz val="16"/>
      <color theme="1"/>
      <name val="Aptos Narrow"/>
      <scheme val="minor"/>
    </font>
    <font>
      <sz val="10"/>
      <color theme="1"/>
      <name val="Arial"/>
      <family val="2"/>
    </font>
    <font>
      <b/>
      <u/>
      <sz val="12"/>
      <color theme="1"/>
      <name val="Aptos Narrow"/>
      <scheme val="minor"/>
    </font>
    <font>
      <b/>
      <u/>
      <sz val="12"/>
      <color rgb="FF000000"/>
      <name val="Aptos Narrow"/>
      <scheme val="minor"/>
    </font>
    <font>
      <b/>
      <sz val="12"/>
      <color rgb="FF003366"/>
      <name val="Aptos Narrow"/>
      <scheme val="minor"/>
    </font>
    <font>
      <b/>
      <u/>
      <sz val="12"/>
      <color rgb="FFFF0000"/>
      <name val="Aptos Narrow"/>
      <scheme val="minor"/>
    </font>
    <font>
      <b/>
      <u/>
      <sz val="12"/>
      <color rgb="FF242424"/>
      <name val="Aptos Narrow"/>
      <scheme val="minor"/>
    </font>
    <font>
      <b/>
      <sz val="12"/>
      <color rgb="FF242424"/>
      <name val="Aptos Narrow"/>
      <scheme val="minor"/>
    </font>
    <font>
      <sz val="12"/>
      <color rgb="FFFF0000"/>
      <name val="Aptos Narrow"/>
      <scheme val="minor"/>
    </font>
    <font>
      <b/>
      <u/>
      <sz val="18"/>
      <color theme="1"/>
      <name val="Aptos Narrow"/>
      <scheme val="minor"/>
    </font>
    <font>
      <b/>
      <u/>
      <sz val="10"/>
      <color rgb="FF000000"/>
      <name val="Arial"/>
      <family val="2"/>
      <charset val="1"/>
    </font>
    <font>
      <sz val="10"/>
      <color rgb="FF000000"/>
      <name val="Calibri"/>
      <family val="2"/>
      <charset val="1"/>
    </font>
    <font>
      <sz val="10"/>
      <color rgb="FF000000"/>
      <name val="Arial"/>
      <family val="2"/>
      <charset val="1"/>
    </font>
    <font>
      <b/>
      <sz val="12"/>
      <color theme="1"/>
      <name val="Aptos Narrow"/>
      <family val="2"/>
      <scheme val="minor"/>
    </font>
    <font>
      <b/>
      <sz val="10"/>
      <color rgb="FF000000"/>
      <name val="Calibri"/>
      <family val="2"/>
      <charset val="1"/>
    </font>
    <font>
      <sz val="10"/>
      <name val="Arial"/>
      <family val="2"/>
      <charset val="1"/>
    </font>
    <font>
      <sz val="8"/>
      <color indexed="8"/>
      <name val="Arial"/>
      <family val="2"/>
    </font>
    <font>
      <sz val="10"/>
      <color indexed="8"/>
      <name val="Arial"/>
      <family val="2"/>
    </font>
    <font>
      <sz val="10"/>
      <color theme="1"/>
      <name val="Aptos Narrow"/>
      <family val="2"/>
      <scheme val="minor"/>
    </font>
    <font>
      <b/>
      <u val="singleAccounting"/>
      <sz val="8"/>
      <color indexed="8"/>
      <name val="Arial"/>
      <family val="2"/>
    </font>
    <font>
      <sz val="10"/>
      <name val="Arial"/>
      <family val="2"/>
    </font>
    <font>
      <sz val="8"/>
      <name val="Aptos Narrow"/>
      <family val="2"/>
      <scheme val="minor"/>
    </font>
    <font>
      <i/>
      <sz val="12"/>
      <color theme="1"/>
      <name val="Aptos Narrow"/>
      <family val="2"/>
      <scheme val="minor"/>
    </font>
    <font>
      <sz val="12"/>
      <color rgb="FF1B1B1B"/>
      <name val="Aptos Narrow"/>
      <scheme val="minor"/>
    </font>
    <font>
      <b/>
      <u/>
      <sz val="12"/>
      <color theme="1"/>
      <name val="Aptos Narrow (Body)"/>
    </font>
    <font>
      <b/>
      <sz val="12"/>
      <color rgb="FF005EA2"/>
      <name val="Aptos Narrow"/>
      <scheme val="minor"/>
    </font>
    <font>
      <b/>
      <sz val="12"/>
      <color rgb="FFFF0000"/>
      <name val="Aptos Narrow"/>
      <scheme val="minor"/>
    </font>
    <font>
      <b/>
      <sz val="12"/>
      <color rgb="FF00B050"/>
      <name val="Aptos Narrow"/>
      <scheme val="minor"/>
    </font>
    <font>
      <i/>
      <sz val="12"/>
      <color theme="1"/>
      <name val="Aptos Narrow"/>
      <scheme val="minor"/>
    </font>
    <font>
      <sz val="12"/>
      <name val="Aptos Narrow"/>
      <scheme val="minor"/>
    </font>
    <font>
      <sz val="10"/>
      <color rgb="FF000000"/>
      <name val="Arial"/>
      <family val="2"/>
    </font>
    <font>
      <sz val="12"/>
      <color rgb="FF000000"/>
      <name val="Aptos Narrow"/>
      <family val="2"/>
      <scheme val="minor"/>
    </font>
    <font>
      <b/>
      <u/>
      <sz val="12"/>
      <color theme="1"/>
      <name val="Aptos Narrow"/>
      <family val="2"/>
      <scheme val="minor"/>
    </font>
    <font>
      <b/>
      <sz val="20"/>
      <color theme="1"/>
      <name val="Aptos Narrow"/>
      <family val="2"/>
      <scheme val="minor"/>
    </font>
    <font>
      <b/>
      <sz val="36"/>
      <color theme="1"/>
      <name val="Aptos Narrow"/>
      <family val="2"/>
      <scheme val="minor"/>
    </font>
    <font>
      <b/>
      <sz val="48"/>
      <color theme="1"/>
      <name val="Aptos Narrow"/>
      <family val="2"/>
      <scheme val="minor"/>
    </font>
    <font>
      <b/>
      <sz val="30"/>
      <color theme="1"/>
      <name val="Aptos Narrow"/>
      <family val="2"/>
      <scheme val="minor"/>
    </font>
  </fonts>
  <fills count="16">
    <fill>
      <patternFill patternType="none"/>
    </fill>
    <fill>
      <patternFill patternType="gray125"/>
    </fill>
    <fill>
      <patternFill patternType="solid">
        <fgColor rgb="FFFFFF00"/>
        <bgColor indexed="64"/>
      </patternFill>
    </fill>
    <fill>
      <patternFill patternType="solid">
        <fgColor rgb="FFC8C8C8"/>
        <bgColor indexed="64"/>
      </patternFill>
    </fill>
    <fill>
      <patternFill patternType="solid">
        <fgColor rgb="FFF0F0F0"/>
        <bgColor indexed="64"/>
      </patternFill>
    </fill>
    <fill>
      <patternFill patternType="solid">
        <fgColor indexed="60"/>
        <bgColor indexed="64"/>
      </patternFill>
    </fill>
    <fill>
      <patternFill patternType="solid">
        <fgColor theme="2"/>
        <bgColor indexed="64"/>
      </patternFill>
    </fill>
    <fill>
      <patternFill patternType="solid">
        <fgColor theme="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79998168889431442"/>
        <bgColor indexed="64"/>
      </patternFill>
    </fill>
  </fills>
  <borders count="5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diagonal/>
    </border>
  </borders>
  <cellStyleXfs count="6">
    <xf numFmtId="0" fontId="0" fillId="0" borderId="0"/>
    <xf numFmtId="44" fontId="3"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26" fillId="0" borderId="0" applyAlignment="0"/>
    <xf numFmtId="0" fontId="29" fillId="5" borderId="0" applyAlignment="0"/>
  </cellStyleXfs>
  <cellXfs count="677">
    <xf numFmtId="0" fontId="0" fillId="0" borderId="0" xfId="0"/>
    <xf numFmtId="0" fontId="0" fillId="0" borderId="0" xfId="0" applyAlignment="1">
      <alignment wrapText="1"/>
    </xf>
    <xf numFmtId="3" fontId="0" fillId="0" borderId="0" xfId="0" applyNumberFormat="1"/>
    <xf numFmtId="3" fontId="1" fillId="0" borderId="0" xfId="0" applyNumberFormat="1" applyFont="1"/>
    <xf numFmtId="0" fontId="4" fillId="0" borderId="0" xfId="0" applyFont="1"/>
    <xf numFmtId="0" fontId="2" fillId="0" borderId="0" xfId="0" applyFont="1"/>
    <xf numFmtId="0" fontId="0" fillId="0" borderId="0" xfId="0" applyAlignment="1">
      <alignment horizontal="left" wrapText="1"/>
    </xf>
    <xf numFmtId="0" fontId="6" fillId="0" borderId="0" xfId="0" applyFont="1"/>
    <xf numFmtId="0" fontId="2" fillId="0" borderId="0" xfId="0" applyFont="1" applyAlignment="1">
      <alignment horizontal="left" indent="2"/>
    </xf>
    <xf numFmtId="0" fontId="2" fillId="0" borderId="0" xfId="0" applyFont="1" applyAlignment="1">
      <alignment horizontal="left"/>
    </xf>
    <xf numFmtId="3" fontId="2" fillId="0" borderId="0" xfId="0" applyNumberFormat="1" applyFont="1"/>
    <xf numFmtId="0" fontId="2" fillId="2" borderId="1" xfId="0" applyFont="1" applyFill="1" applyBorder="1"/>
    <xf numFmtId="0" fontId="7" fillId="0" borderId="0" xfId="0" applyFont="1"/>
    <xf numFmtId="0" fontId="1" fillId="0" borderId="0" xfId="0" applyFont="1"/>
    <xf numFmtId="0" fontId="9" fillId="3" borderId="0" xfId="0" applyFont="1" applyFill="1" applyAlignment="1">
      <alignment horizontal="left"/>
    </xf>
    <xf numFmtId="167" fontId="0" fillId="4" borderId="0" xfId="0" applyNumberFormat="1" applyFill="1"/>
    <xf numFmtId="4" fontId="0" fillId="4" borderId="0" xfId="0" applyNumberFormat="1" applyFill="1" applyAlignment="1">
      <alignment horizontal="right"/>
    </xf>
    <xf numFmtId="167" fontId="0" fillId="0" borderId="0" xfId="0" applyNumberFormat="1"/>
    <xf numFmtId="4" fontId="0" fillId="0" borderId="0" xfId="0" applyNumberFormat="1" applyAlignment="1">
      <alignment horizontal="right"/>
    </xf>
    <xf numFmtId="0" fontId="10" fillId="0" borderId="0" xfId="0" applyFont="1" applyAlignment="1">
      <alignment horizontal="center"/>
    </xf>
    <xf numFmtId="0" fontId="9" fillId="0" borderId="0" xfId="0" applyFont="1" applyAlignment="1">
      <alignment horizontal="left"/>
    </xf>
    <xf numFmtId="0" fontId="9" fillId="0" borderId="0" xfId="0" applyFont="1"/>
    <xf numFmtId="0" fontId="9" fillId="0" borderId="9" xfId="0" applyFont="1" applyBorder="1"/>
    <xf numFmtId="0" fontId="11" fillId="0" borderId="10" xfId="0" applyFont="1" applyBorder="1"/>
    <xf numFmtId="0" fontId="0" fillId="0" borderId="10" xfId="0" applyBorder="1"/>
    <xf numFmtId="0" fontId="9" fillId="0" borderId="1" xfId="0" applyFont="1" applyBorder="1" applyAlignment="1">
      <alignment horizontal="left"/>
    </xf>
    <xf numFmtId="0" fontId="9" fillId="0" borderId="2" xfId="0" applyFont="1" applyBorder="1" applyAlignment="1">
      <alignment horizontal="left"/>
    </xf>
    <xf numFmtId="0" fontId="9" fillId="0" borderId="3" xfId="0" applyFont="1" applyBorder="1" applyAlignment="1">
      <alignment horizontal="left"/>
    </xf>
    <xf numFmtId="3" fontId="11" fillId="0" borderId="12" xfId="0" applyNumberFormat="1" applyFont="1" applyBorder="1" applyAlignment="1">
      <alignment horizontal="right"/>
    </xf>
    <xf numFmtId="3" fontId="11" fillId="0" borderId="13" xfId="0" applyNumberFormat="1" applyFont="1" applyBorder="1" applyAlignment="1">
      <alignment horizontal="right"/>
    </xf>
    <xf numFmtId="3" fontId="11" fillId="0" borderId="14" xfId="0" applyNumberFormat="1" applyFont="1" applyBorder="1" applyAlignment="1">
      <alignment horizontal="right"/>
    </xf>
    <xf numFmtId="3" fontId="11" fillId="0" borderId="15" xfId="0" applyNumberFormat="1" applyFont="1" applyBorder="1" applyAlignment="1">
      <alignment horizontal="right"/>
    </xf>
    <xf numFmtId="3" fontId="11" fillId="0" borderId="0" xfId="0" applyNumberFormat="1" applyFont="1" applyAlignment="1">
      <alignment horizontal="right"/>
    </xf>
    <xf numFmtId="3" fontId="11" fillId="0" borderId="16" xfId="0" applyNumberFormat="1" applyFont="1" applyBorder="1" applyAlignment="1">
      <alignment horizontal="right"/>
    </xf>
    <xf numFmtId="3" fontId="0" fillId="0" borderId="15" xfId="0" applyNumberFormat="1" applyBorder="1" applyAlignment="1">
      <alignment horizontal="right"/>
    </xf>
    <xf numFmtId="3" fontId="0" fillId="0" borderId="0" xfId="0" applyNumberFormat="1" applyAlignment="1">
      <alignment horizontal="right"/>
    </xf>
    <xf numFmtId="3" fontId="0" fillId="0" borderId="16" xfId="0" applyNumberFormat="1" applyBorder="1" applyAlignment="1">
      <alignment horizontal="right"/>
    </xf>
    <xf numFmtId="0" fontId="11" fillId="0" borderId="0" xfId="0" applyFont="1" applyAlignment="1">
      <alignment horizontal="left"/>
    </xf>
    <xf numFmtId="0" fontId="11" fillId="0" borderId="16" xfId="0" applyFont="1" applyBorder="1" applyAlignment="1">
      <alignment horizontal="left"/>
    </xf>
    <xf numFmtId="0" fontId="0" fillId="0" borderId="0" xfId="0" applyAlignment="1">
      <alignment horizontal="left"/>
    </xf>
    <xf numFmtId="0" fontId="2" fillId="0" borderId="10" xfId="0" applyFont="1" applyBorder="1"/>
    <xf numFmtId="0" fontId="0" fillId="0" borderId="11" xfId="0" applyBorder="1"/>
    <xf numFmtId="0" fontId="0" fillId="0" borderId="15" xfId="0" applyBorder="1" applyAlignment="1">
      <alignment horizontal="left"/>
    </xf>
    <xf numFmtId="0" fontId="0" fillId="0" borderId="16" xfId="0" applyBorder="1" applyAlignment="1">
      <alignment horizontal="left"/>
    </xf>
    <xf numFmtId="0" fontId="11" fillId="0" borderId="15" xfId="0" applyFont="1" applyBorder="1" applyAlignment="1">
      <alignment horizontal="left"/>
    </xf>
    <xf numFmtId="3" fontId="0" fillId="0" borderId="17" xfId="0" applyNumberFormat="1" applyBorder="1" applyAlignment="1">
      <alignment horizontal="right"/>
    </xf>
    <xf numFmtId="3" fontId="0" fillId="0" borderId="18" xfId="0" applyNumberFormat="1" applyBorder="1" applyAlignment="1">
      <alignment horizontal="right"/>
    </xf>
    <xf numFmtId="3" fontId="0" fillId="0" borderId="19" xfId="0" applyNumberFormat="1" applyBorder="1" applyAlignment="1">
      <alignment horizontal="right"/>
    </xf>
    <xf numFmtId="14" fontId="2" fillId="0" borderId="0" xfId="0" applyNumberFormat="1" applyFont="1"/>
    <xf numFmtId="0" fontId="2" fillId="0" borderId="15" xfId="0" applyFont="1" applyBorder="1"/>
    <xf numFmtId="0" fontId="9" fillId="0" borderId="12" xfId="0" applyFont="1" applyBorder="1" applyAlignment="1">
      <alignment horizontal="left"/>
    </xf>
    <xf numFmtId="0" fontId="9" fillId="0" borderId="13" xfId="0" applyFont="1" applyBorder="1" applyAlignment="1">
      <alignment horizontal="left"/>
    </xf>
    <xf numFmtId="14" fontId="13" fillId="0" borderId="0" xfId="0" applyNumberFormat="1" applyFont="1"/>
    <xf numFmtId="0" fontId="1" fillId="0" borderId="1" xfId="0" applyFont="1" applyBorder="1"/>
    <xf numFmtId="0" fontId="8" fillId="0" borderId="0" xfId="0" applyFont="1" applyAlignment="1">
      <alignment horizontal="left"/>
    </xf>
    <xf numFmtId="4" fontId="8" fillId="0" borderId="0" xfId="0" applyNumberFormat="1" applyFont="1" applyAlignment="1">
      <alignment horizontal="right"/>
    </xf>
    <xf numFmtId="3" fontId="8" fillId="0" borderId="0" xfId="0" applyNumberFormat="1" applyFont="1" applyAlignment="1">
      <alignment horizontal="right"/>
    </xf>
    <xf numFmtId="0" fontId="9" fillId="0" borderId="10" xfId="0" applyFont="1" applyBorder="1"/>
    <xf numFmtId="4" fontId="0" fillId="0" borderId="15" xfId="0" applyNumberFormat="1" applyBorder="1" applyAlignment="1">
      <alignment horizontal="right"/>
    </xf>
    <xf numFmtId="4" fontId="0" fillId="0" borderId="16" xfId="0" applyNumberFormat="1" applyBorder="1" applyAlignment="1">
      <alignment horizontal="right"/>
    </xf>
    <xf numFmtId="4" fontId="11" fillId="0" borderId="15" xfId="0" applyNumberFormat="1" applyFont="1" applyBorder="1" applyAlignment="1">
      <alignment horizontal="right"/>
    </xf>
    <xf numFmtId="4" fontId="11" fillId="0" borderId="0" xfId="0" applyNumberFormat="1" applyFont="1" applyAlignment="1">
      <alignment horizontal="right"/>
    </xf>
    <xf numFmtId="4" fontId="11" fillId="0" borderId="16" xfId="0" applyNumberFormat="1" applyFont="1" applyBorder="1" applyAlignment="1">
      <alignment horizontal="right"/>
    </xf>
    <xf numFmtId="0" fontId="5" fillId="0" borderId="0" xfId="0" applyFont="1"/>
    <xf numFmtId="4" fontId="5" fillId="0" borderId="14" xfId="0" applyNumberFormat="1" applyFont="1" applyBorder="1"/>
    <xf numFmtId="0" fontId="5" fillId="0" borderId="16" xfId="0" applyFont="1" applyBorder="1"/>
    <xf numFmtId="10" fontId="1" fillId="2" borderId="19" xfId="3" applyNumberFormat="1" applyFont="1" applyFill="1" applyBorder="1"/>
    <xf numFmtId="0" fontId="15" fillId="0" borderId="9" xfId="0" applyFont="1" applyBorder="1"/>
    <xf numFmtId="0" fontId="7" fillId="0" borderId="17" xfId="0" applyFont="1" applyBorder="1" applyAlignment="1">
      <alignment horizontal="right"/>
    </xf>
    <xf numFmtId="0" fontId="7" fillId="0" borderId="15" xfId="0" applyFont="1" applyBorder="1" applyAlignment="1">
      <alignment horizontal="right"/>
    </xf>
    <xf numFmtId="0" fontId="15" fillId="0" borderId="15" xfId="0" applyFont="1" applyBorder="1"/>
    <xf numFmtId="0" fontId="7" fillId="0" borderId="0" xfId="0" applyFont="1" applyAlignment="1">
      <alignment horizontal="right"/>
    </xf>
    <xf numFmtId="0" fontId="12" fillId="0" borderId="9" xfId="0" applyFont="1" applyBorder="1"/>
    <xf numFmtId="0" fontId="7" fillId="0" borderId="10" xfId="0" applyFont="1" applyBorder="1" applyAlignment="1">
      <alignment horizontal="right"/>
    </xf>
    <xf numFmtId="0" fontId="7" fillId="0" borderId="11" xfId="0" applyFont="1" applyBorder="1" applyAlignment="1">
      <alignment horizontal="right"/>
    </xf>
    <xf numFmtId="0" fontId="15" fillId="0" borderId="12" xfId="0" applyFont="1" applyBorder="1"/>
    <xf numFmtId="0" fontId="1" fillId="0" borderId="15" xfId="0" applyFont="1" applyBorder="1" applyAlignment="1">
      <alignment horizontal="left"/>
    </xf>
    <xf numFmtId="0" fontId="7" fillId="0" borderId="16" xfId="0" applyFont="1" applyBorder="1" applyAlignment="1">
      <alignment horizontal="right"/>
    </xf>
    <xf numFmtId="0" fontId="7" fillId="0" borderId="19" xfId="0" applyFont="1" applyBorder="1" applyAlignment="1">
      <alignment horizontal="right"/>
    </xf>
    <xf numFmtId="3" fontId="5" fillId="0" borderId="0" xfId="0" applyNumberFormat="1" applyFont="1"/>
    <xf numFmtId="4" fontId="5" fillId="0" borderId="0" xfId="0" applyNumberFormat="1" applyFont="1"/>
    <xf numFmtId="0" fontId="2" fillId="0" borderId="1" xfId="0" applyFont="1" applyBorder="1"/>
    <xf numFmtId="0" fontId="2" fillId="0" borderId="2" xfId="0" applyFont="1" applyBorder="1"/>
    <xf numFmtId="0" fontId="2" fillId="0" borderId="3" xfId="0" applyFont="1" applyBorder="1"/>
    <xf numFmtId="0" fontId="5" fillId="0" borderId="9" xfId="0" applyFont="1" applyBorder="1"/>
    <xf numFmtId="0" fontId="5" fillId="0" borderId="10" xfId="0" applyFont="1" applyBorder="1"/>
    <xf numFmtId="0" fontId="5" fillId="0" borderId="11" xfId="0" applyFont="1" applyBorder="1"/>
    <xf numFmtId="0" fontId="5" fillId="0" borderId="12" xfId="0" applyFont="1" applyBorder="1"/>
    <xf numFmtId="0" fontId="5" fillId="0" borderId="13" xfId="0" applyFont="1" applyBorder="1"/>
    <xf numFmtId="0" fontId="5" fillId="0" borderId="14" xfId="0" applyFont="1" applyBorder="1"/>
    <xf numFmtId="3" fontId="5" fillId="0" borderId="15" xfId="0" applyNumberFormat="1" applyFont="1" applyBorder="1"/>
    <xf numFmtId="3" fontId="5" fillId="0" borderId="16" xfId="0" applyNumberFormat="1" applyFont="1" applyBorder="1"/>
    <xf numFmtId="0" fontId="5" fillId="0" borderId="15" xfId="0" applyFont="1" applyBorder="1"/>
    <xf numFmtId="4" fontId="5" fillId="0" borderId="17" xfId="0" applyNumberFormat="1" applyFont="1" applyBorder="1"/>
    <xf numFmtId="4" fontId="5" fillId="0" borderId="18" xfId="0" applyNumberFormat="1" applyFont="1" applyBorder="1"/>
    <xf numFmtId="4" fontId="5" fillId="0" borderId="19" xfId="0" applyNumberFormat="1" applyFont="1" applyBorder="1"/>
    <xf numFmtId="0" fontId="7" fillId="0" borderId="5" xfId="0" applyFont="1" applyBorder="1" applyAlignment="1">
      <alignment horizontal="center"/>
    </xf>
    <xf numFmtId="0" fontId="2" fillId="0" borderId="5" xfId="0" applyFont="1" applyBorder="1" applyAlignment="1">
      <alignment horizontal="center"/>
    </xf>
    <xf numFmtId="0" fontId="7" fillId="0" borderId="5" xfId="0" applyFont="1" applyBorder="1" applyAlignment="1">
      <alignment horizontal="center" wrapText="1"/>
    </xf>
    <xf numFmtId="0" fontId="2" fillId="0" borderId="5" xfId="0" applyFont="1" applyBorder="1" applyAlignment="1">
      <alignment horizontal="center" wrapText="1"/>
    </xf>
    <xf numFmtId="3" fontId="2" fillId="0" borderId="15" xfId="0" applyNumberFormat="1" applyFont="1" applyBorder="1"/>
    <xf numFmtId="3" fontId="2" fillId="0" borderId="16" xfId="0" applyNumberFormat="1" applyFont="1" applyBorder="1"/>
    <xf numFmtId="0" fontId="2" fillId="2" borderId="5" xfId="0" applyFont="1" applyFill="1" applyBorder="1" applyAlignment="1">
      <alignment horizontal="center"/>
    </xf>
    <xf numFmtId="0" fontId="2" fillId="2" borderId="5" xfId="0" applyFont="1" applyFill="1" applyBorder="1" applyAlignment="1">
      <alignment horizontal="center" wrapText="1"/>
    </xf>
    <xf numFmtId="0" fontId="5" fillId="2" borderId="2" xfId="0" applyFont="1" applyFill="1" applyBorder="1"/>
    <xf numFmtId="44" fontId="5" fillId="2" borderId="3" xfId="1" applyFont="1" applyFill="1" applyBorder="1"/>
    <xf numFmtId="0" fontId="2" fillId="0" borderId="6" xfId="0" applyFont="1" applyBorder="1"/>
    <xf numFmtId="0" fontId="2" fillId="0" borderId="7" xfId="0" applyFont="1" applyBorder="1"/>
    <xf numFmtId="0" fontId="2" fillId="0" borderId="8" xfId="0" applyFont="1" applyBorder="1"/>
    <xf numFmtId="0" fontId="2" fillId="0" borderId="4" xfId="0" applyFont="1" applyBorder="1"/>
    <xf numFmtId="164" fontId="5" fillId="0" borderId="1" xfId="0" applyNumberFormat="1" applyFont="1" applyBorder="1" applyAlignment="1">
      <alignment horizontal="left"/>
    </xf>
    <xf numFmtId="164" fontId="5" fillId="0" borderId="2" xfId="0" applyNumberFormat="1" applyFont="1" applyBorder="1" applyAlignment="1">
      <alignment horizontal="left"/>
    </xf>
    <xf numFmtId="164" fontId="5" fillId="0" borderId="3" xfId="0" applyNumberFormat="1" applyFont="1" applyBorder="1" applyAlignment="1">
      <alignment horizontal="left"/>
    </xf>
    <xf numFmtId="0" fontId="16" fillId="0" borderId="0" xfId="0" applyFont="1"/>
    <xf numFmtId="14" fontId="2" fillId="0" borderId="12" xfId="0" applyNumberFormat="1" applyFont="1" applyBorder="1" applyAlignment="1">
      <alignment horizontal="left"/>
    </xf>
    <xf numFmtId="14" fontId="2" fillId="0" borderId="13" xfId="0" applyNumberFormat="1" applyFont="1" applyBorder="1" applyAlignment="1">
      <alignment horizontal="left"/>
    </xf>
    <xf numFmtId="14" fontId="2" fillId="0" borderId="14" xfId="0" applyNumberFormat="1" applyFont="1" applyBorder="1" applyAlignment="1">
      <alignment horizontal="left"/>
    </xf>
    <xf numFmtId="0" fontId="2" fillId="0" borderId="12" xfId="0" applyFont="1" applyBorder="1"/>
    <xf numFmtId="10" fontId="5" fillId="0" borderId="12" xfId="3" applyNumberFormat="1" applyFont="1" applyFill="1" applyBorder="1" applyAlignment="1">
      <alignment horizontal="right"/>
    </xf>
    <xf numFmtId="10" fontId="5" fillId="0" borderId="13" xfId="3" applyNumberFormat="1" applyFont="1" applyFill="1" applyBorder="1" applyAlignment="1">
      <alignment horizontal="right"/>
    </xf>
    <xf numFmtId="10" fontId="5" fillId="0" borderId="14" xfId="3" applyNumberFormat="1" applyFont="1" applyFill="1" applyBorder="1" applyAlignment="1">
      <alignment horizontal="right"/>
    </xf>
    <xf numFmtId="10" fontId="5" fillId="0" borderId="15" xfId="3" applyNumberFormat="1" applyFont="1" applyFill="1" applyBorder="1" applyAlignment="1">
      <alignment horizontal="right"/>
    </xf>
    <xf numFmtId="10" fontId="5" fillId="0" borderId="0" xfId="3" applyNumberFormat="1" applyFont="1" applyFill="1" applyBorder="1" applyAlignment="1">
      <alignment horizontal="right"/>
    </xf>
    <xf numFmtId="10" fontId="5" fillId="0" borderId="16" xfId="3" applyNumberFormat="1" applyFont="1" applyFill="1" applyBorder="1" applyAlignment="1">
      <alignment horizontal="right"/>
    </xf>
    <xf numFmtId="0" fontId="5" fillId="0" borderId="17" xfId="0" applyFont="1" applyBorder="1"/>
    <xf numFmtId="0" fontId="5" fillId="0" borderId="18" xfId="0" applyFont="1" applyBorder="1"/>
    <xf numFmtId="10" fontId="5" fillId="0" borderId="17" xfId="3" applyNumberFormat="1" applyFont="1" applyFill="1" applyBorder="1" applyAlignment="1">
      <alignment horizontal="right"/>
    </xf>
    <xf numFmtId="10" fontId="5" fillId="0" borderId="18" xfId="3" applyNumberFormat="1" applyFont="1" applyFill="1" applyBorder="1" applyAlignment="1">
      <alignment horizontal="right"/>
    </xf>
    <xf numFmtId="10" fontId="5" fillId="0" borderId="19" xfId="3" applyNumberFormat="1" applyFont="1" applyFill="1" applyBorder="1" applyAlignment="1">
      <alignment horizontal="right"/>
    </xf>
    <xf numFmtId="14" fontId="7" fillId="0" borderId="0" xfId="0" applyNumberFormat="1" applyFont="1"/>
    <xf numFmtId="14" fontId="1" fillId="0" borderId="0" xfId="0" applyNumberFormat="1" applyFont="1"/>
    <xf numFmtId="14" fontId="2" fillId="0" borderId="1" xfId="0" applyNumberFormat="1" applyFont="1" applyBorder="1" applyAlignment="1">
      <alignment horizontal="left"/>
    </xf>
    <xf numFmtId="14" fontId="2" fillId="0" borderId="2" xfId="0" applyNumberFormat="1" applyFont="1" applyBorder="1" applyAlignment="1">
      <alignment horizontal="left"/>
    </xf>
    <xf numFmtId="14" fontId="2" fillId="0" borderId="3" xfId="0" applyNumberFormat="1" applyFont="1" applyBorder="1" applyAlignment="1">
      <alignment horizontal="left"/>
    </xf>
    <xf numFmtId="0" fontId="7" fillId="0" borderId="12" xfId="0" applyFont="1" applyBorder="1"/>
    <xf numFmtId="0" fontId="7" fillId="0" borderId="13" xfId="0" applyFont="1" applyBorder="1"/>
    <xf numFmtId="0" fontId="7" fillId="0" borderId="14" xfId="0" applyFont="1" applyBorder="1"/>
    <xf numFmtId="10" fontId="1" fillId="0" borderId="12" xfId="3" applyNumberFormat="1" applyFont="1" applyFill="1" applyBorder="1"/>
    <xf numFmtId="10" fontId="1" fillId="0" borderId="13" xfId="3" applyNumberFormat="1" applyFont="1" applyFill="1" applyBorder="1"/>
    <xf numFmtId="10" fontId="1" fillId="0" borderId="14" xfId="3" applyNumberFormat="1" applyFont="1" applyFill="1" applyBorder="1"/>
    <xf numFmtId="10" fontId="1" fillId="0" borderId="15" xfId="3" applyNumberFormat="1" applyFont="1" applyFill="1" applyBorder="1"/>
    <xf numFmtId="10" fontId="1" fillId="0" borderId="0" xfId="3" applyNumberFormat="1" applyFont="1" applyFill="1" applyBorder="1"/>
    <xf numFmtId="10" fontId="1" fillId="0" borderId="16" xfId="3" applyNumberFormat="1" applyFont="1" applyFill="1" applyBorder="1"/>
    <xf numFmtId="10" fontId="1" fillId="0" borderId="15" xfId="3" applyNumberFormat="1" applyFont="1" applyFill="1" applyBorder="1" applyAlignment="1">
      <alignment horizontal="center"/>
    </xf>
    <xf numFmtId="10" fontId="1" fillId="0" borderId="0" xfId="3" applyNumberFormat="1" applyFont="1" applyFill="1" applyBorder="1" applyAlignment="1">
      <alignment horizontal="center"/>
    </xf>
    <xf numFmtId="10" fontId="1" fillId="0" borderId="16" xfId="3" applyNumberFormat="1" applyFont="1" applyFill="1" applyBorder="1" applyAlignment="1">
      <alignment horizontal="center"/>
    </xf>
    <xf numFmtId="10" fontId="1" fillId="0" borderId="17" xfId="3" applyNumberFormat="1" applyFont="1" applyFill="1" applyBorder="1"/>
    <xf numFmtId="10" fontId="1" fillId="0" borderId="18" xfId="3" applyNumberFormat="1" applyFont="1" applyFill="1" applyBorder="1"/>
    <xf numFmtId="10" fontId="1" fillId="0" borderId="19" xfId="3" applyNumberFormat="1" applyFont="1" applyFill="1" applyBorder="1"/>
    <xf numFmtId="0" fontId="7" fillId="0" borderId="1" xfId="0" applyFont="1" applyBorder="1"/>
    <xf numFmtId="0" fontId="7" fillId="0" borderId="2" xfId="0" applyFont="1" applyBorder="1"/>
    <xf numFmtId="0" fontId="7" fillId="0" borderId="3" xfId="0" applyFont="1" applyBorder="1"/>
    <xf numFmtId="0" fontId="1" fillId="0" borderId="13" xfId="0" applyFont="1" applyBorder="1"/>
    <xf numFmtId="0" fontId="1" fillId="0" borderId="14" xfId="0" applyFont="1" applyBorder="1"/>
    <xf numFmtId="0" fontId="1" fillId="0" borderId="16" xfId="0" applyFont="1" applyBorder="1"/>
    <xf numFmtId="0" fontId="7" fillId="0" borderId="16" xfId="0" applyFont="1" applyBorder="1"/>
    <xf numFmtId="14" fontId="7" fillId="0" borderId="16" xfId="0" applyNumberFormat="1" applyFont="1" applyBorder="1"/>
    <xf numFmtId="3" fontId="14" fillId="0" borderId="0" xfId="0" applyNumberFormat="1" applyFont="1"/>
    <xf numFmtId="3" fontId="14" fillId="0" borderId="16" xfId="0" applyNumberFormat="1" applyFont="1" applyBorder="1"/>
    <xf numFmtId="10" fontId="14" fillId="0" borderId="0" xfId="0" applyNumberFormat="1" applyFont="1"/>
    <xf numFmtId="10" fontId="14" fillId="0" borderId="16" xfId="0" applyNumberFormat="1" applyFont="1" applyBorder="1"/>
    <xf numFmtId="165" fontId="1" fillId="0" borderId="0" xfId="0" applyNumberFormat="1" applyFont="1"/>
    <xf numFmtId="165" fontId="1" fillId="0" borderId="16" xfId="0" applyNumberFormat="1" applyFont="1" applyBorder="1"/>
    <xf numFmtId="165" fontId="14" fillId="0" borderId="0" xfId="0" applyNumberFormat="1" applyFont="1"/>
    <xf numFmtId="165" fontId="14" fillId="0" borderId="16" xfId="0" applyNumberFormat="1" applyFont="1" applyBorder="1"/>
    <xf numFmtId="166" fontId="1" fillId="0" borderId="0" xfId="0" applyNumberFormat="1" applyFont="1"/>
    <xf numFmtId="166" fontId="1" fillId="0" borderId="16" xfId="0" applyNumberFormat="1" applyFont="1" applyBorder="1"/>
    <xf numFmtId="3" fontId="14" fillId="0" borderId="18" xfId="0" applyNumberFormat="1" applyFont="1" applyBorder="1"/>
    <xf numFmtId="3" fontId="14" fillId="0" borderId="19" xfId="0" applyNumberFormat="1" applyFont="1" applyBorder="1"/>
    <xf numFmtId="3" fontId="1" fillId="0" borderId="2" xfId="0" applyNumberFormat="1" applyFont="1" applyBorder="1"/>
    <xf numFmtId="3" fontId="1" fillId="0" borderId="3" xfId="0" applyNumberFormat="1" applyFont="1" applyBorder="1"/>
    <xf numFmtId="0" fontId="18" fillId="0" borderId="0" xfId="0" applyFont="1"/>
    <xf numFmtId="0" fontId="2" fillId="0" borderId="1" xfId="2" applyNumberFormat="1" applyFont="1" applyBorder="1"/>
    <xf numFmtId="0" fontId="2" fillId="0" borderId="2" xfId="2" applyNumberFormat="1" applyFont="1" applyBorder="1"/>
    <xf numFmtId="0" fontId="2" fillId="0" borderId="3" xfId="2" applyNumberFormat="1" applyFont="1" applyBorder="1"/>
    <xf numFmtId="164" fontId="5" fillId="0" borderId="12" xfId="0" applyNumberFormat="1" applyFont="1" applyBorder="1"/>
    <xf numFmtId="164" fontId="5" fillId="0" borderId="13" xfId="0" applyNumberFormat="1" applyFont="1" applyBorder="1"/>
    <xf numFmtId="164" fontId="5" fillId="0" borderId="14" xfId="0" applyNumberFormat="1" applyFont="1" applyBorder="1"/>
    <xf numFmtId="164" fontId="5" fillId="0" borderId="17" xfId="0" applyNumberFormat="1" applyFont="1" applyBorder="1"/>
    <xf numFmtId="164" fontId="5" fillId="0" borderId="18" xfId="0" applyNumberFormat="1" applyFont="1" applyBorder="1"/>
    <xf numFmtId="164" fontId="5" fillId="0" borderId="19" xfId="0" applyNumberFormat="1" applyFont="1" applyBorder="1"/>
    <xf numFmtId="0" fontId="14" fillId="0" borderId="0" xfId="0" applyFont="1"/>
    <xf numFmtId="168" fontId="1" fillId="0" borderId="12" xfId="0" applyNumberFormat="1" applyFont="1" applyBorder="1"/>
    <xf numFmtId="168" fontId="1" fillId="0" borderId="13" xfId="0" applyNumberFormat="1" applyFont="1" applyBorder="1"/>
    <xf numFmtId="168" fontId="1" fillId="0" borderId="14" xfId="0" applyNumberFormat="1" applyFont="1" applyBorder="1"/>
    <xf numFmtId="0" fontId="1" fillId="0" borderId="15" xfId="0" applyFont="1" applyBorder="1" applyAlignment="1">
      <alignment horizontal="right"/>
    </xf>
    <xf numFmtId="0" fontId="1" fillId="0" borderId="0" xfId="0" applyFont="1" applyAlignment="1">
      <alignment horizontal="right"/>
    </xf>
    <xf numFmtId="168" fontId="1" fillId="0" borderId="16" xfId="0" applyNumberFormat="1" applyFont="1" applyBorder="1"/>
    <xf numFmtId="168" fontId="5" fillId="0" borderId="15" xfId="0" applyNumberFormat="1" applyFont="1" applyBorder="1"/>
    <xf numFmtId="168" fontId="5" fillId="0" borderId="0" xfId="0" applyNumberFormat="1" applyFont="1"/>
    <xf numFmtId="168" fontId="5" fillId="0" borderId="16" xfId="0" applyNumberFormat="1" applyFont="1" applyBorder="1"/>
    <xf numFmtId="3" fontId="14" fillId="0" borderId="15" xfId="0" applyNumberFormat="1" applyFont="1" applyBorder="1"/>
    <xf numFmtId="10" fontId="5" fillId="0" borderId="15" xfId="3" applyNumberFormat="1" applyFont="1" applyBorder="1"/>
    <xf numFmtId="10" fontId="5" fillId="0" borderId="0" xfId="3" applyNumberFormat="1" applyFont="1" applyBorder="1"/>
    <xf numFmtId="10" fontId="5" fillId="0" borderId="16" xfId="3" applyNumberFormat="1" applyFont="1" applyBorder="1"/>
    <xf numFmtId="10" fontId="1" fillId="0" borderId="15" xfId="3" applyNumberFormat="1" applyFont="1" applyBorder="1"/>
    <xf numFmtId="10" fontId="1" fillId="0" borderId="0" xfId="3" applyNumberFormat="1" applyFont="1" applyBorder="1"/>
    <xf numFmtId="10" fontId="1" fillId="0" borderId="16" xfId="3" applyNumberFormat="1" applyFont="1" applyBorder="1"/>
    <xf numFmtId="2" fontId="5" fillId="0" borderId="15" xfId="0" applyNumberFormat="1" applyFont="1" applyBorder="1"/>
    <xf numFmtId="2" fontId="5" fillId="0" borderId="0" xfId="0" applyNumberFormat="1" applyFont="1"/>
    <xf numFmtId="2" fontId="5" fillId="0" borderId="16" xfId="0" applyNumberFormat="1" applyFont="1" applyBorder="1"/>
    <xf numFmtId="9" fontId="5" fillId="0" borderId="17" xfId="3" applyFont="1" applyBorder="1"/>
    <xf numFmtId="9" fontId="5" fillId="0" borderId="18" xfId="3" applyFont="1" applyBorder="1"/>
    <xf numFmtId="9" fontId="5" fillId="0" borderId="19" xfId="3" applyFont="1" applyBorder="1"/>
    <xf numFmtId="0" fontId="5" fillId="0" borderId="0" xfId="0" applyFont="1" applyAlignment="1">
      <alignment horizontal="right"/>
    </xf>
    <xf numFmtId="10" fontId="5" fillId="0" borderId="12" xfId="0" applyNumberFormat="1" applyFont="1" applyBorder="1"/>
    <xf numFmtId="10" fontId="5" fillId="0" borderId="13" xfId="0" applyNumberFormat="1" applyFont="1" applyBorder="1"/>
    <xf numFmtId="10" fontId="5" fillId="0" borderId="14" xfId="0" applyNumberFormat="1" applyFont="1" applyBorder="1"/>
    <xf numFmtId="10" fontId="5" fillId="0" borderId="17" xfId="3" applyNumberFormat="1" applyFont="1" applyBorder="1"/>
    <xf numFmtId="10" fontId="5" fillId="0" borderId="18" xfId="3" applyNumberFormat="1" applyFont="1" applyBorder="1"/>
    <xf numFmtId="10" fontId="5" fillId="0" borderId="19" xfId="3" applyNumberFormat="1" applyFont="1" applyBorder="1"/>
    <xf numFmtId="0" fontId="5" fillId="0" borderId="18" xfId="0" applyFont="1" applyBorder="1" applyAlignment="1">
      <alignment wrapText="1"/>
    </xf>
    <xf numFmtId="0" fontId="5" fillId="0" borderId="19" xfId="0" applyFont="1" applyBorder="1"/>
    <xf numFmtId="168" fontId="5" fillId="0" borderId="16" xfId="0" applyNumberFormat="1" applyFont="1" applyBorder="1" applyAlignment="1">
      <alignment horizontal="right"/>
    </xf>
    <xf numFmtId="0" fontId="5" fillId="0" borderId="16" xfId="0" applyFont="1" applyBorder="1" applyAlignment="1">
      <alignment horizontal="right"/>
    </xf>
    <xf numFmtId="10" fontId="5" fillId="0" borderId="15" xfId="0" applyNumberFormat="1" applyFont="1" applyBorder="1"/>
    <xf numFmtId="10" fontId="5" fillId="0" borderId="0" xfId="0" applyNumberFormat="1" applyFont="1"/>
    <xf numFmtId="10" fontId="5" fillId="0" borderId="16" xfId="0" applyNumberFormat="1" applyFont="1" applyBorder="1"/>
    <xf numFmtId="0" fontId="5" fillId="0" borderId="18" xfId="0" applyFont="1" applyBorder="1" applyAlignment="1">
      <alignment horizontal="right"/>
    </xf>
    <xf numFmtId="0" fontId="5" fillId="0" borderId="19" xfId="0" applyFont="1" applyBorder="1" applyAlignment="1">
      <alignment horizontal="right"/>
    </xf>
    <xf numFmtId="44" fontId="5" fillId="0" borderId="13" xfId="1" applyFont="1" applyBorder="1"/>
    <xf numFmtId="164" fontId="5" fillId="0" borderId="15" xfId="0" applyNumberFormat="1" applyFont="1" applyBorder="1"/>
    <xf numFmtId="44" fontId="5" fillId="0" borderId="0" xfId="1" applyFont="1" applyBorder="1"/>
    <xf numFmtId="164" fontId="5" fillId="0" borderId="16" xfId="0" applyNumberFormat="1" applyFont="1" applyBorder="1"/>
    <xf numFmtId="2" fontId="5" fillId="0" borderId="16" xfId="0" applyNumberFormat="1" applyFont="1" applyBorder="1" applyAlignment="1">
      <alignment horizontal="right"/>
    </xf>
    <xf numFmtId="10" fontId="5" fillId="0" borderId="18" xfId="0" applyNumberFormat="1" applyFont="1" applyBorder="1"/>
    <xf numFmtId="2" fontId="5" fillId="0" borderId="19" xfId="0" applyNumberFormat="1" applyFont="1" applyBorder="1"/>
    <xf numFmtId="0" fontId="5" fillId="0" borderId="5" xfId="0" applyFont="1" applyBorder="1"/>
    <xf numFmtId="0" fontId="5" fillId="0" borderId="2" xfId="0" applyFont="1" applyBorder="1" applyAlignment="1">
      <alignment horizontal="center"/>
    </xf>
    <xf numFmtId="0" fontId="5" fillId="0" borderId="3" xfId="0" applyFont="1" applyBorder="1" applyAlignment="1">
      <alignment horizontal="center"/>
    </xf>
    <xf numFmtId="9" fontId="5" fillId="0" borderId="0" xfId="3" applyFont="1" applyBorder="1"/>
    <xf numFmtId="0" fontId="19" fillId="0" borderId="0" xfId="0" applyFont="1"/>
    <xf numFmtId="0" fontId="20" fillId="0" borderId="0" xfId="0" applyFont="1"/>
    <xf numFmtId="0" fontId="21" fillId="0" borderId="0" xfId="0" applyFont="1"/>
    <xf numFmtId="0" fontId="22" fillId="0" borderId="0" xfId="0" applyFont="1"/>
    <xf numFmtId="0" fontId="22" fillId="2" borderId="0" xfId="0" applyFont="1" applyFill="1"/>
    <xf numFmtId="0" fontId="21" fillId="2" borderId="0" xfId="0" applyFont="1" applyFill="1"/>
    <xf numFmtId="0" fontId="12" fillId="0" borderId="0" xfId="0" applyFont="1"/>
    <xf numFmtId="0" fontId="23" fillId="0" borderId="0" xfId="0" applyFont="1"/>
    <xf numFmtId="0" fontId="24" fillId="0" borderId="0" xfId="0" applyFont="1"/>
    <xf numFmtId="0" fontId="25" fillId="2" borderId="0" xfId="0" applyFont="1" applyFill="1"/>
    <xf numFmtId="10" fontId="25" fillId="2" borderId="0" xfId="0" applyNumberFormat="1" applyFont="1" applyFill="1"/>
    <xf numFmtId="8" fontId="25" fillId="2" borderId="0" xfId="0" applyNumberFormat="1" applyFont="1" applyFill="1"/>
    <xf numFmtId="10" fontId="22" fillId="2" borderId="0" xfId="0" applyNumberFormat="1" applyFont="1" applyFill="1"/>
    <xf numFmtId="8" fontId="22" fillId="2" borderId="0" xfId="0" applyNumberFormat="1" applyFont="1" applyFill="1"/>
    <xf numFmtId="0" fontId="0" fillId="2" borderId="0" xfId="0" applyFill="1"/>
    <xf numFmtId="0" fontId="25" fillId="0" borderId="0" xfId="0" applyFont="1"/>
    <xf numFmtId="10" fontId="25" fillId="0" borderId="0" xfId="0" applyNumberFormat="1" applyFont="1"/>
    <xf numFmtId="8" fontId="25" fillId="0" borderId="0" xfId="0" applyNumberFormat="1" applyFont="1"/>
    <xf numFmtId="10" fontId="22" fillId="0" borderId="0" xfId="0" applyNumberFormat="1" applyFont="1"/>
    <xf numFmtId="8" fontId="22" fillId="0" borderId="0" xfId="0" applyNumberFormat="1" applyFont="1"/>
    <xf numFmtId="0" fontId="0" fillId="0" borderId="12" xfId="0" applyBorder="1"/>
    <xf numFmtId="0" fontId="0" fillId="0" borderId="13" xfId="0" applyBorder="1"/>
    <xf numFmtId="0" fontId="2" fillId="0" borderId="13" xfId="0" applyFont="1" applyBorder="1"/>
    <xf numFmtId="0" fontId="2" fillId="0" borderId="14" xfId="0" applyFont="1" applyBorder="1"/>
    <xf numFmtId="0" fontId="0" fillId="0" borderId="16" xfId="0" applyBorder="1"/>
    <xf numFmtId="8" fontId="0" fillId="0" borderId="0" xfId="0" applyNumberFormat="1"/>
    <xf numFmtId="0" fontId="2" fillId="0" borderId="17" xfId="0" applyFont="1" applyBorder="1"/>
    <xf numFmtId="0" fontId="0" fillId="0" borderId="18" xfId="0" applyBorder="1"/>
    <xf numFmtId="44" fontId="0" fillId="0" borderId="19" xfId="1" applyFont="1" applyBorder="1"/>
    <xf numFmtId="0" fontId="27" fillId="0" borderId="0" xfId="4" applyFont="1" applyAlignment="1">
      <alignment horizontal="left" vertical="top" wrapText="1"/>
    </xf>
    <xf numFmtId="0" fontId="22" fillId="0" borderId="0" xfId="0" applyFont="1" applyAlignment="1">
      <alignment horizontal="left"/>
    </xf>
    <xf numFmtId="0" fontId="25" fillId="0" borderId="0" xfId="0" applyFont="1" applyAlignment="1">
      <alignment horizontal="left"/>
    </xf>
    <xf numFmtId="0" fontId="30" fillId="0" borderId="0" xfId="0" applyFont="1" applyAlignment="1">
      <alignment horizontal="left" vertical="top" wrapText="1"/>
    </xf>
    <xf numFmtId="49" fontId="30" fillId="0" borderId="0" xfId="0" applyNumberFormat="1" applyFont="1" applyAlignment="1">
      <alignment horizontal="left" vertical="top" wrapText="1"/>
    </xf>
    <xf numFmtId="0" fontId="25" fillId="0" borderId="0" xfId="0" applyFont="1" applyAlignment="1">
      <alignment horizontal="right"/>
    </xf>
    <xf numFmtId="49" fontId="30" fillId="0" borderId="0" xfId="0" applyNumberFormat="1" applyFont="1" applyAlignment="1">
      <alignment horizontal="right" vertical="top" wrapText="1"/>
    </xf>
    <xf numFmtId="166" fontId="30" fillId="0" borderId="0" xfId="0" applyNumberFormat="1" applyFont="1" applyAlignment="1">
      <alignment horizontal="right" vertical="top" wrapText="1"/>
    </xf>
    <xf numFmtId="10" fontId="25" fillId="0" borderId="0" xfId="0" applyNumberFormat="1" applyFont="1" applyAlignment="1">
      <alignment horizontal="right"/>
    </xf>
    <xf numFmtId="8" fontId="25" fillId="0" borderId="0" xfId="0" applyNumberFormat="1" applyFont="1" applyAlignment="1">
      <alignment horizontal="right"/>
    </xf>
    <xf numFmtId="0" fontId="21" fillId="0" borderId="0" xfId="0" applyFont="1" applyAlignment="1">
      <alignment horizontal="right"/>
    </xf>
    <xf numFmtId="0" fontId="22" fillId="0" borderId="0" xfId="0" applyFont="1" applyAlignment="1">
      <alignment horizontal="right"/>
    </xf>
    <xf numFmtId="10" fontId="22" fillId="0" borderId="0" xfId="0" applyNumberFormat="1" applyFont="1" applyAlignment="1">
      <alignment horizontal="right"/>
    </xf>
    <xf numFmtId="8" fontId="22" fillId="0" borderId="0" xfId="0" applyNumberFormat="1" applyFont="1" applyAlignment="1">
      <alignment horizontal="right"/>
    </xf>
    <xf numFmtId="10" fontId="30" fillId="0" borderId="0" xfId="3" applyNumberFormat="1" applyFont="1" applyFill="1" applyAlignment="1">
      <alignment horizontal="right" vertical="top" wrapText="1"/>
    </xf>
    <xf numFmtId="169" fontId="30" fillId="0" borderId="0" xfId="0" applyNumberFormat="1" applyFont="1" applyAlignment="1">
      <alignment horizontal="right" vertical="top" wrapText="1"/>
    </xf>
    <xf numFmtId="10" fontId="30" fillId="0" borderId="0" xfId="0" applyNumberFormat="1" applyFont="1" applyAlignment="1">
      <alignment horizontal="right" vertical="top" wrapText="1"/>
    </xf>
    <xf numFmtId="2" fontId="30" fillId="0" borderId="0" xfId="0" applyNumberFormat="1" applyFont="1" applyAlignment="1">
      <alignment horizontal="right" vertical="top" wrapText="1"/>
    </xf>
    <xf numFmtId="2" fontId="28" fillId="0" borderId="0" xfId="0" applyNumberFormat="1" applyFont="1" applyAlignment="1">
      <alignment horizontal="right"/>
    </xf>
    <xf numFmtId="44" fontId="30" fillId="0" borderId="0" xfId="1" applyFont="1" applyFill="1" applyAlignment="1">
      <alignment horizontal="right" vertical="top" wrapText="1"/>
    </xf>
    <xf numFmtId="170" fontId="30" fillId="0" borderId="0" xfId="3" applyNumberFormat="1" applyFont="1" applyFill="1" applyAlignment="1">
      <alignment horizontal="right" vertical="top" wrapText="1"/>
    </xf>
    <xf numFmtId="1" fontId="30" fillId="0" borderId="0" xfId="1" applyNumberFormat="1" applyFont="1" applyFill="1" applyAlignment="1">
      <alignment horizontal="right" vertical="top" wrapText="1"/>
    </xf>
    <xf numFmtId="171" fontId="30" fillId="0" borderId="0" xfId="3" applyNumberFormat="1" applyFont="1" applyFill="1" applyAlignment="1">
      <alignment horizontal="right" vertical="top" wrapText="1"/>
    </xf>
    <xf numFmtId="2" fontId="27" fillId="0" borderId="0" xfId="5" applyNumberFormat="1" applyFont="1" applyFill="1" applyAlignment="1">
      <alignment horizontal="right" wrapText="1"/>
    </xf>
    <xf numFmtId="164" fontId="27" fillId="0" borderId="0" xfId="1" applyNumberFormat="1" applyFont="1" applyFill="1" applyAlignment="1">
      <alignment horizontal="right" wrapText="1"/>
    </xf>
    <xf numFmtId="2" fontId="27" fillId="0" borderId="0" xfId="1" applyNumberFormat="1" applyFont="1" applyFill="1" applyAlignment="1">
      <alignment horizontal="right" wrapText="1"/>
    </xf>
    <xf numFmtId="10" fontId="27" fillId="0" borderId="0" xfId="3" applyNumberFormat="1" applyFont="1" applyFill="1" applyAlignment="1">
      <alignment horizontal="right" wrapText="1"/>
    </xf>
    <xf numFmtId="169" fontId="27" fillId="0" borderId="0" xfId="1" applyNumberFormat="1" applyFont="1" applyFill="1" applyAlignment="1">
      <alignment horizontal="right" wrapText="1"/>
    </xf>
    <xf numFmtId="44" fontId="27" fillId="0" borderId="0" xfId="1" applyFont="1" applyFill="1" applyAlignment="1">
      <alignment horizontal="right" wrapText="1"/>
    </xf>
    <xf numFmtId="0" fontId="0" fillId="0" borderId="20" xfId="0" applyBorder="1"/>
    <xf numFmtId="0" fontId="32" fillId="0" borderId="21" xfId="0" applyFont="1" applyBorder="1" applyAlignment="1">
      <alignment horizontal="center"/>
    </xf>
    <xf numFmtId="0" fontId="32" fillId="0" borderId="21" xfId="0" applyFont="1" applyBorder="1" applyAlignment="1">
      <alignment horizontal="centerContinuous"/>
    </xf>
    <xf numFmtId="0" fontId="0" fillId="6" borderId="0" xfId="0" applyFill="1"/>
    <xf numFmtId="0" fontId="0" fillId="6" borderId="20" xfId="0" applyFill="1" applyBorder="1"/>
    <xf numFmtId="0" fontId="0" fillId="0" borderId="22" xfId="0" applyBorder="1"/>
    <xf numFmtId="10" fontId="0" fillId="0" borderId="22" xfId="0" applyNumberFormat="1" applyBorder="1"/>
    <xf numFmtId="174" fontId="0" fillId="6" borderId="0" xfId="3" applyNumberFormat="1" applyFont="1" applyFill="1"/>
    <xf numFmtId="172" fontId="2" fillId="0" borderId="0" xfId="0" applyNumberFormat="1" applyFont="1"/>
    <xf numFmtId="172" fontId="0" fillId="0" borderId="0" xfId="0" applyNumberFormat="1"/>
    <xf numFmtId="0" fontId="0" fillId="0" borderId="23" xfId="0" applyBorder="1"/>
    <xf numFmtId="0" fontId="0" fillId="0" borderId="24"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1" xfId="0" applyBorder="1"/>
    <xf numFmtId="0" fontId="0" fillId="0" borderId="32" xfId="0" applyBorder="1"/>
    <xf numFmtId="10" fontId="0" fillId="0" borderId="0" xfId="0" applyNumberFormat="1"/>
    <xf numFmtId="44" fontId="0" fillId="0" borderId="0" xfId="0" applyNumberFormat="1"/>
    <xf numFmtId="8" fontId="0" fillId="0" borderId="30" xfId="0" applyNumberFormat="1" applyBorder="1"/>
    <xf numFmtId="44" fontId="0" fillId="0" borderId="25" xfId="1" applyFont="1" applyBorder="1"/>
    <xf numFmtId="173" fontId="0" fillId="0" borderId="24" xfId="3" applyNumberFormat="1" applyFont="1" applyBorder="1"/>
    <xf numFmtId="173" fontId="0" fillId="0" borderId="25" xfId="3" applyNumberFormat="1" applyFont="1" applyBorder="1"/>
    <xf numFmtId="173" fontId="0" fillId="0" borderId="26" xfId="3" applyNumberFormat="1" applyFont="1" applyBorder="1"/>
    <xf numFmtId="173" fontId="0" fillId="0" borderId="0" xfId="3" applyNumberFormat="1" applyFont="1" applyBorder="1"/>
    <xf numFmtId="173" fontId="0" fillId="0" borderId="27" xfId="3" applyNumberFormat="1" applyFont="1" applyBorder="1"/>
    <xf numFmtId="173" fontId="0" fillId="0" borderId="0" xfId="3" applyNumberFormat="1" applyFont="1"/>
    <xf numFmtId="173" fontId="0" fillId="0" borderId="23" xfId="3" applyNumberFormat="1" applyFont="1" applyBorder="1" applyAlignment="1">
      <alignment horizontal="center"/>
    </xf>
    <xf numFmtId="173" fontId="0" fillId="0" borderId="24" xfId="3" applyNumberFormat="1" applyFont="1" applyBorder="1" applyAlignment="1">
      <alignment horizontal="center"/>
    </xf>
    <xf numFmtId="173" fontId="0" fillId="0" borderId="28" xfId="3" applyNumberFormat="1" applyFont="1" applyBorder="1" applyAlignment="1">
      <alignment horizontal="center"/>
    </xf>
    <xf numFmtId="173" fontId="0" fillId="0" borderId="29" xfId="3" applyNumberFormat="1" applyFont="1" applyBorder="1" applyAlignment="1">
      <alignment horizontal="center"/>
    </xf>
    <xf numFmtId="173" fontId="0" fillId="0" borderId="30" xfId="3" applyNumberFormat="1" applyFont="1" applyBorder="1" applyAlignment="1">
      <alignment horizontal="center"/>
    </xf>
    <xf numFmtId="0" fontId="2" fillId="0" borderId="1" xfId="0" applyFont="1" applyBorder="1" applyAlignment="1">
      <alignment horizontal="center"/>
    </xf>
    <xf numFmtId="0" fontId="2" fillId="0" borderId="3" xfId="0" applyFont="1" applyBorder="1" applyAlignment="1">
      <alignment horizontal="center"/>
    </xf>
    <xf numFmtId="14" fontId="5" fillId="0" borderId="0" xfId="0" applyNumberFormat="1" applyFont="1"/>
    <xf numFmtId="0" fontId="33" fillId="0" borderId="0" xfId="0" applyFont="1"/>
    <xf numFmtId="2" fontId="5" fillId="0" borderId="12" xfId="0" applyNumberFormat="1" applyFont="1" applyBorder="1" applyAlignment="1">
      <alignment horizontal="center"/>
    </xf>
    <xf numFmtId="10" fontId="33" fillId="0" borderId="0" xfId="3" applyNumberFormat="1" applyFont="1" applyBorder="1"/>
    <xf numFmtId="2" fontId="5" fillId="0" borderId="15" xfId="0" applyNumberFormat="1" applyFont="1" applyBorder="1" applyAlignment="1">
      <alignment horizontal="center"/>
    </xf>
    <xf numFmtId="0" fontId="5" fillId="0" borderId="15" xfId="0" applyFont="1" applyBorder="1" applyAlignment="1">
      <alignment horizontal="center"/>
    </xf>
    <xf numFmtId="0" fontId="5" fillId="0" borderId="17" xfId="0" applyFont="1" applyBorder="1" applyAlignment="1">
      <alignment horizontal="center"/>
    </xf>
    <xf numFmtId="10" fontId="33" fillId="0" borderId="18" xfId="3" applyNumberFormat="1" applyFont="1" applyBorder="1"/>
    <xf numFmtId="14" fontId="0" fillId="0" borderId="0" xfId="0" applyNumberFormat="1"/>
    <xf numFmtId="44" fontId="0" fillId="0" borderId="0" xfId="1" applyFont="1" applyFill="1" applyAlignment="1">
      <alignment horizontal="right"/>
    </xf>
    <xf numFmtId="0" fontId="9" fillId="0" borderId="0" xfId="0" applyFont="1" applyAlignment="1">
      <alignment horizontal="center"/>
    </xf>
    <xf numFmtId="10" fontId="0" fillId="0" borderId="0" xfId="3" applyNumberFormat="1" applyFont="1" applyFill="1"/>
    <xf numFmtId="0" fontId="34" fillId="0" borderId="0" xfId="0" applyFont="1"/>
    <xf numFmtId="167" fontId="2" fillId="0" borderId="0" xfId="0" applyNumberFormat="1" applyFont="1"/>
    <xf numFmtId="0" fontId="2" fillId="2" borderId="17" xfId="0" applyFont="1" applyFill="1" applyBorder="1"/>
    <xf numFmtId="0" fontId="2" fillId="2" borderId="18" xfId="0" applyFont="1" applyFill="1" applyBorder="1"/>
    <xf numFmtId="10" fontId="0" fillId="0" borderId="0" xfId="3" applyNumberFormat="1" applyFont="1" applyFill="1" applyAlignment="1">
      <alignment horizontal="right"/>
    </xf>
    <xf numFmtId="0" fontId="12" fillId="0" borderId="12" xfId="0" applyFont="1" applyBorder="1"/>
    <xf numFmtId="0" fontId="12" fillId="0" borderId="13" xfId="0" applyFont="1" applyBorder="1"/>
    <xf numFmtId="0" fontId="2" fillId="0" borderId="12" xfId="0" applyFont="1" applyBorder="1" applyAlignment="1">
      <alignment horizontal="center"/>
    </xf>
    <xf numFmtId="0" fontId="2" fillId="0" borderId="13" xfId="0" applyFont="1" applyBorder="1" applyAlignment="1">
      <alignment horizontal="center"/>
    </xf>
    <xf numFmtId="0" fontId="2" fillId="2" borderId="11" xfId="0" applyFont="1" applyFill="1" applyBorder="1"/>
    <xf numFmtId="0" fontId="5" fillId="0" borderId="0" xfId="0" applyFont="1" applyAlignment="1">
      <alignment horizontal="center"/>
    </xf>
    <xf numFmtId="0" fontId="5" fillId="0" borderId="1" xfId="0" applyFont="1" applyBorder="1"/>
    <xf numFmtId="10" fontId="5" fillId="0" borderId="2" xfId="0" applyNumberFormat="1" applyFont="1" applyBorder="1" applyAlignment="1">
      <alignment horizontal="center"/>
    </xf>
    <xf numFmtId="10" fontId="5" fillId="0" borderId="3" xfId="0" applyNumberFormat="1" applyFont="1" applyBorder="1" applyAlignment="1">
      <alignment horizontal="center"/>
    </xf>
    <xf numFmtId="14" fontId="35" fillId="0" borderId="0" xfId="0" applyNumberFormat="1" applyFont="1"/>
    <xf numFmtId="0" fontId="33" fillId="0" borderId="16" xfId="0" applyFont="1" applyBorder="1"/>
    <xf numFmtId="10" fontId="5" fillId="2" borderId="19" xfId="0" applyNumberFormat="1" applyFont="1" applyFill="1" applyBorder="1"/>
    <xf numFmtId="0" fontId="38" fillId="0" borderId="21" xfId="0" applyFont="1" applyBorder="1" applyAlignment="1">
      <alignment horizontal="centerContinuous"/>
    </xf>
    <xf numFmtId="0" fontId="5" fillId="0" borderId="20" xfId="0" applyFont="1" applyBorder="1"/>
    <xf numFmtId="0" fontId="38" fillId="0" borderId="21" xfId="0" applyFont="1" applyBorder="1" applyAlignment="1">
      <alignment horizontal="center"/>
    </xf>
    <xf numFmtId="0" fontId="38" fillId="0" borderId="0" xfId="0" applyFont="1" applyAlignment="1">
      <alignment horizontal="center"/>
    </xf>
    <xf numFmtId="0" fontId="5" fillId="2" borderId="18" xfId="0" applyFont="1" applyFill="1" applyBorder="1"/>
    <xf numFmtId="0" fontId="5" fillId="2" borderId="19" xfId="0" applyFont="1" applyFill="1" applyBorder="1"/>
    <xf numFmtId="0" fontId="5" fillId="2" borderId="1" xfId="0" applyFont="1" applyFill="1" applyBorder="1"/>
    <xf numFmtId="0" fontId="5" fillId="2" borderId="3" xfId="0" applyFont="1" applyFill="1" applyBorder="1"/>
    <xf numFmtId="0" fontId="5" fillId="2" borderId="20" xfId="0" applyFont="1" applyFill="1" applyBorder="1"/>
    <xf numFmtId="168" fontId="5" fillId="0" borderId="18" xfId="0" applyNumberFormat="1" applyFont="1" applyBorder="1"/>
    <xf numFmtId="2" fontId="5" fillId="0" borderId="18" xfId="0" applyNumberFormat="1" applyFont="1" applyBorder="1"/>
    <xf numFmtId="2" fontId="5" fillId="0" borderId="14" xfId="0" applyNumberFormat="1" applyFont="1" applyBorder="1"/>
    <xf numFmtId="2" fontId="5" fillId="2" borderId="19" xfId="0" applyNumberFormat="1" applyFont="1" applyFill="1" applyBorder="1"/>
    <xf numFmtId="14" fontId="5" fillId="0" borderId="0" xfId="0" applyNumberFormat="1" applyFont="1" applyAlignment="1">
      <alignment horizontal="center"/>
    </xf>
    <xf numFmtId="10" fontId="5" fillId="0" borderId="0" xfId="0" applyNumberFormat="1" applyFont="1" applyAlignment="1">
      <alignment horizontal="center"/>
    </xf>
    <xf numFmtId="44" fontId="5" fillId="0" borderId="0" xfId="1" applyFont="1" applyFill="1" applyAlignment="1">
      <alignment horizontal="center"/>
    </xf>
    <xf numFmtId="14" fontId="5" fillId="0" borderId="18" xfId="0" applyNumberFormat="1" applyFont="1" applyBorder="1" applyAlignment="1">
      <alignment horizontal="center"/>
    </xf>
    <xf numFmtId="0" fontId="5" fillId="0" borderId="18" xfId="0" applyFont="1" applyBorder="1" applyAlignment="1">
      <alignment horizontal="center"/>
    </xf>
    <xf numFmtId="10" fontId="5" fillId="0" borderId="18" xfId="0" applyNumberFormat="1" applyFont="1" applyBorder="1" applyAlignment="1">
      <alignment horizontal="center"/>
    </xf>
    <xf numFmtId="44" fontId="5" fillId="0" borderId="18" xfId="1" applyFont="1" applyFill="1" applyBorder="1" applyAlignment="1">
      <alignment horizontal="center"/>
    </xf>
    <xf numFmtId="10" fontId="5" fillId="0" borderId="14" xfId="3" applyNumberFormat="1" applyFont="1" applyFill="1" applyBorder="1"/>
    <xf numFmtId="10" fontId="5" fillId="2" borderId="19" xfId="3" applyNumberFormat="1" applyFont="1" applyFill="1" applyBorder="1"/>
    <xf numFmtId="10" fontId="5" fillId="2" borderId="3" xfId="0" applyNumberFormat="1" applyFont="1" applyFill="1" applyBorder="1"/>
    <xf numFmtId="3" fontId="5" fillId="0" borderId="13" xfId="0" applyNumberFormat="1" applyFont="1" applyBorder="1"/>
    <xf numFmtId="3" fontId="5" fillId="0" borderId="14" xfId="0" applyNumberFormat="1" applyFont="1" applyBorder="1"/>
    <xf numFmtId="1" fontId="5" fillId="0" borderId="0" xfId="0" applyNumberFormat="1" applyFont="1"/>
    <xf numFmtId="1" fontId="5" fillId="0" borderId="16" xfId="0" applyNumberFormat="1" applyFont="1" applyBorder="1"/>
    <xf numFmtId="3" fontId="5" fillId="0" borderId="18" xfId="0" applyNumberFormat="1" applyFont="1" applyBorder="1"/>
    <xf numFmtId="3" fontId="5" fillId="0" borderId="19" xfId="0" applyNumberFormat="1" applyFont="1" applyBorder="1"/>
    <xf numFmtId="10" fontId="5" fillId="0" borderId="13" xfId="3" applyNumberFormat="1" applyFont="1" applyBorder="1"/>
    <xf numFmtId="10" fontId="5" fillId="0" borderId="14" xfId="3" applyNumberFormat="1" applyFont="1" applyBorder="1"/>
    <xf numFmtId="10" fontId="5" fillId="0" borderId="3" xfId="0" applyNumberFormat="1" applyFont="1" applyBorder="1"/>
    <xf numFmtId="0" fontId="18" fillId="0" borderId="13" xfId="0" applyFont="1" applyBorder="1"/>
    <xf numFmtId="0" fontId="18" fillId="0" borderId="14" xfId="0" applyFont="1" applyBorder="1"/>
    <xf numFmtId="10" fontId="5" fillId="0" borderId="0" xfId="3" applyNumberFormat="1" applyFont="1"/>
    <xf numFmtId="10" fontId="5" fillId="0" borderId="19" xfId="0" applyNumberFormat="1" applyFont="1" applyBorder="1"/>
    <xf numFmtId="0" fontId="18" fillId="0" borderId="5" xfId="0" applyFont="1" applyBorder="1"/>
    <xf numFmtId="0" fontId="18" fillId="0" borderId="3" xfId="0" applyFont="1" applyBorder="1"/>
    <xf numFmtId="10" fontId="5" fillId="0" borderId="15" xfId="3" applyNumberFormat="1" applyFont="1" applyFill="1" applyBorder="1"/>
    <xf numFmtId="10" fontId="5" fillId="2" borderId="17" xfId="0" applyNumberFormat="1" applyFont="1" applyFill="1" applyBorder="1"/>
    <xf numFmtId="0" fontId="39" fillId="0" borderId="15" xfId="0" applyFont="1" applyBorder="1"/>
    <xf numFmtId="2" fontId="39" fillId="0" borderId="16" xfId="0" applyNumberFormat="1" applyFont="1" applyBorder="1"/>
    <xf numFmtId="0" fontId="2" fillId="0" borderId="0" xfId="0" applyFont="1" applyAlignment="1">
      <alignment horizontal="right"/>
    </xf>
    <xf numFmtId="0" fontId="0" fillId="0" borderId="9" xfId="0" applyBorder="1"/>
    <xf numFmtId="3" fontId="0" fillId="0" borderId="12" xfId="0" applyNumberFormat="1" applyBorder="1"/>
    <xf numFmtId="3" fontId="0" fillId="0" borderId="13" xfId="0" applyNumberFormat="1" applyBorder="1"/>
    <xf numFmtId="3" fontId="0" fillId="0" borderId="14" xfId="0" applyNumberFormat="1" applyBorder="1"/>
    <xf numFmtId="3" fontId="0" fillId="0" borderId="15" xfId="0" applyNumberFormat="1" applyBorder="1"/>
    <xf numFmtId="3" fontId="0" fillId="0" borderId="16" xfId="0" applyNumberFormat="1" applyBorder="1"/>
    <xf numFmtId="10" fontId="0" fillId="0" borderId="17" xfId="3" applyNumberFormat="1" applyFont="1" applyBorder="1"/>
    <xf numFmtId="10" fontId="0" fillId="0" borderId="18" xfId="3" applyNumberFormat="1" applyFont="1" applyBorder="1"/>
    <xf numFmtId="10" fontId="0" fillId="0" borderId="19" xfId="3" applyNumberFormat="1" applyFont="1" applyBorder="1"/>
    <xf numFmtId="10" fontId="0" fillId="0" borderId="19" xfId="0" applyNumberFormat="1" applyBorder="1"/>
    <xf numFmtId="10" fontId="0" fillId="0" borderId="16" xfId="0" applyNumberFormat="1" applyBorder="1"/>
    <xf numFmtId="9" fontId="0" fillId="0" borderId="16" xfId="0" applyNumberFormat="1" applyBorder="1"/>
    <xf numFmtId="0" fontId="0" fillId="0" borderId="15" xfId="0" applyBorder="1"/>
    <xf numFmtId="0" fontId="36" fillId="0" borderId="0" xfId="0" applyFont="1"/>
    <xf numFmtId="0" fontId="0" fillId="0" borderId="5" xfId="0" applyBorder="1"/>
    <xf numFmtId="10" fontId="0" fillId="0" borderId="5" xfId="3" applyNumberFormat="1" applyFont="1" applyBorder="1"/>
    <xf numFmtId="0" fontId="0" fillId="2" borderId="12" xfId="0" applyFill="1" applyBorder="1"/>
    <xf numFmtId="0" fontId="0" fillId="2" borderId="13" xfId="0" applyFill="1" applyBorder="1"/>
    <xf numFmtId="10" fontId="0" fillId="2" borderId="14" xfId="3" applyNumberFormat="1" applyFont="1" applyFill="1" applyBorder="1"/>
    <xf numFmtId="0" fontId="0" fillId="2" borderId="17" xfId="0" applyFill="1" applyBorder="1"/>
    <xf numFmtId="0" fontId="0" fillId="2" borderId="18" xfId="0" applyFill="1" applyBorder="1"/>
    <xf numFmtId="0" fontId="0" fillId="2" borderId="2" xfId="0" applyFill="1" applyBorder="1"/>
    <xf numFmtId="10" fontId="0" fillId="2" borderId="2" xfId="3" applyNumberFormat="1" applyFont="1" applyFill="1" applyBorder="1"/>
    <xf numFmtId="10" fontId="0" fillId="2" borderId="3" xfId="3" applyNumberFormat="1" applyFont="1" applyFill="1" applyBorder="1"/>
    <xf numFmtId="0" fontId="0" fillId="2" borderId="1" xfId="0" applyFill="1" applyBorder="1"/>
    <xf numFmtId="10" fontId="0" fillId="2" borderId="3" xfId="0" applyNumberFormat="1" applyFill="1" applyBorder="1"/>
    <xf numFmtId="10" fontId="0" fillId="2" borderId="19" xfId="0" applyNumberFormat="1" applyFill="1" applyBorder="1"/>
    <xf numFmtId="0" fontId="19" fillId="7" borderId="0" xfId="0" applyFont="1" applyFill="1"/>
    <xf numFmtId="0" fontId="5" fillId="7" borderId="0" xfId="0" applyFont="1" applyFill="1"/>
    <xf numFmtId="0" fontId="0" fillId="7" borderId="0" xfId="0" applyFill="1"/>
    <xf numFmtId="0" fontId="0" fillId="7" borderId="0" xfId="0" applyFill="1" applyAlignment="1">
      <alignment horizontal="right"/>
    </xf>
    <xf numFmtId="0" fontId="0" fillId="7" borderId="12" xfId="0" applyFill="1" applyBorder="1"/>
    <xf numFmtId="0" fontId="0" fillId="7" borderId="13" xfId="0" applyFill="1" applyBorder="1"/>
    <xf numFmtId="0" fontId="0" fillId="7" borderId="14" xfId="0" applyFill="1" applyBorder="1" applyAlignment="1">
      <alignment horizontal="right"/>
    </xf>
    <xf numFmtId="0" fontId="0" fillId="7" borderId="17" xfId="0" applyFill="1" applyBorder="1"/>
    <xf numFmtId="0" fontId="0" fillId="7" borderId="18" xfId="0" applyFill="1" applyBorder="1"/>
    <xf numFmtId="9" fontId="0" fillId="7" borderId="19" xfId="0" applyNumberFormat="1" applyFill="1" applyBorder="1" applyAlignment="1">
      <alignment horizontal="right"/>
    </xf>
    <xf numFmtId="0" fontId="2" fillId="7" borderId="0" xfId="0" applyFont="1" applyFill="1"/>
    <xf numFmtId="0" fontId="0" fillId="7" borderId="1" xfId="0" applyFill="1" applyBorder="1"/>
    <xf numFmtId="0" fontId="0" fillId="7" borderId="2" xfId="0" applyFill="1" applyBorder="1"/>
    <xf numFmtId="0" fontId="0" fillId="7" borderId="3" xfId="0" applyFill="1" applyBorder="1" applyAlignment="1">
      <alignment horizontal="right"/>
    </xf>
    <xf numFmtId="0" fontId="5" fillId="7" borderId="12" xfId="0" applyFont="1" applyFill="1" applyBorder="1"/>
    <xf numFmtId="0" fontId="5" fillId="7" borderId="13" xfId="0" applyFont="1" applyFill="1" applyBorder="1"/>
    <xf numFmtId="9" fontId="0" fillId="7" borderId="14" xfId="0" applyNumberFormat="1" applyFill="1" applyBorder="1"/>
    <xf numFmtId="0" fontId="5" fillId="7" borderId="17" xfId="0" applyFont="1" applyFill="1" applyBorder="1"/>
    <xf numFmtId="0" fontId="5" fillId="7" borderId="18" xfId="0" applyFont="1" applyFill="1" applyBorder="1"/>
    <xf numFmtId="0" fontId="0" fillId="7" borderId="19" xfId="0" applyFill="1" applyBorder="1" applyAlignment="1">
      <alignment horizontal="right"/>
    </xf>
    <xf numFmtId="0" fontId="0" fillId="7" borderId="3" xfId="0" applyFill="1" applyBorder="1"/>
    <xf numFmtId="0" fontId="0" fillId="7" borderId="9" xfId="0" applyFill="1" applyBorder="1"/>
    <xf numFmtId="10" fontId="0" fillId="7" borderId="13" xfId="0" applyNumberFormat="1" applyFill="1" applyBorder="1"/>
    <xf numFmtId="10" fontId="0" fillId="7" borderId="13" xfId="3" applyNumberFormat="1" applyFont="1" applyFill="1" applyBorder="1"/>
    <xf numFmtId="10" fontId="0" fillId="7" borderId="14" xfId="0" applyNumberFormat="1" applyFill="1" applyBorder="1"/>
    <xf numFmtId="0" fontId="0" fillId="7" borderId="10" xfId="0" applyFill="1" applyBorder="1"/>
    <xf numFmtId="10" fontId="0" fillId="7" borderId="0" xfId="0" applyNumberFormat="1" applyFill="1"/>
    <xf numFmtId="10" fontId="0" fillId="7" borderId="0" xfId="3" applyNumberFormat="1" applyFont="1" applyFill="1" applyBorder="1"/>
    <xf numFmtId="10" fontId="0" fillId="7" borderId="16" xfId="0" applyNumberFormat="1" applyFill="1" applyBorder="1"/>
    <xf numFmtId="0" fontId="0" fillId="7" borderId="11" xfId="0" applyFill="1" applyBorder="1"/>
    <xf numFmtId="10" fontId="0" fillId="7" borderId="18" xfId="0" applyNumberFormat="1" applyFill="1" applyBorder="1"/>
    <xf numFmtId="10" fontId="0" fillId="7" borderId="18" xfId="3" applyNumberFormat="1" applyFont="1" applyFill="1" applyBorder="1"/>
    <xf numFmtId="10" fontId="0" fillId="7" borderId="19" xfId="0" applyNumberFormat="1" applyFill="1" applyBorder="1"/>
    <xf numFmtId="0" fontId="0" fillId="7" borderId="34" xfId="0" applyFill="1" applyBorder="1"/>
    <xf numFmtId="0" fontId="0" fillId="7" borderId="33" xfId="0" applyFill="1" applyBorder="1"/>
    <xf numFmtId="0" fontId="0" fillId="7" borderId="35" xfId="0" applyFill="1" applyBorder="1"/>
    <xf numFmtId="0" fontId="0" fillId="7" borderId="36" xfId="0" applyFill="1" applyBorder="1"/>
    <xf numFmtId="0" fontId="0" fillId="7" borderId="37" xfId="0" applyFill="1" applyBorder="1"/>
    <xf numFmtId="0" fontId="32" fillId="7" borderId="38" xfId="0" applyFont="1" applyFill="1" applyBorder="1" applyAlignment="1">
      <alignment horizontal="centerContinuous"/>
    </xf>
    <xf numFmtId="0" fontId="32" fillId="7" borderId="21" xfId="0" applyFont="1" applyFill="1" applyBorder="1" applyAlignment="1">
      <alignment horizontal="centerContinuous"/>
    </xf>
    <xf numFmtId="0" fontId="0" fillId="7" borderId="39" xfId="0" applyFill="1" applyBorder="1"/>
    <xf numFmtId="0" fontId="0" fillId="7" borderId="20" xfId="0" applyFill="1" applyBorder="1"/>
    <xf numFmtId="0" fontId="32" fillId="7" borderId="38" xfId="0" applyFont="1" applyFill="1" applyBorder="1" applyAlignment="1">
      <alignment horizontal="center"/>
    </xf>
    <xf numFmtId="0" fontId="32" fillId="7" borderId="21" xfId="0" applyFont="1" applyFill="1" applyBorder="1" applyAlignment="1">
      <alignment horizontal="center"/>
    </xf>
    <xf numFmtId="0" fontId="32" fillId="7" borderId="40" xfId="0" applyFont="1" applyFill="1" applyBorder="1" applyAlignment="1">
      <alignment horizontal="center"/>
    </xf>
    <xf numFmtId="0" fontId="0" fillId="7" borderId="41" xfId="0" applyFill="1" applyBorder="1"/>
    <xf numFmtId="10" fontId="0" fillId="7" borderId="0" xfId="3" applyNumberFormat="1" applyFont="1" applyFill="1"/>
    <xf numFmtId="0" fontId="2" fillId="7" borderId="9" xfId="0" applyFont="1" applyFill="1" applyBorder="1"/>
    <xf numFmtId="0" fontId="0" fillId="7" borderId="15" xfId="0" applyFill="1" applyBorder="1"/>
    <xf numFmtId="10" fontId="0" fillId="7" borderId="10" xfId="3" applyNumberFormat="1" applyFont="1" applyFill="1" applyBorder="1"/>
    <xf numFmtId="0" fontId="2" fillId="7" borderId="15" xfId="0" applyFont="1" applyFill="1" applyBorder="1"/>
    <xf numFmtId="10" fontId="2" fillId="7" borderId="10" xfId="3" applyNumberFormat="1" applyFont="1" applyFill="1" applyBorder="1"/>
    <xf numFmtId="0" fontId="2" fillId="7" borderId="17" xfId="0" applyFont="1" applyFill="1" applyBorder="1"/>
    <xf numFmtId="0" fontId="2" fillId="7" borderId="18" xfId="0" applyFont="1" applyFill="1" applyBorder="1"/>
    <xf numFmtId="10" fontId="2" fillId="7" borderId="11" xfId="3" applyNumberFormat="1" applyFont="1" applyFill="1" applyBorder="1"/>
    <xf numFmtId="0" fontId="0" fillId="7" borderId="14" xfId="0" applyFill="1" applyBorder="1"/>
    <xf numFmtId="0" fontId="0" fillId="7" borderId="16" xfId="0" applyFill="1" applyBorder="1"/>
    <xf numFmtId="10" fontId="0" fillId="0" borderId="14" xfId="0" applyNumberFormat="1" applyBorder="1"/>
    <xf numFmtId="10" fontId="0" fillId="0" borderId="16" xfId="3" applyNumberFormat="1" applyFont="1" applyBorder="1"/>
    <xf numFmtId="0" fontId="2" fillId="2" borderId="12" xfId="0" applyFont="1" applyFill="1" applyBorder="1"/>
    <xf numFmtId="0" fontId="2" fillId="2" borderId="15" xfId="0" applyFont="1" applyFill="1" applyBorder="1"/>
    <xf numFmtId="0" fontId="11" fillId="0" borderId="0" xfId="0" applyFont="1"/>
    <xf numFmtId="9" fontId="0" fillId="0" borderId="0" xfId="3" applyFont="1" applyBorder="1"/>
    <xf numFmtId="0" fontId="0" fillId="0" borderId="14" xfId="0" applyBorder="1"/>
    <xf numFmtId="3" fontId="0" fillId="8" borderId="15" xfId="0" applyNumberFormat="1" applyFill="1" applyBorder="1"/>
    <xf numFmtId="0" fontId="0" fillId="8" borderId="15" xfId="0" applyFill="1" applyBorder="1"/>
    <xf numFmtId="3" fontId="0" fillId="0" borderId="18" xfId="0" applyNumberFormat="1" applyBorder="1"/>
    <xf numFmtId="0" fontId="36" fillId="0" borderId="16" xfId="0" applyFont="1" applyBorder="1"/>
    <xf numFmtId="0" fontId="0" fillId="10" borderId="18" xfId="0" applyFill="1" applyBorder="1"/>
    <xf numFmtId="0" fontId="0" fillId="9" borderId="18" xfId="0" applyFill="1" applyBorder="1"/>
    <xf numFmtId="0" fontId="0" fillId="9" borderId="19" xfId="0" applyFill="1" applyBorder="1"/>
    <xf numFmtId="0" fontId="0" fillId="10" borderId="19" xfId="0" applyFill="1" applyBorder="1"/>
    <xf numFmtId="10" fontId="0" fillId="0" borderId="0" xfId="3" applyNumberFormat="1" applyFont="1" applyFill="1" applyBorder="1"/>
    <xf numFmtId="168" fontId="0" fillId="0" borderId="0" xfId="3" applyNumberFormat="1" applyFont="1" applyFill="1" applyBorder="1"/>
    <xf numFmtId="0" fontId="2" fillId="0" borderId="15" xfId="0" applyFont="1" applyBorder="1" applyAlignment="1">
      <alignment horizontal="left" indent="2"/>
    </xf>
    <xf numFmtId="10" fontId="0" fillId="0" borderId="0" xfId="3" applyNumberFormat="1" applyFont="1" applyBorder="1"/>
    <xf numFmtId="2" fontId="0" fillId="0" borderId="0" xfId="0" applyNumberFormat="1"/>
    <xf numFmtId="2" fontId="0" fillId="0" borderId="16" xfId="0" applyNumberFormat="1" applyBorder="1"/>
    <xf numFmtId="168" fontId="0" fillId="0" borderId="0" xfId="0" applyNumberFormat="1"/>
    <xf numFmtId="168" fontId="0" fillId="0" borderId="16" xfId="0" applyNumberFormat="1" applyBorder="1"/>
    <xf numFmtId="0" fontId="2" fillId="0" borderId="17" xfId="0" applyFont="1" applyBorder="1" applyAlignment="1">
      <alignment horizontal="left" indent="2"/>
    </xf>
    <xf numFmtId="10" fontId="0" fillId="0" borderId="18" xfId="3" applyNumberFormat="1" applyFont="1" applyFill="1" applyBorder="1"/>
    <xf numFmtId="0" fontId="36" fillId="0" borderId="12" xfId="0" applyFont="1" applyBorder="1"/>
    <xf numFmtId="0" fontId="0" fillId="0" borderId="15" xfId="0" applyBorder="1" applyAlignment="1">
      <alignment horizontal="left" indent="2"/>
    </xf>
    <xf numFmtId="0" fontId="36" fillId="0" borderId="15" xfId="0" applyFont="1" applyBorder="1"/>
    <xf numFmtId="1" fontId="0" fillId="0" borderId="0" xfId="0" applyNumberFormat="1"/>
    <xf numFmtId="1" fontId="0" fillId="0" borderId="16" xfId="0" applyNumberFormat="1" applyBorder="1"/>
    <xf numFmtId="0" fontId="36" fillId="0" borderId="17" xfId="0" applyFont="1" applyBorder="1"/>
    <xf numFmtId="1" fontId="0" fillId="0" borderId="18" xfId="0" applyNumberFormat="1" applyBorder="1"/>
    <xf numFmtId="1" fontId="0" fillId="0" borderId="19" xfId="0" applyNumberFormat="1" applyBorder="1"/>
    <xf numFmtId="0" fontId="36" fillId="0" borderId="2" xfId="0" applyFont="1" applyBorder="1"/>
    <xf numFmtId="0" fontId="36" fillId="0" borderId="3" xfId="0" applyFont="1" applyBorder="1"/>
    <xf numFmtId="0" fontId="0" fillId="7" borderId="42" xfId="0" applyFill="1" applyBorder="1"/>
    <xf numFmtId="0" fontId="0" fillId="7" borderId="43" xfId="0" applyFill="1" applyBorder="1"/>
    <xf numFmtId="0" fontId="0" fillId="7" borderId="44" xfId="0" applyFill="1" applyBorder="1"/>
    <xf numFmtId="3" fontId="0" fillId="7" borderId="0" xfId="0" applyNumberFormat="1" applyFill="1"/>
    <xf numFmtId="3" fontId="0" fillId="7" borderId="16" xfId="0" applyNumberFormat="1" applyFill="1" applyBorder="1"/>
    <xf numFmtId="2" fontId="0" fillId="7" borderId="0" xfId="0" applyNumberFormat="1" applyFill="1"/>
    <xf numFmtId="2" fontId="0" fillId="7" borderId="16" xfId="0" applyNumberFormat="1" applyFill="1" applyBorder="1"/>
    <xf numFmtId="10" fontId="0" fillId="2" borderId="18" xfId="3" applyNumberFormat="1" applyFont="1" applyFill="1" applyBorder="1"/>
    <xf numFmtId="10" fontId="0" fillId="2" borderId="19" xfId="3" applyNumberFormat="1" applyFont="1" applyFill="1" applyBorder="1"/>
    <xf numFmtId="0" fontId="22" fillId="7" borderId="45" xfId="0" applyFont="1" applyFill="1" applyBorder="1" applyAlignment="1">
      <alignment horizontal="left"/>
    </xf>
    <xf numFmtId="10" fontId="0" fillId="7" borderId="46" xfId="0" applyNumberFormat="1" applyFill="1" applyBorder="1"/>
    <xf numFmtId="0" fontId="22" fillId="7" borderId="15" xfId="0" applyFont="1" applyFill="1" applyBorder="1" applyAlignment="1">
      <alignment horizontal="left"/>
    </xf>
    <xf numFmtId="0" fontId="40" fillId="7" borderId="15" xfId="0" applyFont="1" applyFill="1" applyBorder="1" applyAlignment="1">
      <alignment horizontal="left" vertical="top" wrapText="1"/>
    </xf>
    <xf numFmtId="0" fontId="0" fillId="7" borderId="5" xfId="0" applyFill="1" applyBorder="1"/>
    <xf numFmtId="0" fontId="2" fillId="7" borderId="13" xfId="0" applyFont="1" applyFill="1" applyBorder="1"/>
    <xf numFmtId="0" fontId="2" fillId="7" borderId="14" xfId="0" applyFont="1" applyFill="1" applyBorder="1"/>
    <xf numFmtId="1" fontId="0" fillId="2" borderId="16" xfId="0" applyNumberFormat="1" applyFill="1" applyBorder="1"/>
    <xf numFmtId="1" fontId="0" fillId="7" borderId="0" xfId="0" applyNumberFormat="1" applyFill="1"/>
    <xf numFmtId="1" fontId="0" fillId="7" borderId="19" xfId="0" applyNumberFormat="1" applyFill="1" applyBorder="1"/>
    <xf numFmtId="1" fontId="0" fillId="7" borderId="16" xfId="0" applyNumberFormat="1" applyFill="1" applyBorder="1"/>
    <xf numFmtId="44" fontId="0" fillId="2" borderId="16" xfId="1" applyFont="1" applyFill="1" applyBorder="1"/>
    <xf numFmtId="44" fontId="0" fillId="2" borderId="19" xfId="1" applyFont="1" applyFill="1" applyBorder="1"/>
    <xf numFmtId="0" fontId="2" fillId="7" borderId="1" xfId="0" applyFont="1" applyFill="1" applyBorder="1"/>
    <xf numFmtId="1" fontId="2" fillId="2" borderId="16" xfId="0" applyNumberFormat="1" applyFont="1" applyFill="1" applyBorder="1"/>
    <xf numFmtId="0" fontId="2" fillId="7" borderId="5" xfId="0" applyFont="1" applyFill="1" applyBorder="1"/>
    <xf numFmtId="3" fontId="41" fillId="7" borderId="0" xfId="0" applyNumberFormat="1" applyFont="1" applyFill="1"/>
    <xf numFmtId="3" fontId="41" fillId="7" borderId="16" xfId="0" applyNumberFormat="1" applyFont="1" applyFill="1" applyBorder="1"/>
    <xf numFmtId="0" fontId="0" fillId="11" borderId="16" xfId="0" applyFill="1" applyBorder="1"/>
    <xf numFmtId="1" fontId="41" fillId="7" borderId="0" xfId="0" applyNumberFormat="1" applyFont="1" applyFill="1"/>
    <xf numFmtId="1" fontId="41" fillId="7" borderId="16" xfId="0" applyNumberFormat="1" applyFont="1" applyFill="1" applyBorder="1"/>
    <xf numFmtId="0" fontId="0" fillId="7" borderId="19" xfId="0" applyFill="1" applyBorder="1"/>
    <xf numFmtId="0" fontId="0" fillId="2" borderId="15" xfId="0" applyFill="1" applyBorder="1"/>
    <xf numFmtId="3" fontId="0" fillId="7" borderId="14" xfId="0" applyNumberFormat="1" applyFill="1" applyBorder="1"/>
    <xf numFmtId="1" fontId="0" fillId="12" borderId="19" xfId="0" applyNumberFormat="1" applyFill="1" applyBorder="1"/>
    <xf numFmtId="1" fontId="0" fillId="7" borderId="14" xfId="0" applyNumberFormat="1" applyFill="1" applyBorder="1"/>
    <xf numFmtId="1" fontId="0" fillId="13" borderId="19" xfId="0" applyNumberFormat="1" applyFill="1" applyBorder="1"/>
    <xf numFmtId="1" fontId="0" fillId="14" borderId="19" xfId="0" applyNumberFormat="1" applyFill="1" applyBorder="1"/>
    <xf numFmtId="1" fontId="0" fillId="12" borderId="0" xfId="0" applyNumberFormat="1" applyFill="1"/>
    <xf numFmtId="1" fontId="0" fillId="13" borderId="0" xfId="0" applyNumberFormat="1" applyFill="1"/>
    <xf numFmtId="1" fontId="0" fillId="14" borderId="0" xfId="0" applyNumberFormat="1" applyFill="1"/>
    <xf numFmtId="1" fontId="0" fillId="2" borderId="0" xfId="0" applyNumberFormat="1" applyFill="1"/>
    <xf numFmtId="1" fontId="0" fillId="11" borderId="16" xfId="0" applyNumberFormat="1" applyFill="1" applyBorder="1"/>
    <xf numFmtId="1" fontId="0" fillId="7" borderId="18" xfId="0" applyNumberFormat="1" applyFill="1" applyBorder="1"/>
    <xf numFmtId="3" fontId="0" fillId="0" borderId="19" xfId="0" applyNumberFormat="1" applyBorder="1"/>
    <xf numFmtId="3" fontId="2" fillId="0" borderId="17" xfId="0" applyNumberFormat="1" applyFont="1" applyBorder="1"/>
    <xf numFmtId="10" fontId="0" fillId="0" borderId="37" xfId="0" applyNumberFormat="1" applyBorder="1"/>
    <xf numFmtId="0" fontId="0" fillId="0" borderId="37" xfId="0" applyBorder="1"/>
    <xf numFmtId="2" fontId="0" fillId="0" borderId="37" xfId="0" applyNumberFormat="1" applyBorder="1"/>
    <xf numFmtId="10" fontId="0" fillId="0" borderId="20" xfId="0" applyNumberFormat="1" applyBorder="1"/>
    <xf numFmtId="10" fontId="0" fillId="0" borderId="41" xfId="0" applyNumberFormat="1" applyBorder="1"/>
    <xf numFmtId="0" fontId="42" fillId="0" borderId="47" xfId="0" applyFont="1" applyBorder="1" applyAlignment="1">
      <alignment horizontal="left"/>
    </xf>
    <xf numFmtId="0" fontId="41" fillId="0" borderId="48" xfId="0" applyFont="1" applyBorder="1" applyAlignment="1">
      <alignment horizontal="left"/>
    </xf>
    <xf numFmtId="0" fontId="42" fillId="0" borderId="48" xfId="0" applyFont="1" applyBorder="1" applyAlignment="1">
      <alignment horizontal="left"/>
    </xf>
    <xf numFmtId="0" fontId="41" fillId="0" borderId="49" xfId="0" applyFont="1" applyBorder="1" applyAlignment="1">
      <alignment horizontal="left"/>
    </xf>
    <xf numFmtId="0" fontId="2" fillId="0" borderId="38" xfId="0" applyFont="1" applyBorder="1"/>
    <xf numFmtId="0" fontId="2" fillId="0" borderId="21" xfId="0" applyFont="1" applyBorder="1"/>
    <xf numFmtId="0" fontId="2" fillId="0" borderId="21" xfId="2" applyNumberFormat="1" applyFont="1" applyBorder="1"/>
    <xf numFmtId="0" fontId="2" fillId="0" borderId="40" xfId="2" applyNumberFormat="1" applyFont="1" applyBorder="1"/>
    <xf numFmtId="0" fontId="0" fillId="0" borderId="34" xfId="0" applyBorder="1"/>
    <xf numFmtId="0" fontId="0" fillId="0" borderId="36" xfId="0" applyBorder="1"/>
    <xf numFmtId="0" fontId="0" fillId="0" borderId="39" xfId="0" applyBorder="1"/>
    <xf numFmtId="44" fontId="0" fillId="0" borderId="37" xfId="0" applyNumberFormat="1" applyBorder="1"/>
    <xf numFmtId="9" fontId="0" fillId="0" borderId="41" xfId="0" applyNumberFormat="1" applyBorder="1"/>
    <xf numFmtId="10" fontId="0" fillId="0" borderId="20" xfId="3" applyNumberFormat="1" applyFont="1" applyBorder="1"/>
    <xf numFmtId="44" fontId="0" fillId="0" borderId="0" xfId="1" applyFont="1" applyBorder="1"/>
    <xf numFmtId="175" fontId="0" fillId="0" borderId="0" xfId="0" applyNumberFormat="1"/>
    <xf numFmtId="175" fontId="0" fillId="0" borderId="0" xfId="1" applyNumberFormat="1" applyFont="1" applyBorder="1"/>
    <xf numFmtId="175" fontId="0" fillId="0" borderId="37" xfId="0" applyNumberFormat="1" applyBorder="1"/>
    <xf numFmtId="0" fontId="0" fillId="15" borderId="38" xfId="0" applyFill="1" applyBorder="1" applyAlignment="1">
      <alignment horizontal="center"/>
    </xf>
    <xf numFmtId="0" fontId="0" fillId="15" borderId="21" xfId="0" applyFill="1" applyBorder="1" applyAlignment="1">
      <alignment horizontal="center"/>
    </xf>
    <xf numFmtId="0" fontId="0" fillId="15" borderId="40" xfId="0" applyFill="1" applyBorder="1" applyAlignment="1">
      <alignment horizontal="center"/>
    </xf>
    <xf numFmtId="44" fontId="0" fillId="2" borderId="37" xfId="0" applyNumberFormat="1" applyFill="1" applyBorder="1"/>
    <xf numFmtId="10" fontId="0" fillId="2" borderId="41" xfId="0" applyNumberFormat="1" applyFill="1" applyBorder="1"/>
    <xf numFmtId="0" fontId="42" fillId="0" borderId="0" xfId="0" applyFont="1"/>
    <xf numFmtId="0" fontId="23" fillId="15" borderId="34" xfId="0" applyFont="1" applyFill="1" applyBorder="1" applyAlignment="1">
      <alignment horizontal="center"/>
    </xf>
    <xf numFmtId="0" fontId="23" fillId="15" borderId="33" xfId="0" applyFont="1" applyFill="1" applyBorder="1" applyAlignment="1">
      <alignment horizontal="center"/>
    </xf>
    <xf numFmtId="0" fontId="23" fillId="15" borderId="35" xfId="0" applyFont="1" applyFill="1" applyBorder="1" applyAlignment="1">
      <alignment horizontal="center"/>
    </xf>
    <xf numFmtId="44" fontId="0" fillId="0" borderId="37" xfId="1" applyFont="1" applyBorder="1"/>
    <xf numFmtId="44" fontId="0" fillId="0" borderId="20" xfId="1" applyFont="1" applyBorder="1"/>
    <xf numFmtId="175" fontId="0" fillId="0" borderId="20" xfId="0" applyNumberFormat="1" applyBorder="1"/>
    <xf numFmtId="44" fontId="0" fillId="0" borderId="41" xfId="1" applyFont="1" applyBorder="1"/>
    <xf numFmtId="0" fontId="23" fillId="0" borderId="50" xfId="0" applyFont="1" applyBorder="1"/>
    <xf numFmtId="2" fontId="0" fillId="15" borderId="33" xfId="0" applyNumberFormat="1" applyFill="1" applyBorder="1"/>
    <xf numFmtId="10" fontId="0" fillId="0" borderId="36" xfId="3" applyNumberFormat="1" applyFont="1" applyBorder="1"/>
    <xf numFmtId="10" fontId="0" fillId="15" borderId="36" xfId="3" applyNumberFormat="1" applyFont="1" applyFill="1" applyBorder="1"/>
    <xf numFmtId="2" fontId="0" fillId="0" borderId="33" xfId="0" applyNumberFormat="1" applyBorder="1"/>
    <xf numFmtId="175" fontId="0" fillId="2" borderId="33" xfId="0" applyNumberFormat="1" applyFill="1" applyBorder="1"/>
    <xf numFmtId="10" fontId="0" fillId="0" borderId="35" xfId="0" applyNumberFormat="1" applyBorder="1"/>
    <xf numFmtId="44" fontId="0" fillId="0" borderId="13" xfId="1" applyFont="1" applyBorder="1"/>
    <xf numFmtId="44" fontId="0" fillId="0" borderId="51" xfId="1" applyFont="1" applyBorder="1"/>
    <xf numFmtId="44" fontId="0" fillId="0" borderId="0" xfId="1" applyFont="1"/>
    <xf numFmtId="44" fontId="0" fillId="2" borderId="35" xfId="0" applyNumberFormat="1" applyFill="1" applyBorder="1"/>
    <xf numFmtId="173" fontId="0" fillId="0" borderId="33" xfId="3" applyNumberFormat="1" applyFont="1" applyBorder="1"/>
    <xf numFmtId="173" fontId="0" fillId="15" borderId="33" xfId="3" applyNumberFormat="1" applyFont="1" applyFill="1" applyBorder="1"/>
    <xf numFmtId="10" fontId="0" fillId="12" borderId="36" xfId="3" applyNumberFormat="1" applyFont="1" applyFill="1" applyBorder="1"/>
    <xf numFmtId="2" fontId="0" fillId="0" borderId="36" xfId="3" applyNumberFormat="1" applyFont="1" applyBorder="1"/>
    <xf numFmtId="2" fontId="0" fillId="12" borderId="36" xfId="3" applyNumberFormat="1" applyFont="1" applyFill="1" applyBorder="1"/>
    <xf numFmtId="0" fontId="5" fillId="0" borderId="0" xfId="0" applyFont="1" applyAlignment="1">
      <alignment horizontal="left" wrapText="1"/>
    </xf>
    <xf numFmtId="0" fontId="46" fillId="0" borderId="33" xfId="0" applyFont="1" applyBorder="1" applyAlignment="1">
      <alignment horizontal="center" textRotation="90"/>
    </xf>
    <xf numFmtId="0" fontId="46" fillId="0" borderId="0" xfId="0" applyFont="1" applyAlignment="1">
      <alignment horizontal="center" textRotation="90"/>
    </xf>
    <xf numFmtId="0" fontId="43" fillId="0" borderId="20" xfId="0" applyFont="1" applyBorder="1" applyAlignment="1">
      <alignment horizontal="center"/>
    </xf>
    <xf numFmtId="0" fontId="23" fillId="2" borderId="34" xfId="0" applyFont="1" applyFill="1" applyBorder="1" applyAlignment="1">
      <alignment horizontal="left"/>
    </xf>
    <xf numFmtId="0" fontId="23" fillId="2" borderId="33" xfId="0" applyFont="1" applyFill="1" applyBorder="1" applyAlignment="1">
      <alignment horizontal="left"/>
    </xf>
    <xf numFmtId="0" fontId="23" fillId="2" borderId="36" xfId="0" applyFont="1" applyFill="1" applyBorder="1" applyAlignment="1">
      <alignment horizontal="left"/>
    </xf>
    <xf numFmtId="0" fontId="23" fillId="2" borderId="0" xfId="0" applyFont="1" applyFill="1" applyAlignment="1">
      <alignment horizontal="left"/>
    </xf>
    <xf numFmtId="0" fontId="23" fillId="2" borderId="39" xfId="0" applyFont="1" applyFill="1" applyBorder="1" applyAlignment="1">
      <alignment horizontal="left"/>
    </xf>
    <xf numFmtId="0" fontId="23" fillId="2" borderId="20" xfId="0" applyFont="1" applyFill="1" applyBorder="1" applyAlignment="1">
      <alignment horizontal="left"/>
    </xf>
    <xf numFmtId="0" fontId="45" fillId="0" borderId="35" xfId="0" applyFont="1" applyBorder="1" applyAlignment="1">
      <alignment horizontal="center" textRotation="90"/>
    </xf>
    <xf numFmtId="0" fontId="45" fillId="0" borderId="37" xfId="0" applyFont="1" applyBorder="1" applyAlignment="1">
      <alignment horizontal="center" textRotation="90"/>
    </xf>
    <xf numFmtId="0" fontId="44" fillId="0" borderId="35" xfId="0" applyFont="1" applyBorder="1" applyAlignment="1">
      <alignment horizontal="center" textRotation="90"/>
    </xf>
    <xf numFmtId="0" fontId="44" fillId="0" borderId="37" xfId="0" applyFont="1" applyBorder="1" applyAlignment="1">
      <alignment horizontal="center" textRotation="90"/>
    </xf>
    <xf numFmtId="0" fontId="45" fillId="0" borderId="33" xfId="0" applyFont="1" applyBorder="1" applyAlignment="1">
      <alignment horizontal="center" textRotation="90"/>
    </xf>
    <xf numFmtId="0" fontId="45" fillId="0" borderId="0" xfId="0" applyFont="1" applyAlignment="1">
      <alignment horizontal="center" textRotation="90"/>
    </xf>
    <xf numFmtId="0" fontId="0" fillId="0" borderId="0" xfId="0" applyAlignment="1">
      <alignment horizontal="left" wrapText="1"/>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xf numFmtId="0" fontId="5" fillId="0" borderId="1" xfId="0" applyFont="1" applyBorder="1" applyAlignment="1">
      <alignment horizontal="left" wrapText="1"/>
    </xf>
    <xf numFmtId="0" fontId="5" fillId="0" borderId="2" xfId="0" applyFont="1" applyBorder="1" applyAlignment="1">
      <alignment horizontal="left" wrapText="1"/>
    </xf>
    <xf numFmtId="0" fontId="5" fillId="0" borderId="3" xfId="0" applyFont="1" applyBorder="1" applyAlignment="1">
      <alignment horizontal="left" wrapText="1"/>
    </xf>
    <xf numFmtId="0" fontId="7" fillId="0" borderId="1" xfId="0" applyFont="1" applyBorder="1" applyAlignment="1">
      <alignment horizontal="right"/>
    </xf>
    <xf numFmtId="0" fontId="7" fillId="0" borderId="3" xfId="0" applyFont="1" applyBorder="1" applyAlignment="1">
      <alignment horizontal="right"/>
    </xf>
    <xf numFmtId="0" fontId="7" fillId="0" borderId="12" xfId="0" applyFont="1" applyBorder="1" applyAlignment="1">
      <alignment horizontal="left"/>
    </xf>
    <xf numFmtId="0" fontId="7" fillId="0" borderId="13" xfId="0" applyFont="1" applyBorder="1" applyAlignment="1">
      <alignment horizontal="left"/>
    </xf>
    <xf numFmtId="0" fontId="7" fillId="0" borderId="15" xfId="0" applyFont="1" applyBorder="1" applyAlignment="1">
      <alignment horizontal="left"/>
    </xf>
    <xf numFmtId="0" fontId="7" fillId="0" borderId="0" xfId="0" applyFont="1" applyAlignment="1">
      <alignment horizontal="left"/>
    </xf>
    <xf numFmtId="0" fontId="7" fillId="2" borderId="17" xfId="0" applyFont="1" applyFill="1" applyBorder="1" applyAlignment="1">
      <alignment horizontal="left"/>
    </xf>
    <xf numFmtId="0" fontId="7" fillId="2" borderId="18" xfId="0" applyFont="1" applyFill="1" applyBorder="1" applyAlignment="1">
      <alignment horizontal="left"/>
    </xf>
    <xf numFmtId="0" fontId="13" fillId="0" borderId="12" xfId="0" applyFont="1" applyBorder="1" applyAlignment="1">
      <alignment horizontal="left"/>
    </xf>
    <xf numFmtId="0" fontId="13" fillId="0" borderId="14" xfId="0" applyFont="1" applyBorder="1" applyAlignment="1">
      <alignment horizontal="left"/>
    </xf>
    <xf numFmtId="0" fontId="7" fillId="0" borderId="12" xfId="0" applyFont="1" applyBorder="1" applyAlignment="1">
      <alignment horizontal="right"/>
    </xf>
    <xf numFmtId="0" fontId="7" fillId="0" borderId="14" xfId="0" applyFont="1" applyBorder="1" applyAlignment="1">
      <alignment horizontal="right"/>
    </xf>
    <xf numFmtId="0" fontId="7" fillId="0" borderId="15" xfId="0" applyFont="1" applyBorder="1" applyAlignment="1">
      <alignment horizontal="right"/>
    </xf>
    <xf numFmtId="0" fontId="7" fillId="0" borderId="16" xfId="0" applyFont="1" applyBorder="1" applyAlignment="1">
      <alignment horizontal="right"/>
    </xf>
    <xf numFmtId="0" fontId="5" fillId="0" borderId="12" xfId="0" applyFont="1" applyBorder="1" applyAlignment="1">
      <alignment horizontal="left" wrapText="1"/>
    </xf>
    <xf numFmtId="0" fontId="5" fillId="0" borderId="13" xfId="0" applyFont="1" applyBorder="1" applyAlignment="1">
      <alignment horizontal="left" wrapText="1"/>
    </xf>
    <xf numFmtId="0" fontId="5" fillId="0" borderId="14" xfId="0" applyFont="1" applyBorder="1" applyAlignment="1">
      <alignment horizontal="left" wrapText="1"/>
    </xf>
    <xf numFmtId="0" fontId="5" fillId="0" borderId="15" xfId="0" applyFont="1" applyBorder="1" applyAlignment="1">
      <alignment horizontal="left" wrapText="1"/>
    </xf>
    <xf numFmtId="0" fontId="5" fillId="0" borderId="0" xfId="0" applyFont="1" applyAlignment="1">
      <alignment horizontal="left" wrapText="1"/>
    </xf>
    <xf numFmtId="0" fontId="5" fillId="0" borderId="16" xfId="0" applyFont="1" applyBorder="1" applyAlignment="1">
      <alignment horizontal="left" wrapText="1"/>
    </xf>
    <xf numFmtId="0" fontId="5" fillId="0" borderId="17" xfId="0" applyFont="1" applyBorder="1" applyAlignment="1">
      <alignment horizontal="left" wrapText="1"/>
    </xf>
    <xf numFmtId="0" fontId="5" fillId="0" borderId="18" xfId="0" applyFont="1" applyBorder="1" applyAlignment="1">
      <alignment horizontal="left" wrapText="1"/>
    </xf>
    <xf numFmtId="0" fontId="5" fillId="0" borderId="19" xfId="0" applyFont="1" applyBorder="1" applyAlignment="1">
      <alignment horizontal="left" wrapText="1"/>
    </xf>
    <xf numFmtId="10" fontId="5" fillId="0" borderId="15" xfId="3" applyNumberFormat="1" applyFont="1" applyBorder="1" applyAlignment="1">
      <alignment horizontal="center"/>
    </xf>
    <xf numFmtId="10" fontId="5" fillId="0" borderId="16" xfId="3" applyNumberFormat="1" applyFont="1" applyBorder="1" applyAlignment="1">
      <alignment horizontal="center"/>
    </xf>
    <xf numFmtId="10" fontId="5" fillId="0" borderId="17" xfId="3" applyNumberFormat="1" applyFont="1" applyBorder="1" applyAlignment="1">
      <alignment horizontal="center"/>
    </xf>
    <xf numFmtId="10" fontId="5" fillId="0" borderId="19" xfId="3" applyNumberFormat="1" applyFont="1" applyBorder="1" applyAlignment="1">
      <alignment horizontal="center"/>
    </xf>
    <xf numFmtId="0" fontId="18" fillId="0" borderId="1" xfId="0" applyFont="1" applyBorder="1" applyAlignment="1">
      <alignment horizontal="left"/>
    </xf>
    <xf numFmtId="0" fontId="18" fillId="0" borderId="3" xfId="0" applyFont="1" applyBorder="1" applyAlignment="1">
      <alignment horizontal="left"/>
    </xf>
    <xf numFmtId="10" fontId="5" fillId="0" borderId="12" xfId="3" applyNumberFormat="1" applyFont="1" applyBorder="1" applyAlignment="1">
      <alignment horizontal="center"/>
    </xf>
    <xf numFmtId="10" fontId="5" fillId="0" borderId="14" xfId="3" applyNumberFormat="1" applyFont="1" applyBorder="1" applyAlignment="1">
      <alignment horizontal="center"/>
    </xf>
    <xf numFmtId="0" fontId="18" fillId="0" borderId="12" xfId="0" applyFont="1" applyBorder="1" applyAlignment="1">
      <alignment horizontal="center"/>
    </xf>
    <xf numFmtId="0" fontId="18" fillId="0" borderId="13" xfId="0" applyFont="1" applyBorder="1" applyAlignment="1">
      <alignment horizontal="center"/>
    </xf>
    <xf numFmtId="0" fontId="5" fillId="0" borderId="12" xfId="0" applyFont="1" applyBorder="1" applyAlignment="1">
      <alignment horizontal="left"/>
    </xf>
    <xf numFmtId="0" fontId="5" fillId="0" borderId="13" xfId="0" applyFont="1" applyBorder="1" applyAlignment="1">
      <alignment horizontal="left"/>
    </xf>
    <xf numFmtId="0" fontId="5" fillId="0" borderId="15" xfId="0" applyFont="1" applyBorder="1" applyAlignment="1">
      <alignment horizontal="left"/>
    </xf>
    <xf numFmtId="0" fontId="5" fillId="0" borderId="0" xfId="0" applyFont="1" applyAlignment="1">
      <alignment horizontal="left"/>
    </xf>
    <xf numFmtId="0" fontId="2" fillId="0" borderId="15" xfId="0" applyFont="1" applyBorder="1" applyAlignment="1">
      <alignment horizontal="left"/>
    </xf>
    <xf numFmtId="0" fontId="2" fillId="0" borderId="0" xfId="0" applyFont="1" applyAlignment="1">
      <alignment horizontal="left"/>
    </xf>
    <xf numFmtId="0" fontId="2" fillId="2" borderId="17" xfId="0" applyFont="1" applyFill="1" applyBorder="1" applyAlignment="1">
      <alignment horizontal="left"/>
    </xf>
    <xf numFmtId="0" fontId="2" fillId="2" borderId="18" xfId="0" applyFont="1" applyFill="1" applyBorder="1" applyAlignment="1">
      <alignment horizontal="left"/>
    </xf>
    <xf numFmtId="0" fontId="10" fillId="2" borderId="0" xfId="0" applyFont="1" applyFill="1" applyAlignment="1">
      <alignment horizontal="left"/>
    </xf>
  </cellXfs>
  <cellStyles count="6">
    <cellStyle name="ColumnHeaderNormal" xfId="5" xr:uid="{5429BF5F-E1F6-3846-B8A0-81118F2B29FB}"/>
    <cellStyle name="Comma" xfId="2" builtinId="3"/>
    <cellStyle name="Currency" xfId="1" builtinId="4"/>
    <cellStyle name="Normal" xfId="0" builtinId="0"/>
    <cellStyle name="Percent" xfId="3" builtinId="5"/>
    <cellStyle name="TextNormal" xfId="4" xr:uid="{1B73197A-B076-624D-8996-10211561E7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8.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9.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0.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6.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7.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18.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19.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0.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1.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2.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3.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4.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5.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26.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27.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28.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29.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0.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1.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7.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EBITDA</a:t>
            </a:r>
            <a:r>
              <a:rPr lang="en-US" baseline="0"/>
              <a:t> vs 3- Year Revenue Growth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'CF Multiples Final'!$C$4</c:f>
              <c:strCache>
                <c:ptCount val="1"/>
                <c:pt idx="0">
                  <c:v>Historical growth in Revenues - Last 3 years</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'CF Multiples Final'!$B$5:$B$50</c:f>
              <c:numCache>
                <c:formatCode>General</c:formatCode>
                <c:ptCount val="46"/>
                <c:pt idx="0">
                  <c:v>9.49</c:v>
                </c:pt>
                <c:pt idx="1">
                  <c:v>18.579999999999998</c:v>
                </c:pt>
                <c:pt idx="2">
                  <c:v>11.36</c:v>
                </c:pt>
                <c:pt idx="3">
                  <c:v>9.76</c:v>
                </c:pt>
                <c:pt idx="4">
                  <c:v>11.04</c:v>
                </c:pt>
                <c:pt idx="5">
                  <c:v>8.1</c:v>
                </c:pt>
                <c:pt idx="6">
                  <c:v>7.56</c:v>
                </c:pt>
                <c:pt idx="7">
                  <c:v>9.36</c:v>
                </c:pt>
                <c:pt idx="8">
                  <c:v>7.45</c:v>
                </c:pt>
                <c:pt idx="9">
                  <c:v>12.19</c:v>
                </c:pt>
                <c:pt idx="10">
                  <c:v>9.2100000000000009</c:v>
                </c:pt>
                <c:pt idx="11">
                  <c:v>5.67</c:v>
                </c:pt>
                <c:pt idx="12">
                  <c:v>9.5399999999999991</c:v>
                </c:pt>
                <c:pt idx="13">
                  <c:v>21.57</c:v>
                </c:pt>
                <c:pt idx="14">
                  <c:v>7.6</c:v>
                </c:pt>
                <c:pt idx="15">
                  <c:v>9.0299999999999994</c:v>
                </c:pt>
                <c:pt idx="16">
                  <c:v>8.68</c:v>
                </c:pt>
                <c:pt idx="17">
                  <c:v>7.46</c:v>
                </c:pt>
                <c:pt idx="18">
                  <c:v>8.91</c:v>
                </c:pt>
                <c:pt idx="19">
                  <c:v>16.940000000000001</c:v>
                </c:pt>
                <c:pt idx="20">
                  <c:v>10.8</c:v>
                </c:pt>
                <c:pt idx="21">
                  <c:v>20.100000000000001</c:v>
                </c:pt>
                <c:pt idx="22">
                  <c:v>11</c:v>
                </c:pt>
                <c:pt idx="23">
                  <c:v>8.4700000000000006</c:v>
                </c:pt>
                <c:pt idx="24">
                  <c:v>7.16</c:v>
                </c:pt>
                <c:pt idx="25">
                  <c:v>13.04</c:v>
                </c:pt>
                <c:pt idx="26">
                  <c:v>4.88</c:v>
                </c:pt>
                <c:pt idx="27">
                  <c:v>8.76</c:v>
                </c:pt>
                <c:pt idx="28">
                  <c:v>8.59</c:v>
                </c:pt>
                <c:pt idx="29">
                  <c:v>17.02</c:v>
                </c:pt>
                <c:pt idx="30">
                  <c:v>3.59</c:v>
                </c:pt>
                <c:pt idx="31">
                  <c:v>2.73</c:v>
                </c:pt>
                <c:pt idx="32">
                  <c:v>5.72</c:v>
                </c:pt>
                <c:pt idx="33">
                  <c:v>23.24</c:v>
                </c:pt>
                <c:pt idx="34">
                  <c:v>5.0599999999999996</c:v>
                </c:pt>
                <c:pt idx="35">
                  <c:v>4.53</c:v>
                </c:pt>
                <c:pt idx="36">
                  <c:v>2.5099999999999998</c:v>
                </c:pt>
                <c:pt idx="37">
                  <c:v>4.3600000000000003</c:v>
                </c:pt>
                <c:pt idx="38">
                  <c:v>7.92</c:v>
                </c:pt>
                <c:pt idx="39">
                  <c:v>8.85</c:v>
                </c:pt>
                <c:pt idx="40">
                  <c:v>2.52</c:v>
                </c:pt>
                <c:pt idx="41">
                  <c:v>3.59</c:v>
                </c:pt>
                <c:pt idx="42">
                  <c:v>19.690000000000001</c:v>
                </c:pt>
                <c:pt idx="43">
                  <c:v>14.64</c:v>
                </c:pt>
                <c:pt idx="44">
                  <c:v>8.1999999999999993</c:v>
                </c:pt>
                <c:pt idx="45">
                  <c:v>19.239999999999998</c:v>
                </c:pt>
              </c:numCache>
            </c:numRef>
          </c:xVal>
          <c:yVal>
            <c:numRef>
              <c:f>'CF Multiples Final'!$C$5:$C$50</c:f>
              <c:numCache>
                <c:formatCode>0.00%</c:formatCode>
                <c:ptCount val="46"/>
                <c:pt idx="0">
                  <c:v>-3.78E-2</c:v>
                </c:pt>
                <c:pt idx="1">
                  <c:v>-3.3700000000000001E-2</c:v>
                </c:pt>
                <c:pt idx="2">
                  <c:v>-3.6499999999999998E-2</c:v>
                </c:pt>
                <c:pt idx="3">
                  <c:v>-1.1000000000000001E-3</c:v>
                </c:pt>
                <c:pt idx="4">
                  <c:v>0.27300000000000002</c:v>
                </c:pt>
                <c:pt idx="5">
                  <c:v>-5.3400000000000003E-2</c:v>
                </c:pt>
                <c:pt idx="6">
                  <c:v>3.2000000000000002E-3</c:v>
                </c:pt>
                <c:pt idx="7">
                  <c:v>0.17199999999999999</c:v>
                </c:pt>
                <c:pt idx="8">
                  <c:v>1.46E-2</c:v>
                </c:pt>
                <c:pt idx="9">
                  <c:v>7.7700000000000005E-2</c:v>
                </c:pt>
                <c:pt idx="10">
                  <c:v>7.4200000000000002E-2</c:v>
                </c:pt>
                <c:pt idx="11">
                  <c:v>9.1200000000000003E-2</c:v>
                </c:pt>
                <c:pt idx="12">
                  <c:v>8.7499999999999994E-2</c:v>
                </c:pt>
                <c:pt idx="13">
                  <c:v>5.5300000000000002E-2</c:v>
                </c:pt>
                <c:pt idx="14">
                  <c:v>0.128</c:v>
                </c:pt>
                <c:pt idx="15">
                  <c:v>2.6800000000000001E-2</c:v>
                </c:pt>
                <c:pt idx="16">
                  <c:v>1.6299999999999999E-2</c:v>
                </c:pt>
                <c:pt idx="17">
                  <c:v>1.0500000000000001E-2</c:v>
                </c:pt>
                <c:pt idx="18">
                  <c:v>8.6999999999999994E-3</c:v>
                </c:pt>
                <c:pt idx="19">
                  <c:v>9.2600000000000002E-2</c:v>
                </c:pt>
                <c:pt idx="20">
                  <c:v>-0.26800000000000002</c:v>
                </c:pt>
                <c:pt idx="21">
                  <c:v>-5.1499999999999997E-2</c:v>
                </c:pt>
                <c:pt idx="22">
                  <c:v>4.58E-2</c:v>
                </c:pt>
                <c:pt idx="23">
                  <c:v>-5.9999999999999995E-4</c:v>
                </c:pt>
                <c:pt idx="24">
                  <c:v>4.02E-2</c:v>
                </c:pt>
                <c:pt idx="25">
                  <c:v>0.14099999999999999</c:v>
                </c:pt>
                <c:pt idx="26">
                  <c:v>-1.6000000000000001E-3</c:v>
                </c:pt>
                <c:pt idx="27">
                  <c:v>-5.9999999999999995E-4</c:v>
                </c:pt>
                <c:pt idx="28">
                  <c:v>0.154</c:v>
                </c:pt>
                <c:pt idx="29">
                  <c:v>3.6400000000000002E-2</c:v>
                </c:pt>
                <c:pt idx="30">
                  <c:v>2.41E-2</c:v>
                </c:pt>
                <c:pt idx="31">
                  <c:v>-4.7199999999999999E-2</c:v>
                </c:pt>
                <c:pt idx="32">
                  <c:v>4.58E-2</c:v>
                </c:pt>
                <c:pt idx="33">
                  <c:v>0.155</c:v>
                </c:pt>
                <c:pt idx="34">
                  <c:v>-2.8999999999999998E-3</c:v>
                </c:pt>
                <c:pt idx="35">
                  <c:v>0.106</c:v>
                </c:pt>
                <c:pt idx="36">
                  <c:v>-9.2999999999999992E-3</c:v>
                </c:pt>
                <c:pt idx="37">
                  <c:v>4.5100000000000001E-2</c:v>
                </c:pt>
                <c:pt idx="38">
                  <c:v>8.5999999999999993E-2</c:v>
                </c:pt>
                <c:pt idx="39">
                  <c:v>-8.0999999999999996E-3</c:v>
                </c:pt>
                <c:pt idx="40">
                  <c:v>8.0199999999999994E-2</c:v>
                </c:pt>
                <c:pt idx="41">
                  <c:v>7.6899999999999996E-2</c:v>
                </c:pt>
                <c:pt idx="42">
                  <c:v>8.7099999999999997E-2</c:v>
                </c:pt>
                <c:pt idx="43">
                  <c:v>-2.7300000000000001E-2</c:v>
                </c:pt>
                <c:pt idx="44">
                  <c:v>7.2700000000000001E-2</c:v>
                </c:pt>
                <c:pt idx="45">
                  <c:v>0.19500000000000001</c:v>
                </c:pt>
              </c:numCache>
            </c:numRef>
          </c:yVal>
          <c:smooth val="0"/>
          <c:extLst>
            <c:ext xmlns:c16="http://schemas.microsoft.com/office/drawing/2014/chart" uri="{C3380CC4-5D6E-409C-BE32-E72D297353CC}">
              <c16:uniqueId val="{00000001-C783-7648-9ABE-C2B1C9B4E692}"/>
            </c:ext>
          </c:extLst>
        </c:ser>
        <c:dLbls>
          <c:showLegendKey val="0"/>
          <c:showVal val="0"/>
          <c:showCatName val="0"/>
          <c:showSerName val="0"/>
          <c:showPercent val="0"/>
          <c:showBubbleSize val="0"/>
        </c:dLbls>
        <c:axId val="145065632"/>
        <c:axId val="1423178608"/>
      </c:scatterChart>
      <c:valAx>
        <c:axId val="145065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178608"/>
        <c:crosses val="autoZero"/>
        <c:crossBetween val="midCat"/>
      </c:valAx>
      <c:valAx>
        <c:axId val="14231786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656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EBITDA vs Beta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'CF Multiples Final'!$D$4</c:f>
              <c:strCache>
                <c:ptCount val="1"/>
                <c:pt idx="0">
                  <c:v>Beta</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'CF Multiples Final'!$B$5:$B$50</c:f>
              <c:numCache>
                <c:formatCode>General</c:formatCode>
                <c:ptCount val="46"/>
                <c:pt idx="0">
                  <c:v>9.49</c:v>
                </c:pt>
                <c:pt idx="1">
                  <c:v>18.579999999999998</c:v>
                </c:pt>
                <c:pt idx="2">
                  <c:v>11.36</c:v>
                </c:pt>
                <c:pt idx="3">
                  <c:v>9.76</c:v>
                </c:pt>
                <c:pt idx="4">
                  <c:v>11.04</c:v>
                </c:pt>
                <c:pt idx="5">
                  <c:v>8.1</c:v>
                </c:pt>
                <c:pt idx="6">
                  <c:v>7.56</c:v>
                </c:pt>
                <c:pt idx="7">
                  <c:v>9.36</c:v>
                </c:pt>
                <c:pt idx="8">
                  <c:v>7.45</c:v>
                </c:pt>
                <c:pt idx="9">
                  <c:v>12.19</c:v>
                </c:pt>
                <c:pt idx="10">
                  <c:v>9.2100000000000009</c:v>
                </c:pt>
                <c:pt idx="11">
                  <c:v>5.67</c:v>
                </c:pt>
                <c:pt idx="12">
                  <c:v>9.5399999999999991</c:v>
                </c:pt>
                <c:pt idx="13">
                  <c:v>21.57</c:v>
                </c:pt>
                <c:pt idx="14">
                  <c:v>7.6</c:v>
                </c:pt>
                <c:pt idx="15">
                  <c:v>9.0299999999999994</c:v>
                </c:pt>
                <c:pt idx="16">
                  <c:v>8.68</c:v>
                </c:pt>
                <c:pt idx="17">
                  <c:v>7.46</c:v>
                </c:pt>
                <c:pt idx="18">
                  <c:v>8.91</c:v>
                </c:pt>
                <c:pt idx="19">
                  <c:v>16.940000000000001</c:v>
                </c:pt>
                <c:pt idx="20">
                  <c:v>10.8</c:v>
                </c:pt>
                <c:pt idx="21">
                  <c:v>20.100000000000001</c:v>
                </c:pt>
                <c:pt idx="22">
                  <c:v>11</c:v>
                </c:pt>
                <c:pt idx="23">
                  <c:v>8.4700000000000006</c:v>
                </c:pt>
                <c:pt idx="24">
                  <c:v>7.16</c:v>
                </c:pt>
                <c:pt idx="25">
                  <c:v>13.04</c:v>
                </c:pt>
                <c:pt idx="26">
                  <c:v>4.88</c:v>
                </c:pt>
                <c:pt idx="27">
                  <c:v>8.76</c:v>
                </c:pt>
                <c:pt idx="28">
                  <c:v>8.59</c:v>
                </c:pt>
                <c:pt idx="29">
                  <c:v>17.02</c:v>
                </c:pt>
                <c:pt idx="30">
                  <c:v>3.59</c:v>
                </c:pt>
                <c:pt idx="31">
                  <c:v>2.73</c:v>
                </c:pt>
                <c:pt idx="32">
                  <c:v>5.72</c:v>
                </c:pt>
                <c:pt idx="33">
                  <c:v>23.24</c:v>
                </c:pt>
                <c:pt idx="34">
                  <c:v>5.0599999999999996</c:v>
                </c:pt>
                <c:pt idx="35">
                  <c:v>4.53</c:v>
                </c:pt>
                <c:pt idx="36">
                  <c:v>2.5099999999999998</c:v>
                </c:pt>
                <c:pt idx="37">
                  <c:v>4.3600000000000003</c:v>
                </c:pt>
                <c:pt idx="38">
                  <c:v>7.92</c:v>
                </c:pt>
                <c:pt idx="39">
                  <c:v>8.85</c:v>
                </c:pt>
                <c:pt idx="40">
                  <c:v>2.52</c:v>
                </c:pt>
                <c:pt idx="41">
                  <c:v>3.59</c:v>
                </c:pt>
                <c:pt idx="42">
                  <c:v>19.690000000000001</c:v>
                </c:pt>
                <c:pt idx="43">
                  <c:v>14.64</c:v>
                </c:pt>
                <c:pt idx="44">
                  <c:v>8.1999999999999993</c:v>
                </c:pt>
                <c:pt idx="45">
                  <c:v>19.239999999999998</c:v>
                </c:pt>
              </c:numCache>
            </c:numRef>
          </c:xVal>
          <c:yVal>
            <c:numRef>
              <c:f>'CF Multiples Final'!$D$5:$D$50</c:f>
              <c:numCache>
                <c:formatCode>General</c:formatCode>
                <c:ptCount val="46"/>
                <c:pt idx="0">
                  <c:v>2.1</c:v>
                </c:pt>
                <c:pt idx="1">
                  <c:v>1.01</c:v>
                </c:pt>
                <c:pt idx="2">
                  <c:v>1.52</c:v>
                </c:pt>
                <c:pt idx="3">
                  <c:v>1.01</c:v>
                </c:pt>
                <c:pt idx="4">
                  <c:v>1.71</c:v>
                </c:pt>
                <c:pt idx="5">
                  <c:v>0.71</c:v>
                </c:pt>
                <c:pt idx="6">
                  <c:v>0.99</c:v>
                </c:pt>
                <c:pt idx="7">
                  <c:v>0.52</c:v>
                </c:pt>
                <c:pt idx="8">
                  <c:v>1.1100000000000001</c:v>
                </c:pt>
                <c:pt idx="9">
                  <c:v>0.59</c:v>
                </c:pt>
                <c:pt idx="10">
                  <c:v>0.66</c:v>
                </c:pt>
                <c:pt idx="11">
                  <c:v>0.06</c:v>
                </c:pt>
                <c:pt idx="12">
                  <c:v>0.85</c:v>
                </c:pt>
                <c:pt idx="13">
                  <c:v>0.99</c:v>
                </c:pt>
                <c:pt idx="14">
                  <c:v>1.1499999999999999</c:v>
                </c:pt>
                <c:pt idx="15">
                  <c:v>0.99</c:v>
                </c:pt>
                <c:pt idx="16">
                  <c:v>0.35</c:v>
                </c:pt>
                <c:pt idx="17">
                  <c:v>1.01</c:v>
                </c:pt>
                <c:pt idx="18">
                  <c:v>0.94</c:v>
                </c:pt>
                <c:pt idx="19">
                  <c:v>0.86</c:v>
                </c:pt>
                <c:pt idx="20">
                  <c:v>1.39</c:v>
                </c:pt>
                <c:pt idx="21">
                  <c:v>1.1100000000000001</c:v>
                </c:pt>
                <c:pt idx="22">
                  <c:v>0.75</c:v>
                </c:pt>
                <c:pt idx="23">
                  <c:v>0.44</c:v>
                </c:pt>
                <c:pt idx="24">
                  <c:v>1.25</c:v>
                </c:pt>
                <c:pt idx="25">
                  <c:v>0.96</c:v>
                </c:pt>
                <c:pt idx="26">
                  <c:v>2.11</c:v>
                </c:pt>
                <c:pt idx="27">
                  <c:v>0.95</c:v>
                </c:pt>
                <c:pt idx="28">
                  <c:v>0.65</c:v>
                </c:pt>
                <c:pt idx="29">
                  <c:v>0.5</c:v>
                </c:pt>
                <c:pt idx="30">
                  <c:v>0.97</c:v>
                </c:pt>
                <c:pt idx="31">
                  <c:v>0.84</c:v>
                </c:pt>
                <c:pt idx="32">
                  <c:v>0.75</c:v>
                </c:pt>
                <c:pt idx="33">
                  <c:v>0.65</c:v>
                </c:pt>
                <c:pt idx="34">
                  <c:v>0.65</c:v>
                </c:pt>
                <c:pt idx="35">
                  <c:v>0.09</c:v>
                </c:pt>
                <c:pt idx="36">
                  <c:v>0.59</c:v>
                </c:pt>
                <c:pt idx="37">
                  <c:v>0.64</c:v>
                </c:pt>
                <c:pt idx="38">
                  <c:v>0.08</c:v>
                </c:pt>
                <c:pt idx="39">
                  <c:v>1.27</c:v>
                </c:pt>
                <c:pt idx="40">
                  <c:v>0.42</c:v>
                </c:pt>
                <c:pt idx="41">
                  <c:v>0.12</c:v>
                </c:pt>
                <c:pt idx="42">
                  <c:v>1.28</c:v>
                </c:pt>
                <c:pt idx="43">
                  <c:v>1.42</c:v>
                </c:pt>
                <c:pt idx="44">
                  <c:v>0.19</c:v>
                </c:pt>
                <c:pt idx="45">
                  <c:v>1.45</c:v>
                </c:pt>
              </c:numCache>
            </c:numRef>
          </c:yVal>
          <c:smooth val="0"/>
          <c:extLst>
            <c:ext xmlns:c16="http://schemas.microsoft.com/office/drawing/2014/chart" uri="{C3380CC4-5D6E-409C-BE32-E72D297353CC}">
              <c16:uniqueId val="{00000000-FCA5-AF49-8F3C-3B8A615D1DD4}"/>
            </c:ext>
          </c:extLst>
        </c:ser>
        <c:dLbls>
          <c:showLegendKey val="0"/>
          <c:showVal val="0"/>
          <c:showCatName val="0"/>
          <c:showSerName val="0"/>
          <c:showPercent val="0"/>
          <c:showBubbleSize val="0"/>
        </c:dLbls>
        <c:axId val="1654645824"/>
        <c:axId val="1654647536"/>
      </c:scatterChart>
      <c:valAx>
        <c:axId val="1654645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647536"/>
        <c:crosses val="autoZero"/>
        <c:crossBetween val="midCat"/>
      </c:valAx>
      <c:valAx>
        <c:axId val="165464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6458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EBITDA vs Payout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'CF Multiples Final'!$E$4</c:f>
              <c:strCache>
                <c:ptCount val="1"/>
                <c:pt idx="0">
                  <c:v>Payout ratio</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'CF Multiples Final'!$B$5:$B$50</c:f>
              <c:numCache>
                <c:formatCode>General</c:formatCode>
                <c:ptCount val="46"/>
                <c:pt idx="0">
                  <c:v>9.49</c:v>
                </c:pt>
                <c:pt idx="1">
                  <c:v>18.579999999999998</c:v>
                </c:pt>
                <c:pt idx="2">
                  <c:v>11.36</c:v>
                </c:pt>
                <c:pt idx="3">
                  <c:v>9.76</c:v>
                </c:pt>
                <c:pt idx="4">
                  <c:v>11.04</c:v>
                </c:pt>
                <c:pt idx="5">
                  <c:v>8.1</c:v>
                </c:pt>
                <c:pt idx="6">
                  <c:v>7.56</c:v>
                </c:pt>
                <c:pt idx="7">
                  <c:v>9.36</c:v>
                </c:pt>
                <c:pt idx="8">
                  <c:v>7.45</c:v>
                </c:pt>
                <c:pt idx="9">
                  <c:v>12.19</c:v>
                </c:pt>
                <c:pt idx="10">
                  <c:v>9.2100000000000009</c:v>
                </c:pt>
                <c:pt idx="11">
                  <c:v>5.67</c:v>
                </c:pt>
                <c:pt idx="12">
                  <c:v>9.5399999999999991</c:v>
                </c:pt>
                <c:pt idx="13">
                  <c:v>21.57</c:v>
                </c:pt>
                <c:pt idx="14">
                  <c:v>7.6</c:v>
                </c:pt>
                <c:pt idx="15">
                  <c:v>9.0299999999999994</c:v>
                </c:pt>
                <c:pt idx="16">
                  <c:v>8.68</c:v>
                </c:pt>
                <c:pt idx="17">
                  <c:v>7.46</c:v>
                </c:pt>
                <c:pt idx="18">
                  <c:v>8.91</c:v>
                </c:pt>
                <c:pt idx="19">
                  <c:v>16.940000000000001</c:v>
                </c:pt>
                <c:pt idx="20">
                  <c:v>10.8</c:v>
                </c:pt>
                <c:pt idx="21">
                  <c:v>20.100000000000001</c:v>
                </c:pt>
                <c:pt idx="22">
                  <c:v>11</c:v>
                </c:pt>
                <c:pt idx="23">
                  <c:v>8.4700000000000006</c:v>
                </c:pt>
                <c:pt idx="24">
                  <c:v>7.16</c:v>
                </c:pt>
                <c:pt idx="25">
                  <c:v>13.04</c:v>
                </c:pt>
                <c:pt idx="26">
                  <c:v>4.88</c:v>
                </c:pt>
                <c:pt idx="27">
                  <c:v>8.76</c:v>
                </c:pt>
                <c:pt idx="28">
                  <c:v>8.59</c:v>
                </c:pt>
                <c:pt idx="29">
                  <c:v>17.02</c:v>
                </c:pt>
                <c:pt idx="30">
                  <c:v>3.59</c:v>
                </c:pt>
                <c:pt idx="31">
                  <c:v>2.73</c:v>
                </c:pt>
                <c:pt idx="32">
                  <c:v>5.72</c:v>
                </c:pt>
                <c:pt idx="33">
                  <c:v>23.24</c:v>
                </c:pt>
                <c:pt idx="34">
                  <c:v>5.0599999999999996</c:v>
                </c:pt>
                <c:pt idx="35">
                  <c:v>4.53</c:v>
                </c:pt>
                <c:pt idx="36">
                  <c:v>2.5099999999999998</c:v>
                </c:pt>
                <c:pt idx="37">
                  <c:v>4.3600000000000003</c:v>
                </c:pt>
                <c:pt idx="38">
                  <c:v>7.92</c:v>
                </c:pt>
                <c:pt idx="39">
                  <c:v>8.85</c:v>
                </c:pt>
                <c:pt idx="40">
                  <c:v>2.52</c:v>
                </c:pt>
                <c:pt idx="41">
                  <c:v>3.59</c:v>
                </c:pt>
                <c:pt idx="42">
                  <c:v>19.690000000000001</c:v>
                </c:pt>
                <c:pt idx="43">
                  <c:v>14.64</c:v>
                </c:pt>
                <c:pt idx="44">
                  <c:v>8.1999999999999993</c:v>
                </c:pt>
                <c:pt idx="45">
                  <c:v>19.239999999999998</c:v>
                </c:pt>
              </c:numCache>
            </c:numRef>
          </c:xVal>
          <c:yVal>
            <c:numRef>
              <c:f>'CF Multiples Final'!$E$5:$E$50</c:f>
              <c:numCache>
                <c:formatCode>0.00%</c:formatCode>
                <c:ptCount val="46"/>
                <c:pt idx="0">
                  <c:v>0.59989999999999999</c:v>
                </c:pt>
                <c:pt idx="1">
                  <c:v>0.22</c:v>
                </c:pt>
                <c:pt idx="2">
                  <c:v>0.4511</c:v>
                </c:pt>
                <c:pt idx="3">
                  <c:v>0.8024</c:v>
                </c:pt>
                <c:pt idx="4">
                  <c:v>0</c:v>
                </c:pt>
                <c:pt idx="5">
                  <c:v>0.58720000000000006</c:v>
                </c:pt>
                <c:pt idx="6">
                  <c:v>0.34839999999999999</c:v>
                </c:pt>
                <c:pt idx="7">
                  <c:v>0.1638</c:v>
                </c:pt>
                <c:pt idx="8">
                  <c:v>0.67400000000000004</c:v>
                </c:pt>
                <c:pt idx="9">
                  <c:v>0.38519999999999999</c:v>
                </c:pt>
                <c:pt idx="10">
                  <c:v>0.93120000000000003</c:v>
                </c:pt>
                <c:pt idx="11">
                  <c:v>0.67920000000000003</c:v>
                </c:pt>
                <c:pt idx="12">
                  <c:v>0.21690000000000001</c:v>
                </c:pt>
                <c:pt idx="13">
                  <c:v>0.22270000000000001</c:v>
                </c:pt>
                <c:pt idx="14">
                  <c:v>0.5</c:v>
                </c:pt>
                <c:pt idx="15">
                  <c:v>0.77049999999999996</c:v>
                </c:pt>
                <c:pt idx="16">
                  <c:v>0.44390000000000002</c:v>
                </c:pt>
                <c:pt idx="17">
                  <c:v>0.3458</c:v>
                </c:pt>
                <c:pt idx="18">
                  <c:v>0.43580000000000002</c:v>
                </c:pt>
                <c:pt idx="19">
                  <c:v>0.1409</c:v>
                </c:pt>
                <c:pt idx="20">
                  <c:v>0.91259999999999997</c:v>
                </c:pt>
                <c:pt idx="21">
                  <c:v>1.0129999999999999</c:v>
                </c:pt>
                <c:pt idx="22">
                  <c:v>0.56269999999999998</c:v>
                </c:pt>
                <c:pt idx="23">
                  <c:v>0.78569999999999995</c:v>
                </c:pt>
                <c:pt idx="24">
                  <c:v>0.25540000000000002</c:v>
                </c:pt>
                <c:pt idx="25">
                  <c:v>0.81410000000000005</c:v>
                </c:pt>
                <c:pt idx="26">
                  <c:v>0.11360000000000001</c:v>
                </c:pt>
                <c:pt idx="27">
                  <c:v>0.4824</c:v>
                </c:pt>
                <c:pt idx="28">
                  <c:v>0.75609999999999999</c:v>
                </c:pt>
                <c:pt idx="29">
                  <c:v>0.31090000000000001</c:v>
                </c:pt>
                <c:pt idx="30">
                  <c:v>0.22900000000000001</c:v>
                </c:pt>
                <c:pt idx="31">
                  <c:v>0.21329999999999999</c:v>
                </c:pt>
                <c:pt idx="32">
                  <c:v>0.38159999999999999</c:v>
                </c:pt>
                <c:pt idx="33">
                  <c:v>0</c:v>
                </c:pt>
                <c:pt idx="34">
                  <c:v>0.12920000000000001</c:v>
                </c:pt>
                <c:pt idx="35">
                  <c:v>0.4788</c:v>
                </c:pt>
                <c:pt idx="36">
                  <c:v>0.23330000000000001</c:v>
                </c:pt>
                <c:pt idx="37">
                  <c:v>0.13300000000000001</c:v>
                </c:pt>
                <c:pt idx="38">
                  <c:v>3.7999999999999999E-2</c:v>
                </c:pt>
                <c:pt idx="39">
                  <c:v>0.15</c:v>
                </c:pt>
                <c:pt idx="40">
                  <c:v>0</c:v>
                </c:pt>
                <c:pt idx="41">
                  <c:v>0.61180000000000001</c:v>
                </c:pt>
                <c:pt idx="42">
                  <c:v>0.3291</c:v>
                </c:pt>
                <c:pt idx="43">
                  <c:v>0</c:v>
                </c:pt>
                <c:pt idx="44">
                  <c:v>0</c:v>
                </c:pt>
                <c:pt idx="45">
                  <c:v>0</c:v>
                </c:pt>
              </c:numCache>
            </c:numRef>
          </c:yVal>
          <c:smooth val="0"/>
          <c:extLst>
            <c:ext xmlns:c16="http://schemas.microsoft.com/office/drawing/2014/chart" uri="{C3380CC4-5D6E-409C-BE32-E72D297353CC}">
              <c16:uniqueId val="{00000000-ECBC-5F4C-B71B-3DF7B28BD7AF}"/>
            </c:ext>
          </c:extLst>
        </c:ser>
        <c:dLbls>
          <c:showLegendKey val="0"/>
          <c:showVal val="0"/>
          <c:showCatName val="0"/>
          <c:showSerName val="0"/>
          <c:showPercent val="0"/>
          <c:showBubbleSize val="0"/>
        </c:dLbls>
        <c:axId val="1611300160"/>
        <c:axId val="287903327"/>
      </c:scatterChart>
      <c:valAx>
        <c:axId val="1611300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903327"/>
        <c:crosses val="autoZero"/>
        <c:crossBetween val="midCat"/>
      </c:valAx>
      <c:valAx>
        <c:axId val="2879033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3001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Historical Revenue Growth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'UPS - Income Statement - Annual'!$AH$4</c:f>
              <c:strCache>
                <c:ptCount val="1"/>
                <c:pt idx="0">
                  <c:v>Revenue Growth</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'UPS - Income Statement - Annual'!$AG$5:$AG$29</c:f>
              <c:numCache>
                <c:formatCode>General</c:formatCode>
                <c:ptCount val="25"/>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numCache>
            </c:numRef>
          </c:xVal>
          <c:yVal>
            <c:numRef>
              <c:f>'UPS - Income Statement - Annual'!$AH$5:$AH$29</c:f>
              <c:numCache>
                <c:formatCode>0.00%</c:formatCode>
                <c:ptCount val="25"/>
                <c:pt idx="0">
                  <c:v>2.9391018104867106E-2</c:v>
                </c:pt>
                <c:pt idx="1">
                  <c:v>2.0426809371532961E-2</c:v>
                </c:pt>
                <c:pt idx="2">
                  <c:v>7.0766180608851315E-2</c:v>
                </c:pt>
                <c:pt idx="3">
                  <c:v>9.2489174257130102E-2</c:v>
                </c:pt>
                <c:pt idx="4">
                  <c:v>0.16398775353999229</c:v>
                </c:pt>
                <c:pt idx="5">
                  <c:v>0.11662478570254331</c:v>
                </c:pt>
                <c:pt idx="6">
                  <c:v>4.5113256356867915E-2</c:v>
                </c:pt>
                <c:pt idx="7">
                  <c:v>3.6102390726877598E-2</c:v>
                </c:pt>
                <c:pt idx="8">
                  <c:v>-0.12020743503088216</c:v>
                </c:pt>
                <c:pt idx="9">
                  <c:v>9.3781045102324656E-2</c:v>
                </c:pt>
                <c:pt idx="10">
                  <c:v>7.185387021899281E-2</c:v>
                </c:pt>
                <c:pt idx="11">
                  <c:v>1.9244892194708596E-2</c:v>
                </c:pt>
                <c:pt idx="12">
                  <c:v>2.4220814011491454E-2</c:v>
                </c:pt>
                <c:pt idx="13">
                  <c:v>5.0398643529708798E-2</c:v>
                </c:pt>
                <c:pt idx="14">
                  <c:v>2.2496222008516753E-3</c:v>
                </c:pt>
                <c:pt idx="15">
                  <c:v>4.3572126175830617E-2</c:v>
                </c:pt>
                <c:pt idx="16">
                  <c:v>8.1535480905001068E-2</c:v>
                </c:pt>
                <c:pt idx="17">
                  <c:v>9.0918751518095808E-2</c:v>
                </c:pt>
                <c:pt idx="18">
                  <c:v>3.1073878738119509E-2</c:v>
                </c:pt>
                <c:pt idx="19">
                  <c:v>0.14217075606661811</c:v>
                </c:pt>
                <c:pt idx="20">
                  <c:v>0.14958406201257257</c:v>
                </c:pt>
                <c:pt idx="21">
                  <c:v>3.1360819020012975E-2</c:v>
                </c:pt>
                <c:pt idx="22">
                  <c:v>-9.3484023998883781E-2</c:v>
                </c:pt>
                <c:pt idx="23">
                  <c:v>1.2313375404031657E-3</c:v>
                </c:pt>
                <c:pt idx="24">
                  <c:v>-2.6452179642033613E-2</c:v>
                </c:pt>
              </c:numCache>
            </c:numRef>
          </c:yVal>
          <c:smooth val="0"/>
          <c:extLst>
            <c:ext xmlns:c16="http://schemas.microsoft.com/office/drawing/2014/chart" uri="{C3380CC4-5D6E-409C-BE32-E72D297353CC}">
              <c16:uniqueId val="{00000000-49F3-1A4E-8DF2-CE1B9AD5EC04}"/>
            </c:ext>
          </c:extLst>
        </c:ser>
        <c:dLbls>
          <c:showLegendKey val="0"/>
          <c:showVal val="0"/>
          <c:showCatName val="0"/>
          <c:showSerName val="0"/>
          <c:showPercent val="0"/>
          <c:showBubbleSize val="0"/>
        </c:dLbls>
        <c:axId val="138116047"/>
        <c:axId val="138124431"/>
      </c:scatterChart>
      <c:valAx>
        <c:axId val="138116047"/>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8124431"/>
        <c:crosses val="autoZero"/>
        <c:crossBetween val="midCat"/>
      </c:valAx>
      <c:valAx>
        <c:axId val="138124431"/>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8116047"/>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Historical EBIT Growth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'UPS - Income Statement - Annual'!$AK$4</c:f>
              <c:strCache>
                <c:ptCount val="1"/>
                <c:pt idx="0">
                  <c:v>EBIT Growth</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'UPS - Income Statement - Annual'!$AJ$5:$AJ$29</c:f>
              <c:numCache>
                <c:formatCode>General</c:formatCode>
                <c:ptCount val="25"/>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numCache>
            </c:numRef>
          </c:xVal>
          <c:yVal>
            <c:numRef>
              <c:f>'UPS - Income Statement - Annual'!$AK$5:$AK$29</c:f>
              <c:numCache>
                <c:formatCode>0.00%</c:formatCode>
                <c:ptCount val="25"/>
                <c:pt idx="0">
                  <c:v>-0.12189716312056742</c:v>
                </c:pt>
                <c:pt idx="1">
                  <c:v>3.3821302372539108E-2</c:v>
                </c:pt>
                <c:pt idx="2">
                  <c:v>9.2041015625E-2</c:v>
                </c:pt>
                <c:pt idx="3">
                  <c:v>0.11535881958417171</c:v>
                </c:pt>
                <c:pt idx="4">
                  <c:v>0.23130887953497692</c:v>
                </c:pt>
                <c:pt idx="5">
                  <c:v>8.0091160670682005E-2</c:v>
                </c:pt>
                <c:pt idx="6">
                  <c:v>-0.91288620949510169</c:v>
                </c:pt>
                <c:pt idx="7">
                  <c:v>8.311418685121108</c:v>
                </c:pt>
                <c:pt idx="8">
                  <c:v>-0.29375696767001114</c:v>
                </c:pt>
                <c:pt idx="9">
                  <c:v>0.54538279400157852</c:v>
                </c:pt>
                <c:pt idx="10">
                  <c:v>3.5069799114742839E-2</c:v>
                </c:pt>
                <c:pt idx="11">
                  <c:v>-0.77911184210526319</c:v>
                </c:pt>
                <c:pt idx="12">
                  <c:v>4.23752792256143</c:v>
                </c:pt>
                <c:pt idx="13">
                  <c:v>-0.29371623542792158</c:v>
                </c:pt>
                <c:pt idx="14">
                  <c:v>0.54347826086956519</c:v>
                </c:pt>
                <c:pt idx="15">
                  <c:v>-0.28703703703703709</c:v>
                </c:pt>
                <c:pt idx="16">
                  <c:v>0.37717212365099684</c:v>
                </c:pt>
                <c:pt idx="17">
                  <c:v>-6.7073980608314487E-2</c:v>
                </c:pt>
                <c:pt idx="18">
                  <c:v>0.11019362186788162</c:v>
                </c:pt>
                <c:pt idx="19">
                  <c:v>-1.4619133111054117E-2</c:v>
                </c:pt>
                <c:pt idx="20">
                  <c:v>0.66710046850598648</c:v>
                </c:pt>
                <c:pt idx="21">
                  <c:v>2.2170179547228663E-2</c:v>
                </c:pt>
                <c:pt idx="22">
                  <c:v>-0.30189399725064914</c:v>
                </c:pt>
                <c:pt idx="23">
                  <c:v>-7.3624329942019506E-2</c:v>
                </c:pt>
                <c:pt idx="24">
                  <c:v>-7.0973075106282479E-2</c:v>
                </c:pt>
              </c:numCache>
            </c:numRef>
          </c:yVal>
          <c:smooth val="0"/>
          <c:extLst>
            <c:ext xmlns:c16="http://schemas.microsoft.com/office/drawing/2014/chart" uri="{C3380CC4-5D6E-409C-BE32-E72D297353CC}">
              <c16:uniqueId val="{00000000-3F78-0645-819C-FE68D8FAEA02}"/>
            </c:ext>
          </c:extLst>
        </c:ser>
        <c:dLbls>
          <c:showLegendKey val="0"/>
          <c:showVal val="0"/>
          <c:showCatName val="0"/>
          <c:showSerName val="0"/>
          <c:showPercent val="0"/>
          <c:showBubbleSize val="0"/>
        </c:dLbls>
        <c:axId val="1984903888"/>
        <c:axId val="1946814000"/>
      </c:scatterChart>
      <c:valAx>
        <c:axId val="1984903888"/>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6814000"/>
        <c:crosses val="autoZero"/>
        <c:crossBetween val="midCat"/>
      </c:valAx>
      <c:valAx>
        <c:axId val="194681400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84903888"/>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Historical EPS Growth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'UPS - Income Statement - Annual'!$AN$4</c:f>
              <c:strCache>
                <c:ptCount val="1"/>
                <c:pt idx="0">
                  <c:v>EPS Growth</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'UPS - Income Statement - Annual'!$AM$5:$AM$29</c:f>
              <c:numCache>
                <c:formatCode>General</c:formatCode>
                <c:ptCount val="25"/>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numCache>
            </c:numRef>
          </c:xVal>
          <c:yVal>
            <c:numRef>
              <c:f>'UPS - Income Statement - Annual'!$AN$5:$AN$29</c:f>
              <c:numCache>
                <c:formatCode>0.00%</c:formatCode>
                <c:ptCount val="25"/>
                <c:pt idx="0">
                  <c:v>-0.15199999999999991</c:v>
                </c:pt>
                <c:pt idx="1">
                  <c:v>0.35377358490566047</c:v>
                </c:pt>
                <c:pt idx="2">
                  <c:v>-0.11149825783972134</c:v>
                </c:pt>
                <c:pt idx="3">
                  <c:v>0.14901960784313739</c:v>
                </c:pt>
                <c:pt idx="4">
                  <c:v>0.1843003412969284</c:v>
                </c:pt>
                <c:pt idx="5">
                  <c:v>0.11239193083573484</c:v>
                </c:pt>
                <c:pt idx="6">
                  <c:v>-0.90673575129533679</c:v>
                </c:pt>
                <c:pt idx="7">
                  <c:v>7.1666666666666661</c:v>
                </c:pt>
                <c:pt idx="8">
                  <c:v>-0.27210884353741494</c:v>
                </c:pt>
                <c:pt idx="9">
                  <c:v>0.62616822429906538</c:v>
                </c:pt>
                <c:pt idx="10">
                  <c:v>0.10344827586206895</c:v>
                </c:pt>
                <c:pt idx="11">
                  <c:v>-0.78385416666666663</c:v>
                </c:pt>
                <c:pt idx="12">
                  <c:v>4.5542168674698802</c:v>
                </c:pt>
                <c:pt idx="13">
                  <c:v>-0.28850325379609554</c:v>
                </c:pt>
                <c:pt idx="14">
                  <c:v>0.63109756097560976</c:v>
                </c:pt>
                <c:pt idx="15">
                  <c:v>-0.27663551401869158</c:v>
                </c:pt>
                <c:pt idx="16">
                  <c:v>0.3746770025839794</c:v>
                </c:pt>
                <c:pt idx="17">
                  <c:v>3.5714285714285587E-2</c:v>
                </c:pt>
                <c:pt idx="18">
                  <c:v>-7.2595281306714998E-2</c:v>
                </c:pt>
                <c:pt idx="19">
                  <c:v>-0.69863013698630139</c:v>
                </c:pt>
                <c:pt idx="20">
                  <c:v>8.5779220779220768</c:v>
                </c:pt>
                <c:pt idx="21">
                  <c:v>-0.10508474576271187</c:v>
                </c:pt>
                <c:pt idx="22">
                  <c:v>-0.40909090909090906</c:v>
                </c:pt>
                <c:pt idx="23">
                  <c:v>-0.13461538461538458</c:v>
                </c:pt>
                <c:pt idx="24">
                  <c:v>-2.8148148148148255E-2</c:v>
                </c:pt>
              </c:numCache>
            </c:numRef>
          </c:yVal>
          <c:smooth val="0"/>
          <c:extLst>
            <c:ext xmlns:c16="http://schemas.microsoft.com/office/drawing/2014/chart" uri="{C3380CC4-5D6E-409C-BE32-E72D297353CC}">
              <c16:uniqueId val="{00000000-5E52-8B47-A666-B54F6F402799}"/>
            </c:ext>
          </c:extLst>
        </c:ser>
        <c:dLbls>
          <c:showLegendKey val="0"/>
          <c:showVal val="0"/>
          <c:showCatName val="0"/>
          <c:showSerName val="0"/>
          <c:showPercent val="0"/>
          <c:showBubbleSize val="0"/>
        </c:dLbls>
        <c:axId val="983909952"/>
        <c:axId val="970912000"/>
      </c:scatterChart>
      <c:valAx>
        <c:axId val="983909952"/>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0912000"/>
        <c:crosses val="autoZero"/>
        <c:crossBetween val="midCat"/>
      </c:valAx>
      <c:valAx>
        <c:axId val="97091200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3909952"/>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a:t>
            </a:r>
            <a:r>
              <a:rPr lang="en-US" baseline="0"/>
              <a:t> Revenue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cked"/>
        <c:varyColors val="0"/>
        <c:ser>
          <c:idx val="0"/>
          <c:order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numRef>
              <c:f>Financials!$B$3:$K$3</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Financials!$B$4:$K$4</c:f>
              <c:numCache>
                <c:formatCode>#,##0</c:formatCode>
                <c:ptCount val="10"/>
                <c:pt idx="0">
                  <c:v>84432</c:v>
                </c:pt>
                <c:pt idx="1">
                  <c:v>97204</c:v>
                </c:pt>
                <c:pt idx="2">
                  <c:v>100034</c:v>
                </c:pt>
                <c:pt idx="3">
                  <c:v>90745</c:v>
                </c:pt>
                <c:pt idx="4">
                  <c:v>90894</c:v>
                </c:pt>
                <c:pt idx="5">
                  <c:v>94529.760000000009</c:v>
                </c:pt>
                <c:pt idx="6">
                  <c:v>98310.950400000016</c:v>
                </c:pt>
                <c:pt idx="7">
                  <c:v>102243.38841600002</c:v>
                </c:pt>
                <c:pt idx="8">
                  <c:v>106333.12395264002</c:v>
                </c:pt>
                <c:pt idx="9">
                  <c:v>110586.44891074562</c:v>
                </c:pt>
              </c:numCache>
            </c:numRef>
          </c:val>
          <c:smooth val="0"/>
          <c:extLst>
            <c:ext xmlns:c16="http://schemas.microsoft.com/office/drawing/2014/chart" uri="{C3380CC4-5D6E-409C-BE32-E72D297353CC}">
              <c16:uniqueId val="{00000000-01F5-E244-AC29-6D98EBE10177}"/>
            </c:ext>
          </c:extLst>
        </c:ser>
        <c:dLbls>
          <c:showLegendKey val="0"/>
          <c:showVal val="0"/>
          <c:showCatName val="0"/>
          <c:showSerName val="0"/>
          <c:showPercent val="0"/>
          <c:showBubbleSize val="0"/>
        </c:dLbls>
        <c:marker val="1"/>
        <c:smooth val="0"/>
        <c:axId val="1994987296"/>
        <c:axId val="1994989008"/>
      </c:lineChart>
      <c:catAx>
        <c:axId val="19949872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94989008"/>
        <c:crosses val="autoZero"/>
        <c:auto val="1"/>
        <c:lblAlgn val="ctr"/>
        <c:lblOffset val="100"/>
        <c:noMultiLvlLbl val="0"/>
      </c:catAx>
      <c:valAx>
        <c:axId val="19949890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9498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a:t>
            </a:r>
            <a:r>
              <a:rPr lang="en-US" baseline="0"/>
              <a:t> Equity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cked"/>
        <c:varyColors val="0"/>
        <c:ser>
          <c:idx val="0"/>
          <c:order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numRef>
              <c:f>Financials!$B$3:$K$3</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Financials!$B$114:$K$114</c:f>
              <c:numCache>
                <c:formatCode>#,##0</c:formatCode>
                <c:ptCount val="10"/>
                <c:pt idx="0">
                  <c:v>669</c:v>
                </c:pt>
                <c:pt idx="1">
                  <c:v>14269</c:v>
                </c:pt>
                <c:pt idx="2">
                  <c:v>19803</c:v>
                </c:pt>
                <c:pt idx="3">
                  <c:v>17314</c:v>
                </c:pt>
                <c:pt idx="4">
                  <c:v>16743</c:v>
                </c:pt>
                <c:pt idx="5">
                  <c:v>17412.72</c:v>
                </c:pt>
                <c:pt idx="6">
                  <c:v>18109.228800000004</c:v>
                </c:pt>
                <c:pt idx="7">
                  <c:v>18833.597952000004</c:v>
                </c:pt>
                <c:pt idx="8">
                  <c:v>19586.941870080005</c:v>
                </c:pt>
                <c:pt idx="9">
                  <c:v>20370.419544883203</c:v>
                </c:pt>
              </c:numCache>
            </c:numRef>
          </c:val>
          <c:smooth val="0"/>
          <c:extLst>
            <c:ext xmlns:c16="http://schemas.microsoft.com/office/drawing/2014/chart" uri="{C3380CC4-5D6E-409C-BE32-E72D297353CC}">
              <c16:uniqueId val="{00000000-077D-234B-B7CE-BC65B7835905}"/>
            </c:ext>
          </c:extLst>
        </c:ser>
        <c:dLbls>
          <c:showLegendKey val="0"/>
          <c:showVal val="0"/>
          <c:showCatName val="0"/>
          <c:showSerName val="0"/>
          <c:showPercent val="0"/>
          <c:showBubbleSize val="0"/>
        </c:dLbls>
        <c:marker val="1"/>
        <c:smooth val="0"/>
        <c:axId val="2128716736"/>
        <c:axId val="2128718448"/>
      </c:lineChart>
      <c:catAx>
        <c:axId val="212871673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8718448"/>
        <c:crosses val="autoZero"/>
        <c:auto val="1"/>
        <c:lblAlgn val="ctr"/>
        <c:lblOffset val="100"/>
        <c:noMultiLvlLbl val="0"/>
      </c:catAx>
      <c:valAx>
        <c:axId val="21287184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871673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Cash</a:t>
            </a:r>
            <a:r>
              <a:rPr lang="en-US" baseline="0"/>
              <a:t> &amp; Equivs  &amp; ST Investments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cked"/>
        <c:varyColors val="0"/>
        <c:ser>
          <c:idx val="0"/>
          <c:order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numRef>
              <c:f>Financials!$B$3:$K$3</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Financials!$B$55:$K$55</c:f>
              <c:numCache>
                <c:formatCode>#,##0</c:formatCode>
                <c:ptCount val="10"/>
                <c:pt idx="0">
                  <c:v>6316</c:v>
                </c:pt>
                <c:pt idx="1">
                  <c:v>10593</c:v>
                </c:pt>
                <c:pt idx="2">
                  <c:v>7595</c:v>
                </c:pt>
                <c:pt idx="3">
                  <c:v>6072</c:v>
                </c:pt>
                <c:pt idx="4">
                  <c:v>6318</c:v>
                </c:pt>
                <c:pt idx="5">
                  <c:v>6570.7200000000012</c:v>
                </c:pt>
                <c:pt idx="6">
                  <c:v>6833.5488000000014</c:v>
                </c:pt>
                <c:pt idx="7">
                  <c:v>7106.8907520000012</c:v>
                </c:pt>
                <c:pt idx="8">
                  <c:v>7391.1663820800013</c:v>
                </c:pt>
                <c:pt idx="9">
                  <c:v>7686.8130373632011</c:v>
                </c:pt>
              </c:numCache>
            </c:numRef>
          </c:val>
          <c:smooth val="0"/>
          <c:extLst>
            <c:ext xmlns:c16="http://schemas.microsoft.com/office/drawing/2014/chart" uri="{C3380CC4-5D6E-409C-BE32-E72D297353CC}">
              <c16:uniqueId val="{00000000-3D67-8C40-B712-7F8D8FE5EE5D}"/>
            </c:ext>
          </c:extLst>
        </c:ser>
        <c:dLbls>
          <c:showLegendKey val="0"/>
          <c:showVal val="0"/>
          <c:showCatName val="0"/>
          <c:showSerName val="0"/>
          <c:showPercent val="0"/>
          <c:showBubbleSize val="0"/>
        </c:dLbls>
        <c:marker val="1"/>
        <c:smooth val="0"/>
        <c:axId val="259101231"/>
        <c:axId val="259102943"/>
      </c:lineChart>
      <c:catAx>
        <c:axId val="2591012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9102943"/>
        <c:crosses val="autoZero"/>
        <c:auto val="1"/>
        <c:lblAlgn val="ctr"/>
        <c:lblOffset val="100"/>
        <c:noMultiLvlLbl val="0"/>
      </c:catAx>
      <c:valAx>
        <c:axId val="25910294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910123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a:t>
            </a:r>
            <a:r>
              <a:rPr lang="en-US" baseline="0"/>
              <a:t> Debt</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cked"/>
        <c:varyColors val="0"/>
        <c:ser>
          <c:idx val="0"/>
          <c:order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numRef>
              <c:f>Financials!$B$3:$K$3</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Financials!$B$116:$K$116</c:f>
              <c:numCache>
                <c:formatCode>#,##0</c:formatCode>
                <c:ptCount val="10"/>
                <c:pt idx="0">
                  <c:v>27754</c:v>
                </c:pt>
                <c:pt idx="1">
                  <c:v>25528</c:v>
                </c:pt>
                <c:pt idx="2">
                  <c:v>23521</c:v>
                </c:pt>
                <c:pt idx="3">
                  <c:v>26729</c:v>
                </c:pt>
                <c:pt idx="4">
                  <c:v>25652</c:v>
                </c:pt>
                <c:pt idx="5">
                  <c:v>12115</c:v>
                </c:pt>
                <c:pt idx="6">
                  <c:v>13777.888000000021</c:v>
                </c:pt>
                <c:pt idx="7">
                  <c:v>15656.843520000024</c:v>
                </c:pt>
                <c:pt idx="8">
                  <c:v>17610.957260800031</c:v>
                </c:pt>
                <c:pt idx="9">
                  <c:v>19643.235551232021</c:v>
                </c:pt>
              </c:numCache>
            </c:numRef>
          </c:val>
          <c:smooth val="0"/>
          <c:extLst>
            <c:ext xmlns:c16="http://schemas.microsoft.com/office/drawing/2014/chart" uri="{C3380CC4-5D6E-409C-BE32-E72D297353CC}">
              <c16:uniqueId val="{00000000-AFFC-2F47-98C4-7F14D450719A}"/>
            </c:ext>
          </c:extLst>
        </c:ser>
        <c:dLbls>
          <c:showLegendKey val="0"/>
          <c:showVal val="0"/>
          <c:showCatName val="0"/>
          <c:showSerName val="0"/>
          <c:showPercent val="0"/>
          <c:showBubbleSize val="0"/>
        </c:dLbls>
        <c:marker val="1"/>
        <c:smooth val="0"/>
        <c:axId val="1995247312"/>
        <c:axId val="1995249040"/>
      </c:lineChart>
      <c:catAx>
        <c:axId val="19952473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95249040"/>
        <c:crosses val="autoZero"/>
        <c:auto val="1"/>
        <c:lblAlgn val="ctr"/>
        <c:lblOffset val="100"/>
        <c:noMultiLvlLbl val="0"/>
      </c:catAx>
      <c:valAx>
        <c:axId val="19952490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9524731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Operating</a:t>
            </a:r>
            <a:r>
              <a:rPr lang="en-US" baseline="0"/>
              <a:t> Margin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cked"/>
        <c:varyColors val="0"/>
        <c:ser>
          <c:idx val="0"/>
          <c:order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numRef>
              <c:f>'Workshop #5'!$D$111:$M$111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'Workshop #5'!$D$113:$M$113</c:f>
              <c:numCache>
                <c:formatCode>0.00%</c:formatCode>
                <c:ptCount val="10"/>
                <c:pt idx="0">
                  <c:v>9.2808413871517906E-2</c:v>
                </c:pt>
                <c:pt idx="1">
                  <c:v>0.134840130035801</c:v>
                </c:pt>
                <c:pt idx="2">
                  <c:v>0.12963592378591279</c:v>
                </c:pt>
                <c:pt idx="3">
                  <c:v>0.10326739765276324</c:v>
                </c:pt>
                <c:pt idx="4">
                  <c:v>9.5550861442999541E-2</c:v>
                </c:pt>
                <c:pt idx="5">
                  <c:v>9.5550861442999596E-2</c:v>
                </c:pt>
                <c:pt idx="6">
                  <c:v>9.555086144299961E-2</c:v>
                </c:pt>
                <c:pt idx="7">
                  <c:v>9.5550861442999541E-2</c:v>
                </c:pt>
                <c:pt idx="8">
                  <c:v>9.5550861442999652E-2</c:v>
                </c:pt>
                <c:pt idx="9">
                  <c:v>9.5550861442999527E-2</c:v>
                </c:pt>
              </c:numCache>
            </c:numRef>
          </c:val>
          <c:smooth val="0"/>
          <c:extLst>
            <c:ext xmlns:c16="http://schemas.microsoft.com/office/drawing/2014/chart" uri="{C3380CC4-5D6E-409C-BE32-E72D297353CC}">
              <c16:uniqueId val="{00000000-B3F7-3447-B618-F29D05C86E9D}"/>
            </c:ext>
          </c:extLst>
        </c:ser>
        <c:dLbls>
          <c:showLegendKey val="0"/>
          <c:showVal val="0"/>
          <c:showCatName val="0"/>
          <c:showSerName val="0"/>
          <c:showPercent val="0"/>
          <c:showBubbleSize val="0"/>
        </c:dLbls>
        <c:marker val="1"/>
        <c:smooth val="0"/>
        <c:axId val="1994836832"/>
        <c:axId val="1995236960"/>
      </c:lineChart>
      <c:catAx>
        <c:axId val="19948368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95236960"/>
        <c:crosses val="autoZero"/>
        <c:auto val="1"/>
        <c:lblAlgn val="ctr"/>
        <c:lblOffset val="100"/>
        <c:noMultiLvlLbl val="0"/>
      </c:catAx>
      <c:valAx>
        <c:axId val="19952369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9483683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Net</a:t>
            </a:r>
            <a:r>
              <a:rPr lang="en-US" baseline="0"/>
              <a:t> Profit Margin</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cked"/>
        <c:varyColors val="0"/>
        <c:ser>
          <c:idx val="0"/>
          <c:order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numRef>
              <c:f>'Workshop #5'!$D$111:$M$111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'Workshop #5'!$D$114:$M$114</c:f>
              <c:numCache>
                <c:formatCode>0.00%</c:formatCode>
                <c:ptCount val="10"/>
                <c:pt idx="0">
                  <c:v>1.5906291453477356E-2</c:v>
                </c:pt>
                <c:pt idx="1">
                  <c:v>0.1326077116168059</c:v>
                </c:pt>
                <c:pt idx="2">
                  <c:v>0.11544075014495071</c:v>
                </c:pt>
                <c:pt idx="3">
                  <c:v>7.3921428177861043E-2</c:v>
                </c:pt>
                <c:pt idx="4">
                  <c:v>6.3612559684907699E-2</c:v>
                </c:pt>
                <c:pt idx="5">
                  <c:v>5.9859132467293144E-2</c:v>
                </c:pt>
                <c:pt idx="6">
                  <c:v>6.7078965798482562E-2</c:v>
                </c:pt>
                <c:pt idx="7">
                  <c:v>6.6517281799251551E-2</c:v>
                </c:pt>
                <c:pt idx="8">
                  <c:v>6.5908652289629707E-2</c:v>
                </c:pt>
                <c:pt idx="9">
                  <c:v>6.5323431607300794E-2</c:v>
                </c:pt>
              </c:numCache>
            </c:numRef>
          </c:val>
          <c:smooth val="0"/>
          <c:extLst>
            <c:ext xmlns:c16="http://schemas.microsoft.com/office/drawing/2014/chart" uri="{C3380CC4-5D6E-409C-BE32-E72D297353CC}">
              <c16:uniqueId val="{00000000-F95B-6147-9926-5BDA1DE923DF}"/>
            </c:ext>
          </c:extLst>
        </c:ser>
        <c:dLbls>
          <c:showLegendKey val="0"/>
          <c:showVal val="0"/>
          <c:showCatName val="0"/>
          <c:showSerName val="0"/>
          <c:showPercent val="0"/>
          <c:showBubbleSize val="0"/>
        </c:dLbls>
        <c:marker val="1"/>
        <c:smooth val="0"/>
        <c:axId val="259024447"/>
        <c:axId val="259251375"/>
      </c:lineChart>
      <c:catAx>
        <c:axId val="25902444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9251375"/>
        <c:crosses val="autoZero"/>
        <c:auto val="1"/>
        <c:lblAlgn val="ctr"/>
        <c:lblOffset val="100"/>
        <c:noMultiLvlLbl val="0"/>
      </c:catAx>
      <c:valAx>
        <c:axId val="25925137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902444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Return</a:t>
            </a:r>
            <a:r>
              <a:rPr lang="en-US" baseline="0"/>
              <a:t> on Equity (ROE)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cked"/>
        <c:varyColors val="0"/>
        <c:ser>
          <c:idx val="0"/>
          <c:order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numRef>
              <c:f>'Workshop #5'!$D$111:$M$111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'Workshop #5'!$D$115:$M$115</c:f>
              <c:numCache>
                <c:formatCode>0.00%</c:formatCode>
                <c:ptCount val="10"/>
                <c:pt idx="0">
                  <c:v>2.007473841554559</c:v>
                </c:pt>
                <c:pt idx="1">
                  <c:v>0.90335692760529818</c:v>
                </c:pt>
                <c:pt idx="2">
                  <c:v>0.58314396808564362</c:v>
                </c:pt>
                <c:pt idx="3">
                  <c:v>0.3874321358438258</c:v>
                </c:pt>
                <c:pt idx="4">
                  <c:v>0.34533835035537241</c:v>
                </c:pt>
                <c:pt idx="5">
                  <c:v>0.32496183398925776</c:v>
                </c:pt>
                <c:pt idx="6">
                  <c:v>0.36415669338154888</c:v>
                </c:pt>
                <c:pt idx="7">
                  <c:v>0.36110743665180495</c:v>
                </c:pt>
                <c:pt idx="8">
                  <c:v>0.3578033232523205</c:v>
                </c:pt>
                <c:pt idx="9">
                  <c:v>0.35462629113743049</c:v>
                </c:pt>
              </c:numCache>
            </c:numRef>
          </c:val>
          <c:smooth val="0"/>
          <c:extLst>
            <c:ext xmlns:c16="http://schemas.microsoft.com/office/drawing/2014/chart" uri="{C3380CC4-5D6E-409C-BE32-E72D297353CC}">
              <c16:uniqueId val="{00000000-A039-3340-8563-18D1CD704D89}"/>
            </c:ext>
          </c:extLst>
        </c:ser>
        <c:dLbls>
          <c:showLegendKey val="0"/>
          <c:showVal val="0"/>
          <c:showCatName val="0"/>
          <c:showSerName val="0"/>
          <c:showPercent val="0"/>
          <c:showBubbleSize val="0"/>
        </c:dLbls>
        <c:marker val="1"/>
        <c:smooth val="0"/>
        <c:axId val="182335887"/>
        <c:axId val="181679679"/>
      </c:lineChart>
      <c:catAx>
        <c:axId val="1823358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679679"/>
        <c:crosses val="autoZero"/>
        <c:auto val="1"/>
        <c:lblAlgn val="ctr"/>
        <c:lblOffset val="100"/>
        <c:noMultiLvlLbl val="0"/>
      </c:catAx>
      <c:valAx>
        <c:axId val="18167967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33588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cked"/>
        <c:varyColors val="0"/>
        <c:ser>
          <c:idx val="0"/>
          <c:order val="0"/>
          <c:tx>
            <c:strRef>
              <c:f>'Workshop #5'!$C$117</c:f>
              <c:strCache>
                <c:ptCount val="1"/>
                <c:pt idx="0">
                  <c:v>Current Ratio </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numRef>
              <c:f>'Workshop #5'!$D$111:$M$111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'Workshop #5'!$D$117:$M$117</c:f>
              <c:numCache>
                <c:formatCode>0.0</c:formatCode>
                <c:ptCount val="10"/>
                <c:pt idx="0">
                  <c:v>1.0108359383857852</c:v>
                </c:pt>
                <c:pt idx="1">
                  <c:v>1.2587964306442252</c:v>
                </c:pt>
                <c:pt idx="2">
                  <c:v>1.3858654352019641</c:v>
                </c:pt>
                <c:pt idx="3">
                  <c:v>1.3233662663653512</c:v>
                </c:pt>
                <c:pt idx="4">
                  <c:v>1.3139685337633844</c:v>
                </c:pt>
                <c:pt idx="5" formatCode="0.00">
                  <c:v>1.2030374262868209</c:v>
                </c:pt>
                <c:pt idx="6" formatCode="0.00">
                  <c:v>1.2318134133280969</c:v>
                </c:pt>
                <c:pt idx="7" formatCode="0.00">
                  <c:v>1.2608114022288404</c:v>
                </c:pt>
                <c:pt idx="8" formatCode="0.00">
                  <c:v>1.2900114234635442</c:v>
                </c:pt>
                <c:pt idx="9" formatCode="0.00">
                  <c:v>1.3193929156314277</c:v>
                </c:pt>
              </c:numCache>
            </c:numRef>
          </c:val>
          <c:smooth val="0"/>
          <c:extLst>
            <c:ext xmlns:c16="http://schemas.microsoft.com/office/drawing/2014/chart" uri="{C3380CC4-5D6E-409C-BE32-E72D297353CC}">
              <c16:uniqueId val="{00000000-F796-B84D-9577-F28869B4BFC2}"/>
            </c:ext>
          </c:extLst>
        </c:ser>
        <c:dLbls>
          <c:showLegendKey val="0"/>
          <c:showVal val="0"/>
          <c:showCatName val="0"/>
          <c:showSerName val="0"/>
          <c:showPercent val="0"/>
          <c:showBubbleSize val="0"/>
        </c:dLbls>
        <c:marker val="1"/>
        <c:smooth val="0"/>
        <c:axId val="259088543"/>
        <c:axId val="259190111"/>
      </c:lineChart>
      <c:catAx>
        <c:axId val="2590885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9190111"/>
        <c:crosses val="autoZero"/>
        <c:auto val="1"/>
        <c:lblAlgn val="ctr"/>
        <c:lblOffset val="100"/>
        <c:noMultiLvlLbl val="0"/>
      </c:catAx>
      <c:valAx>
        <c:axId val="2591901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908854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cked"/>
        <c:varyColors val="0"/>
        <c:ser>
          <c:idx val="0"/>
          <c:order val="0"/>
          <c:tx>
            <c:strRef>
              <c:f>'Workshop #5'!$C$118</c:f>
              <c:strCache>
                <c:ptCount val="1"/>
                <c:pt idx="0">
                  <c:v>Book Debt-to-Equity Ratio </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numRef>
              <c:f>'Workshop #5'!$D$111:$M$111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'Workshop #5'!$D$118:$M$118</c:f>
              <c:numCache>
                <c:formatCode>0.00%</c:formatCode>
                <c:ptCount val="10"/>
                <c:pt idx="0">
                  <c:v>0.28205803644570715</c:v>
                </c:pt>
                <c:pt idx="1">
                  <c:v>1.2280237566991309E-2</c:v>
                </c:pt>
                <c:pt idx="2">
                  <c:v>7.9728347576179161E-3</c:v>
                </c:pt>
                <c:pt idx="3">
                  <c:v>1.0056206522493016E-2</c:v>
                </c:pt>
                <c:pt idx="4">
                  <c:v>1.0586760975606053E-2</c:v>
                </c:pt>
                <c:pt idx="5">
                  <c:v>0.54810506342489851</c:v>
                </c:pt>
                <c:pt idx="6">
                  <c:v>0.61884954482435039</c:v>
                </c:pt>
                <c:pt idx="7">
                  <c:v>0.69481378721957876</c:v>
                </c:pt>
                <c:pt idx="8">
                  <c:v>0.76785632798422132</c:v>
                </c:pt>
                <c:pt idx="9">
                  <c:v>0.83808954025791549</c:v>
                </c:pt>
              </c:numCache>
            </c:numRef>
          </c:val>
          <c:smooth val="0"/>
          <c:extLst>
            <c:ext xmlns:c16="http://schemas.microsoft.com/office/drawing/2014/chart" uri="{C3380CC4-5D6E-409C-BE32-E72D297353CC}">
              <c16:uniqueId val="{00000000-5213-6D45-BC40-D98C7D117875}"/>
            </c:ext>
          </c:extLst>
        </c:ser>
        <c:dLbls>
          <c:showLegendKey val="0"/>
          <c:showVal val="0"/>
          <c:showCatName val="0"/>
          <c:showSerName val="0"/>
          <c:showPercent val="0"/>
          <c:showBubbleSize val="0"/>
        </c:dLbls>
        <c:marker val="1"/>
        <c:smooth val="0"/>
        <c:axId val="781385823"/>
        <c:axId val="781611055"/>
      </c:lineChart>
      <c:catAx>
        <c:axId val="78138582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1611055"/>
        <c:crosses val="autoZero"/>
        <c:auto val="1"/>
        <c:lblAlgn val="ctr"/>
        <c:lblOffset val="100"/>
        <c:noMultiLvlLbl val="0"/>
      </c:catAx>
      <c:valAx>
        <c:axId val="7816110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138582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cked"/>
        <c:varyColors val="0"/>
        <c:ser>
          <c:idx val="0"/>
          <c:order val="0"/>
          <c:tx>
            <c:strRef>
              <c:f>'Workshop #5'!$C$119</c:f>
              <c:strCache>
                <c:ptCount val="1"/>
                <c:pt idx="0">
                  <c:v>Interest Coverage Ratio </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numRef>
              <c:f>'Workshop #5'!$D$111:$M$111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'Workshop #5'!$D$119:$M$119</c:f>
              <c:numCache>
                <c:formatCode>0.0</c:formatCode>
                <c:ptCount val="10"/>
                <c:pt idx="0">
                  <c:v>11.456140350877194</c:v>
                </c:pt>
                <c:pt idx="1">
                  <c:v>19.190336749633968</c:v>
                </c:pt>
                <c:pt idx="2">
                  <c:v>18.685878962536023</c:v>
                </c:pt>
                <c:pt idx="3">
                  <c:v>12.091612903225807</c:v>
                </c:pt>
                <c:pt idx="4">
                  <c:v>10.087108013937282</c:v>
                </c:pt>
                <c:pt idx="5">
                  <c:v>4.525868288604614</c:v>
                </c:pt>
                <c:pt idx="6">
                  <c:v>11.168349671717456</c:v>
                </c:pt>
                <c:pt idx="7">
                  <c:v>10.127709742144141</c:v>
                </c:pt>
                <c:pt idx="8">
                  <c:v>9.1839806894053932</c:v>
                </c:pt>
                <c:pt idx="9">
                  <c:v>8.4161236832038995</c:v>
                </c:pt>
              </c:numCache>
            </c:numRef>
          </c:val>
          <c:smooth val="0"/>
          <c:extLst>
            <c:ext xmlns:c16="http://schemas.microsoft.com/office/drawing/2014/chart" uri="{C3380CC4-5D6E-409C-BE32-E72D297353CC}">
              <c16:uniqueId val="{00000000-BE31-B445-A4E7-5210E694BC7E}"/>
            </c:ext>
          </c:extLst>
        </c:ser>
        <c:dLbls>
          <c:showLegendKey val="0"/>
          <c:showVal val="0"/>
          <c:showCatName val="0"/>
          <c:showSerName val="0"/>
          <c:showPercent val="0"/>
          <c:showBubbleSize val="0"/>
        </c:dLbls>
        <c:marker val="1"/>
        <c:smooth val="0"/>
        <c:axId val="842866496"/>
        <c:axId val="842868208"/>
      </c:lineChart>
      <c:catAx>
        <c:axId val="8428664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2868208"/>
        <c:crosses val="autoZero"/>
        <c:auto val="1"/>
        <c:lblAlgn val="ctr"/>
        <c:lblOffset val="100"/>
        <c:noMultiLvlLbl val="0"/>
      </c:catAx>
      <c:valAx>
        <c:axId val="8428682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286649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cked"/>
        <c:varyColors val="0"/>
        <c:ser>
          <c:idx val="0"/>
          <c:order val="0"/>
          <c:tx>
            <c:strRef>
              <c:f>'Workshop #5'!$C$120</c:f>
              <c:strCache>
                <c:ptCount val="1"/>
                <c:pt idx="0">
                  <c:v>Payout Ratio </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numRef>
              <c:f>'Workshop #5'!$D$111:$M$111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'Workshop #5'!$D$120:$M$120</c:f>
              <c:numCache>
                <c:formatCode>0.00%</c:formatCode>
                <c:ptCount val="10"/>
                <c:pt idx="0">
                  <c:v>2.6201439782087035</c:v>
                </c:pt>
                <c:pt idx="1">
                  <c:v>0.27790833111960273</c:v>
                </c:pt>
                <c:pt idx="2">
                  <c:v>0.460686331709313</c:v>
                </c:pt>
                <c:pt idx="3">
                  <c:v>0.83076923076923082</c:v>
                </c:pt>
                <c:pt idx="4">
                  <c:v>0.96412622364179457</c:v>
                </c:pt>
                <c:pt idx="5">
                  <c:v>0.99231074294720778</c:v>
                </c:pt>
                <c:pt idx="6">
                  <c:v>0.88550649974598583</c:v>
                </c:pt>
                <c:pt idx="7">
                  <c:v>0.89298387733371487</c:v>
                </c:pt>
                <c:pt idx="8">
                  <c:v>0.9012300835673589</c:v>
                </c:pt>
                <c:pt idx="9">
                  <c:v>0.90930403913679803</c:v>
                </c:pt>
              </c:numCache>
            </c:numRef>
          </c:val>
          <c:smooth val="0"/>
          <c:extLst>
            <c:ext xmlns:c16="http://schemas.microsoft.com/office/drawing/2014/chart" uri="{C3380CC4-5D6E-409C-BE32-E72D297353CC}">
              <c16:uniqueId val="{00000000-2120-7A44-8F0A-B2B2F06AB233}"/>
            </c:ext>
          </c:extLst>
        </c:ser>
        <c:dLbls>
          <c:showLegendKey val="0"/>
          <c:showVal val="0"/>
          <c:showCatName val="0"/>
          <c:showSerName val="0"/>
          <c:showPercent val="0"/>
          <c:showBubbleSize val="0"/>
        </c:dLbls>
        <c:marker val="1"/>
        <c:smooth val="0"/>
        <c:axId val="259235695"/>
        <c:axId val="259237407"/>
      </c:lineChart>
      <c:catAx>
        <c:axId val="25923569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9237407"/>
        <c:crosses val="autoZero"/>
        <c:auto val="1"/>
        <c:lblAlgn val="ctr"/>
        <c:lblOffset val="100"/>
        <c:noMultiLvlLbl val="0"/>
      </c:catAx>
      <c:valAx>
        <c:axId val="25923740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923569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'Workshop #6'!$D$13</c:f>
              <c:strCache>
                <c:ptCount val="1"/>
                <c:pt idx="0">
                  <c:v>T-Bond Yield</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'Workshop #6'!$C$14:$C$23</c:f>
              <c:numCache>
                <c:formatCode>0.00</c:formatCode>
                <c:ptCount val="10"/>
                <c:pt idx="0">
                  <c:v>8.3333333333333329E-2</c:v>
                </c:pt>
                <c:pt idx="1">
                  <c:v>0.25</c:v>
                </c:pt>
                <c:pt idx="2" formatCode="General">
                  <c:v>0.5</c:v>
                </c:pt>
                <c:pt idx="3" formatCode="General">
                  <c:v>1</c:v>
                </c:pt>
                <c:pt idx="4" formatCode="General">
                  <c:v>3</c:v>
                </c:pt>
                <c:pt idx="5" formatCode="General">
                  <c:v>5</c:v>
                </c:pt>
                <c:pt idx="6" formatCode="General">
                  <c:v>7</c:v>
                </c:pt>
                <c:pt idx="7" formatCode="General">
                  <c:v>10</c:v>
                </c:pt>
                <c:pt idx="8" formatCode="General">
                  <c:v>20</c:v>
                </c:pt>
                <c:pt idx="9" formatCode="General">
                  <c:v>30</c:v>
                </c:pt>
              </c:numCache>
            </c:numRef>
          </c:xVal>
          <c:yVal>
            <c:numRef>
              <c:f>'Workshop #6'!$D$14:$D$23</c:f>
              <c:numCache>
                <c:formatCode>0.00%</c:formatCode>
                <c:ptCount val="10"/>
                <c:pt idx="0">
                  <c:v>3.7199999999999997E-2</c:v>
                </c:pt>
                <c:pt idx="1">
                  <c:v>3.6700000000000003E-2</c:v>
                </c:pt>
                <c:pt idx="2">
                  <c:v>3.61E-2</c:v>
                </c:pt>
                <c:pt idx="3">
                  <c:v>3.4799999999999998E-2</c:v>
                </c:pt>
                <c:pt idx="4">
                  <c:v>3.5999999999999997E-2</c:v>
                </c:pt>
                <c:pt idx="5">
                  <c:v>3.7900000000000003E-2</c:v>
                </c:pt>
                <c:pt idx="6">
                  <c:v>4.0099999999999997E-2</c:v>
                </c:pt>
                <c:pt idx="7">
                  <c:v>4.2599999999999999E-2</c:v>
                </c:pt>
                <c:pt idx="8">
                  <c:v>4.82E-2</c:v>
                </c:pt>
                <c:pt idx="9">
                  <c:v>4.87E-2</c:v>
                </c:pt>
              </c:numCache>
            </c:numRef>
          </c:yVal>
          <c:smooth val="0"/>
          <c:extLst>
            <c:ext xmlns:c16="http://schemas.microsoft.com/office/drawing/2014/chart" uri="{C3380CC4-5D6E-409C-BE32-E72D297353CC}">
              <c16:uniqueId val="{00000000-4E1B-EC40-917E-30F160B48C8C}"/>
            </c:ext>
          </c:extLst>
        </c:ser>
        <c:dLbls>
          <c:showLegendKey val="0"/>
          <c:showVal val="0"/>
          <c:showCatName val="0"/>
          <c:showSerName val="0"/>
          <c:showPercent val="0"/>
          <c:showBubbleSize val="0"/>
        </c:dLbls>
        <c:axId val="1277382608"/>
        <c:axId val="1277384320"/>
      </c:scatterChart>
      <c:valAx>
        <c:axId val="1277382608"/>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Year(s)</a:t>
                </a:r>
                <a:r>
                  <a:rPr lang="en-US" baseline="0"/>
                  <a:t> to Maturity</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7384320"/>
        <c:crosses val="autoZero"/>
        <c:crossBetween val="midCat"/>
      </c:valAx>
      <c:valAx>
        <c:axId val="1277384320"/>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Yield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7382608"/>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7.6145669291338591E-2"/>
          <c:y val="3.240740740740740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v>UPS vs. S&amp;P 500 Returns (60-Months)</c:v>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rgbClr val="FF0000">
                    <a:alpha val="50000"/>
                  </a:srgbClr>
                </a:solidFill>
              </a:ln>
              <a:effectLst/>
            </c:spPr>
            <c:trendlineType val="linear"/>
            <c:dispRSqr val="1"/>
            <c:dispEq val="1"/>
            <c:trendlineLbl>
              <c:layout>
                <c:manualLayout>
                  <c:x val="0.20927077865266841"/>
                  <c:y val="-0.282485053951589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'WS6 Work'!$H$8:$H$67</c:f>
              <c:numCache>
                <c:formatCode>0.00%</c:formatCode>
                <c:ptCount val="60"/>
                <c:pt idx="0">
                  <c:v>-1.347815095804746E-2</c:v>
                </c:pt>
                <c:pt idx="1">
                  <c:v>5.2336041572768671E-4</c:v>
                </c:pt>
                <c:pt idx="2">
                  <c:v>-1.297783263083807E-3</c:v>
                </c:pt>
                <c:pt idx="3">
                  <c:v>-2.2183522765055894E-2</c:v>
                </c:pt>
                <c:pt idx="4">
                  <c:v>-3.4117928899966912E-2</c:v>
                </c:pt>
                <c:pt idx="5">
                  <c:v>-1.8709471438437538E-2</c:v>
                </c:pt>
                <c:pt idx="6">
                  <c:v>-2.1207169446827084E-2</c:v>
                </c:pt>
                <c:pt idx="7">
                  <c:v>-4.7263401390810984E-2</c:v>
                </c:pt>
                <c:pt idx="8">
                  <c:v>-5.7956732862584591E-2</c:v>
                </c:pt>
                <c:pt idx="9">
                  <c:v>7.6831450823883225E-3</c:v>
                </c:pt>
                <c:pt idx="10">
                  <c:v>6.1058663538521053E-2</c:v>
                </c:pt>
                <c:pt idx="11">
                  <c:v>1.4446391331690891E-2</c:v>
                </c:pt>
                <c:pt idx="12">
                  <c:v>-2.6305372645864241E-2</c:v>
                </c:pt>
                <c:pt idx="13">
                  <c:v>2.5631810287345552E-2</c:v>
                </c:pt>
                <c:pt idx="14">
                  <c:v>-5.4196892847044383E-2</c:v>
                </c:pt>
                <c:pt idx="15">
                  <c:v>9.9969298629046816E-3</c:v>
                </c:pt>
                <c:pt idx="16">
                  <c:v>-1.9798342097455863E-2</c:v>
                </c:pt>
                <c:pt idx="17">
                  <c:v>-2.2324102598762312E-2</c:v>
                </c:pt>
                <c:pt idx="18">
                  <c:v>-1.1194465201471507E-2</c:v>
                </c:pt>
                <c:pt idx="19">
                  <c:v>-3.350899335806716E-2</c:v>
                </c:pt>
                <c:pt idx="20">
                  <c:v>-4.5820053101961383E-2</c:v>
                </c:pt>
                <c:pt idx="21">
                  <c:v>4.3422579610708369E-2</c:v>
                </c:pt>
                <c:pt idx="22">
                  <c:v>-3.0086455790303796E-2</c:v>
                </c:pt>
                <c:pt idx="23">
                  <c:v>-4.9177604154875348E-2</c:v>
                </c:pt>
                <c:pt idx="24">
                  <c:v>-1.5646571488014946E-2</c:v>
                </c:pt>
                <c:pt idx="25">
                  <c:v>-4.2355973582218855E-2</c:v>
                </c:pt>
                <c:pt idx="26">
                  <c:v>-8.1877008230324941E-2</c:v>
                </c:pt>
                <c:pt idx="27">
                  <c:v>2.2474401717734533E-2</c:v>
                </c:pt>
                <c:pt idx="28">
                  <c:v>5.1213828706100743E-2</c:v>
                </c:pt>
                <c:pt idx="29">
                  <c:v>1.8035813308704868E-2</c:v>
                </c:pt>
                <c:pt idx="30">
                  <c:v>-3.019851824981944E-2</c:v>
                </c:pt>
                <c:pt idx="31">
                  <c:v>-6.0793858140634496E-2</c:v>
                </c:pt>
                <c:pt idx="32">
                  <c:v>-2.4747590841373993E-3</c:v>
                </c:pt>
                <c:pt idx="33">
                  <c:v>-1.443080091575245E-2</c:v>
                </c:pt>
                <c:pt idx="34">
                  <c:v>-3.3864303094540769E-2</c:v>
                </c:pt>
                <c:pt idx="35">
                  <c:v>2.68126606334557E-2</c:v>
                </c:pt>
                <c:pt idx="36">
                  <c:v>-5.8162932487441567E-2</c:v>
                </c:pt>
                <c:pt idx="37">
                  <c:v>6.2667060660336463E-2</c:v>
                </c:pt>
                <c:pt idx="38">
                  <c:v>-5.1010758689950246E-2</c:v>
                </c:pt>
                <c:pt idx="39">
                  <c:v>-7.3955269231487028E-2</c:v>
                </c:pt>
                <c:pt idx="40">
                  <c:v>0.1030155104974671</c:v>
                </c:pt>
                <c:pt idx="41">
                  <c:v>4.4320307728481945E-2</c:v>
                </c:pt>
                <c:pt idx="42">
                  <c:v>-8.3505342432782709E-2</c:v>
                </c:pt>
                <c:pt idx="43">
                  <c:v>9.1605728385445784E-2</c:v>
                </c:pt>
                <c:pt idx="44">
                  <c:v>-5.3573007542544921E-5</c:v>
                </c:pt>
                <c:pt idx="45">
                  <c:v>9.6440982178444365E-2</c:v>
                </c:pt>
                <c:pt idx="46">
                  <c:v>-3.4538636384475047E-2</c:v>
                </c:pt>
                <c:pt idx="47">
                  <c:v>3.2375491519699387E-2</c:v>
                </c:pt>
                <c:pt idx="48">
                  <c:v>5.5504983490935057E-2</c:v>
                </c:pt>
                <c:pt idx="49">
                  <c:v>-4.1790564812829598E-2</c:v>
                </c:pt>
                <c:pt idx="50">
                  <c:v>8.4027023461014996E-3</c:v>
                </c:pt>
                <c:pt idx="51">
                  <c:v>-6.4671778258516097E-2</c:v>
                </c:pt>
                <c:pt idx="52">
                  <c:v>4.9945312398036359E-2</c:v>
                </c:pt>
                <c:pt idx="53">
                  <c:v>-2.8172708181553124E-2</c:v>
                </c:pt>
                <c:pt idx="54">
                  <c:v>-2.2243792614163135E-2</c:v>
                </c:pt>
                <c:pt idx="55">
                  <c:v>-2.1730345414452613E-2</c:v>
                </c:pt>
                <c:pt idx="56">
                  <c:v>-5.4555297639737599E-3</c:v>
                </c:pt>
                <c:pt idx="57">
                  <c:v>-4.9814392418182446E-2</c:v>
                </c:pt>
                <c:pt idx="58">
                  <c:v>-4.0711514520520277E-2</c:v>
                </c:pt>
                <c:pt idx="59">
                  <c:v>-2.5427250616918043E-2</c:v>
                </c:pt>
              </c:numCache>
            </c:numRef>
          </c:xVal>
          <c:yVal>
            <c:numRef>
              <c:f>'WS6 Work'!$D$8:$D$67</c:f>
              <c:numCache>
                <c:formatCode>0.00%</c:formatCode>
                <c:ptCount val="60"/>
                <c:pt idx="0">
                  <c:v>-6.6183392958011691E-2</c:v>
                </c:pt>
                <c:pt idx="1">
                  <c:v>-3.4277648956547953E-2</c:v>
                </c:pt>
                <c:pt idx="2">
                  <c:v>6.5768869401815998E-3</c:v>
                </c:pt>
                <c:pt idx="3">
                  <c:v>-0.13368595727027588</c:v>
                </c:pt>
                <c:pt idx="4">
                  <c:v>4.6809529510355517E-2</c:v>
                </c:pt>
                <c:pt idx="5">
                  <c:v>-1.4638609332113462E-2</c:v>
                </c:pt>
                <c:pt idx="6">
                  <c:v>0.17154131847725165</c:v>
                </c:pt>
                <c:pt idx="7">
                  <c:v>-3.3683376263126528E-2</c:v>
                </c:pt>
                <c:pt idx="8">
                  <c:v>-2.2964937461554327E-2</c:v>
                </c:pt>
                <c:pt idx="9">
                  <c:v>0.15414480587618046</c:v>
                </c:pt>
                <c:pt idx="10">
                  <c:v>8.2189289935448731E-2</c:v>
                </c:pt>
                <c:pt idx="11">
                  <c:v>-4.0325968243299981E-2</c:v>
                </c:pt>
                <c:pt idx="12">
                  <c:v>0.10391315766436129</c:v>
                </c:pt>
                <c:pt idx="13">
                  <c:v>7.6288659793814467E-2</c:v>
                </c:pt>
                <c:pt idx="14">
                  <c:v>-1.2231063955201861E-2</c:v>
                </c:pt>
                <c:pt idx="15">
                  <c:v>1.7007310159630026E-2</c:v>
                </c:pt>
                <c:pt idx="16">
                  <c:v>-5.7136570338858675E-2</c:v>
                </c:pt>
                <c:pt idx="17">
                  <c:v>1.4157915208090182E-2</c:v>
                </c:pt>
                <c:pt idx="18">
                  <c:v>4.9704686661041574E-2</c:v>
                </c:pt>
                <c:pt idx="19">
                  <c:v>1.5199123127511966E-2</c:v>
                </c:pt>
                <c:pt idx="20">
                  <c:v>6.1541783632044787E-2</c:v>
                </c:pt>
                <c:pt idx="21">
                  <c:v>7.7976674803363561E-3</c:v>
                </c:pt>
                <c:pt idx="22">
                  <c:v>-2.4894032160398612E-3</c:v>
                </c:pt>
                <c:pt idx="23">
                  <c:v>-4.2897612302711358E-2</c:v>
                </c:pt>
                <c:pt idx="24">
                  <c:v>0.10803382663847769</c:v>
                </c:pt>
                <c:pt idx="25">
                  <c:v>-3.5743814793614298E-2</c:v>
                </c:pt>
                <c:pt idx="26">
                  <c:v>-6.8333223402150339E-2</c:v>
                </c:pt>
                <c:pt idx="27">
                  <c:v>0.10350442477876109</c:v>
                </c:pt>
                <c:pt idx="28">
                  <c:v>8.680310515172901E-2</c:v>
                </c:pt>
                <c:pt idx="29">
                  <c:v>0.10466351829988187</c:v>
                </c:pt>
                <c:pt idx="30">
                  <c:v>-4.2109763266178567E-2</c:v>
                </c:pt>
                <c:pt idx="31">
                  <c:v>-6.8340306834030681E-2</c:v>
                </c:pt>
                <c:pt idx="32">
                  <c:v>7.6706586826347317E-2</c:v>
                </c:pt>
                <c:pt idx="33">
                  <c:v>7.8861019965519197E-2</c:v>
                </c:pt>
                <c:pt idx="34">
                  <c:v>-5.9281406258054538E-2</c:v>
                </c:pt>
                <c:pt idx="35">
                  <c:v>1.5014521343635161E-2</c:v>
                </c:pt>
                <c:pt idx="36">
                  <c:v>-6.1491119149165829E-2</c:v>
                </c:pt>
                <c:pt idx="37">
                  <c:v>9.1405890473998996E-2</c:v>
                </c:pt>
                <c:pt idx="38">
                  <c:v>-0.11574342486691604</c:v>
                </c:pt>
                <c:pt idx="39">
                  <c:v>-3.7134171782797987E-2</c:v>
                </c:pt>
                <c:pt idx="40">
                  <c:v>0.20409805620898849</c:v>
                </c:pt>
                <c:pt idx="41">
                  <c:v>1.9536270628759214E-3</c:v>
                </c:pt>
                <c:pt idx="42">
                  <c:v>-6.3369079993842656E-2</c:v>
                </c:pt>
                <c:pt idx="43">
                  <c:v>-1.5886928892297144E-3</c:v>
                </c:pt>
                <c:pt idx="44">
                  <c:v>-1.2455418381344363E-2</c:v>
                </c:pt>
                <c:pt idx="45">
                  <c:v>0.19157684187131915</c:v>
                </c:pt>
                <c:pt idx="46">
                  <c:v>-1.8838011750443067E-2</c:v>
                </c:pt>
                <c:pt idx="47">
                  <c:v>-3.9017203687862274E-2</c:v>
                </c:pt>
                <c:pt idx="48">
                  <c:v>5.99871420800158E-2</c:v>
                </c:pt>
                <c:pt idx="49">
                  <c:v>-7.4507791359522249E-2</c:v>
                </c:pt>
                <c:pt idx="50">
                  <c:v>7.612038110601399E-2</c:v>
                </c:pt>
                <c:pt idx="51">
                  <c:v>-0.14695273340516235</c:v>
                </c:pt>
                <c:pt idx="52">
                  <c:v>7.4299835255354205E-2</c:v>
                </c:pt>
                <c:pt idx="53">
                  <c:v>-2.1826918161836028E-2</c:v>
                </c:pt>
                <c:pt idx="54">
                  <c:v>8.6799749163879517E-2</c:v>
                </c:pt>
                <c:pt idx="55">
                  <c:v>3.1879598018945021E-2</c:v>
                </c:pt>
                <c:pt idx="56">
                  <c:v>-5.0046598322460306E-2</c:v>
                </c:pt>
                <c:pt idx="57">
                  <c:v>-0.16614343176689886</c:v>
                </c:pt>
                <c:pt idx="58">
                  <c:v>-7.1533619624683784E-2</c:v>
                </c:pt>
                <c:pt idx="59">
                  <c:v>-1.7930684914148211E-2</c:v>
                </c:pt>
              </c:numCache>
            </c:numRef>
          </c:yVal>
          <c:smooth val="0"/>
          <c:extLst>
            <c:ext xmlns:c16="http://schemas.microsoft.com/office/drawing/2014/chart" uri="{C3380CC4-5D6E-409C-BE32-E72D297353CC}">
              <c16:uniqueId val="{00000000-94E8-4F4F-9B13-75E6D0890C90}"/>
            </c:ext>
          </c:extLst>
        </c:ser>
        <c:dLbls>
          <c:showLegendKey val="0"/>
          <c:showVal val="0"/>
          <c:showCatName val="0"/>
          <c:showSerName val="0"/>
          <c:showPercent val="0"/>
          <c:showBubbleSize val="0"/>
        </c:dLbls>
        <c:axId val="654666608"/>
        <c:axId val="654668320"/>
      </c:scatterChart>
      <c:valAx>
        <c:axId val="654666608"/>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4668320"/>
        <c:crosses val="autoZero"/>
        <c:crossBetween val="midCat"/>
      </c:valAx>
      <c:valAx>
        <c:axId val="65466832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46666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Rolling Beta (60-Month)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spPr>
            <a:ln w="22225" cap="rnd">
              <a:solidFill>
                <a:schemeClr val="accent1"/>
              </a:solidFill>
            </a:ln>
            <a:effectLst>
              <a:glow rad="139700">
                <a:schemeClr val="accent1">
                  <a:satMod val="175000"/>
                  <a:alpha val="14000"/>
                </a:schemeClr>
              </a:glow>
            </a:effectLst>
          </c:spPr>
          <c:marker>
            <c:symbol val="none"/>
          </c:marker>
          <c:cat>
            <c:numRef>
              <c:f>'WS6 Work'!$J$8:$J$79</c:f>
              <c:numCache>
                <c:formatCode>m/d/yy</c:formatCode>
                <c:ptCount val="72"/>
                <c:pt idx="0">
                  <c:v>46022</c:v>
                </c:pt>
                <c:pt idx="1">
                  <c:v>45989</c:v>
                </c:pt>
                <c:pt idx="2">
                  <c:v>45961</c:v>
                </c:pt>
                <c:pt idx="3">
                  <c:v>45930</c:v>
                </c:pt>
                <c:pt idx="4">
                  <c:v>45898</c:v>
                </c:pt>
                <c:pt idx="5">
                  <c:v>45869</c:v>
                </c:pt>
                <c:pt idx="6">
                  <c:v>45838</c:v>
                </c:pt>
                <c:pt idx="7">
                  <c:v>45807</c:v>
                </c:pt>
                <c:pt idx="8">
                  <c:v>45777</c:v>
                </c:pt>
                <c:pt idx="9">
                  <c:v>45747</c:v>
                </c:pt>
                <c:pt idx="10">
                  <c:v>45716</c:v>
                </c:pt>
                <c:pt idx="11">
                  <c:v>45688</c:v>
                </c:pt>
                <c:pt idx="12">
                  <c:v>45657</c:v>
                </c:pt>
                <c:pt idx="13">
                  <c:v>45625</c:v>
                </c:pt>
                <c:pt idx="14">
                  <c:v>45596</c:v>
                </c:pt>
                <c:pt idx="15">
                  <c:v>45565</c:v>
                </c:pt>
                <c:pt idx="16">
                  <c:v>45534</c:v>
                </c:pt>
                <c:pt idx="17">
                  <c:v>45504</c:v>
                </c:pt>
                <c:pt idx="18">
                  <c:v>45471</c:v>
                </c:pt>
                <c:pt idx="19">
                  <c:v>45443</c:v>
                </c:pt>
                <c:pt idx="20">
                  <c:v>45412</c:v>
                </c:pt>
                <c:pt idx="21">
                  <c:v>45379</c:v>
                </c:pt>
                <c:pt idx="22">
                  <c:v>45351</c:v>
                </c:pt>
                <c:pt idx="23">
                  <c:v>45322</c:v>
                </c:pt>
                <c:pt idx="24">
                  <c:v>45289</c:v>
                </c:pt>
                <c:pt idx="25">
                  <c:v>45260</c:v>
                </c:pt>
                <c:pt idx="26">
                  <c:v>45230</c:v>
                </c:pt>
                <c:pt idx="27">
                  <c:v>45198</c:v>
                </c:pt>
                <c:pt idx="28">
                  <c:v>45169</c:v>
                </c:pt>
                <c:pt idx="29">
                  <c:v>45138</c:v>
                </c:pt>
                <c:pt idx="30">
                  <c:v>45107</c:v>
                </c:pt>
                <c:pt idx="31">
                  <c:v>45077</c:v>
                </c:pt>
                <c:pt idx="32">
                  <c:v>45044</c:v>
                </c:pt>
                <c:pt idx="33">
                  <c:v>45016</c:v>
                </c:pt>
                <c:pt idx="34">
                  <c:v>44985</c:v>
                </c:pt>
                <c:pt idx="35">
                  <c:v>44957</c:v>
                </c:pt>
                <c:pt idx="36">
                  <c:v>44925</c:v>
                </c:pt>
                <c:pt idx="37">
                  <c:v>44895</c:v>
                </c:pt>
                <c:pt idx="38">
                  <c:v>44865</c:v>
                </c:pt>
                <c:pt idx="39">
                  <c:v>44834</c:v>
                </c:pt>
                <c:pt idx="40">
                  <c:v>44804</c:v>
                </c:pt>
                <c:pt idx="41">
                  <c:v>44771</c:v>
                </c:pt>
                <c:pt idx="42">
                  <c:v>44742</c:v>
                </c:pt>
                <c:pt idx="43">
                  <c:v>44712</c:v>
                </c:pt>
                <c:pt idx="44">
                  <c:v>44680</c:v>
                </c:pt>
                <c:pt idx="45">
                  <c:v>44651</c:v>
                </c:pt>
                <c:pt idx="46">
                  <c:v>44620</c:v>
                </c:pt>
                <c:pt idx="47">
                  <c:v>44592</c:v>
                </c:pt>
                <c:pt idx="48">
                  <c:v>44561</c:v>
                </c:pt>
                <c:pt idx="49">
                  <c:v>44530</c:v>
                </c:pt>
                <c:pt idx="50">
                  <c:v>44498</c:v>
                </c:pt>
                <c:pt idx="51">
                  <c:v>44469</c:v>
                </c:pt>
                <c:pt idx="52">
                  <c:v>44439</c:v>
                </c:pt>
                <c:pt idx="53">
                  <c:v>44407</c:v>
                </c:pt>
                <c:pt idx="54">
                  <c:v>44377</c:v>
                </c:pt>
                <c:pt idx="55">
                  <c:v>44344</c:v>
                </c:pt>
                <c:pt idx="56">
                  <c:v>44316</c:v>
                </c:pt>
                <c:pt idx="57">
                  <c:v>44286</c:v>
                </c:pt>
                <c:pt idx="58">
                  <c:v>44253</c:v>
                </c:pt>
                <c:pt idx="59">
                  <c:v>44225</c:v>
                </c:pt>
                <c:pt idx="60">
                  <c:v>44196</c:v>
                </c:pt>
                <c:pt idx="61">
                  <c:v>44165</c:v>
                </c:pt>
                <c:pt idx="62">
                  <c:v>44134</c:v>
                </c:pt>
                <c:pt idx="63">
                  <c:v>44104</c:v>
                </c:pt>
                <c:pt idx="64">
                  <c:v>44074</c:v>
                </c:pt>
                <c:pt idx="65">
                  <c:v>44043</c:v>
                </c:pt>
                <c:pt idx="66">
                  <c:v>44012</c:v>
                </c:pt>
                <c:pt idx="67">
                  <c:v>43980</c:v>
                </c:pt>
                <c:pt idx="68">
                  <c:v>43951</c:v>
                </c:pt>
                <c:pt idx="69">
                  <c:v>43921</c:v>
                </c:pt>
                <c:pt idx="70">
                  <c:v>43889</c:v>
                </c:pt>
                <c:pt idx="71">
                  <c:v>43861</c:v>
                </c:pt>
              </c:numCache>
            </c:numRef>
          </c:cat>
          <c:val>
            <c:numRef>
              <c:f>'WS6 Work'!$K$8:$K$79</c:f>
              <c:numCache>
                <c:formatCode>General</c:formatCode>
                <c:ptCount val="72"/>
                <c:pt idx="0">
                  <c:v>1.1207493490037588</c:v>
                </c:pt>
                <c:pt idx="1">
                  <c:v>1.110081908529519</c:v>
                </c:pt>
                <c:pt idx="2">
                  <c:v>1.1129741262744746</c:v>
                </c:pt>
                <c:pt idx="3">
                  <c:v>1.1158557142246854</c:v>
                </c:pt>
                <c:pt idx="4">
                  <c:v>1.0671493066000677</c:v>
                </c:pt>
                <c:pt idx="5">
                  <c:v>1.1138382410827357</c:v>
                </c:pt>
                <c:pt idx="6">
                  <c:v>1.1725401143250933</c:v>
                </c:pt>
                <c:pt idx="7">
                  <c:v>1.1930128317006836</c:v>
                </c:pt>
                <c:pt idx="8">
                  <c:v>1.1987407495419944</c:v>
                </c:pt>
                <c:pt idx="9">
                  <c:v>1.1307934677382934</c:v>
                </c:pt>
                <c:pt idx="10">
                  <c:v>0.91853451572128386</c:v>
                </c:pt>
                <c:pt idx="11">
                  <c:v>0.94216846751732486</c:v>
                </c:pt>
                <c:pt idx="12">
                  <c:v>0.95873570273336395</c:v>
                </c:pt>
                <c:pt idx="13">
                  <c:v>0.96680601534367494</c:v>
                </c:pt>
                <c:pt idx="14">
                  <c:v>0.96056376685279476</c:v>
                </c:pt>
                <c:pt idx="15">
                  <c:v>0.96548402821059554</c:v>
                </c:pt>
                <c:pt idx="16">
                  <c:v>0.96605134046405061</c:v>
                </c:pt>
                <c:pt idx="17">
                  <c:v>0.95921869213434197</c:v>
                </c:pt>
                <c:pt idx="18">
                  <c:v>0.96454267855853781</c:v>
                </c:pt>
                <c:pt idx="19">
                  <c:v>0.98028395089114384</c:v>
                </c:pt>
                <c:pt idx="20">
                  <c:v>1.017139255383086</c:v>
                </c:pt>
                <c:pt idx="21">
                  <c:v>1.0249295633383912</c:v>
                </c:pt>
                <c:pt idx="22">
                  <c:v>1.0388429155952861</c:v>
                </c:pt>
                <c:pt idx="23">
                  <c:v>1.0439979142557752</c:v>
                </c:pt>
                <c:pt idx="24">
                  <c:v>1.046470193651758</c:v>
                </c:pt>
                <c:pt idx="25">
                  <c:v>1.0926201397222379</c:v>
                </c:pt>
                <c:pt idx="26">
                  <c:v>1.0969880047879941</c:v>
                </c:pt>
                <c:pt idx="27">
                  <c:v>1.1070623747062192</c:v>
                </c:pt>
                <c:pt idx="28">
                  <c:v>1.0962653515981982</c:v>
                </c:pt>
                <c:pt idx="29">
                  <c:v>1.087874909270006</c:v>
                </c:pt>
                <c:pt idx="30">
                  <c:v>1.0891935294184245</c:v>
                </c:pt>
                <c:pt idx="31">
                  <c:v>1.0886607027431618</c:v>
                </c:pt>
                <c:pt idx="32">
                  <c:v>1.0869996473940224</c:v>
                </c:pt>
                <c:pt idx="33">
                  <c:v>1.0839740547948054</c:v>
                </c:pt>
                <c:pt idx="34">
                  <c:v>1.0823923391807388</c:v>
                </c:pt>
                <c:pt idx="35">
                  <c:v>1.1228467323493616</c:v>
                </c:pt>
                <c:pt idx="36">
                  <c:v>1.1280932823385204</c:v>
                </c:pt>
                <c:pt idx="37">
                  <c:v>1.127586403681559</c:v>
                </c:pt>
                <c:pt idx="38">
                  <c:v>1.121390730710137</c:v>
                </c:pt>
                <c:pt idx="39">
                  <c:v>1.1009118200713535</c:v>
                </c:pt>
                <c:pt idx="40">
                  <c:v>1.1200710134301615</c:v>
                </c:pt>
                <c:pt idx="41">
                  <c:v>1.0582945340029011</c:v>
                </c:pt>
                <c:pt idx="42">
                  <c:v>1.0724725348302115</c:v>
                </c:pt>
                <c:pt idx="43">
                  <c:v>1.0846235814998522</c:v>
                </c:pt>
                <c:pt idx="44">
                  <c:v>1.1589159547239603</c:v>
                </c:pt>
                <c:pt idx="45">
                  <c:v>1.1598587282000792</c:v>
                </c:pt>
                <c:pt idx="46">
                  <c:v>1.0946524959928825</c:v>
                </c:pt>
                <c:pt idx="47">
                  <c:v>1.0835397582773285</c:v>
                </c:pt>
                <c:pt idx="48">
                  <c:v>1.1065285954214477</c:v>
                </c:pt>
                <c:pt idx="49">
                  <c:v>1.109294188674764</c:v>
                </c:pt>
                <c:pt idx="50">
                  <c:v>1.107763342164424</c:v>
                </c:pt>
                <c:pt idx="51">
                  <c:v>1.09425637612467</c:v>
                </c:pt>
                <c:pt idx="52">
                  <c:v>1.0555902999289715</c:v>
                </c:pt>
                <c:pt idx="53">
                  <c:v>1.045141395211123</c:v>
                </c:pt>
                <c:pt idx="54">
                  <c:v>1.039898852372388</c:v>
                </c:pt>
                <c:pt idx="55">
                  <c:v>1.0463500903880785</c:v>
                </c:pt>
                <c:pt idx="56">
                  <c:v>1.0501487095767377</c:v>
                </c:pt>
                <c:pt idx="57">
                  <c:v>1.0525765357684398</c:v>
                </c:pt>
                <c:pt idx="58">
                  <c:v>1.0227906837725282</c:v>
                </c:pt>
                <c:pt idx="59">
                  <c:v>1.0079415157527549</c:v>
                </c:pt>
                <c:pt idx="60">
                  <c:v>1.0083852389942052</c:v>
                </c:pt>
                <c:pt idx="61">
                  <c:v>0.99493508494892324</c:v>
                </c:pt>
                <c:pt idx="62">
                  <c:v>1.0061771316441206</c:v>
                </c:pt>
                <c:pt idx="63">
                  <c:v>1.0178795862147705</c:v>
                </c:pt>
                <c:pt idx="64">
                  <c:v>1.0072139536147287</c:v>
                </c:pt>
                <c:pt idx="65">
                  <c:v>1.0378556204916909</c:v>
                </c:pt>
                <c:pt idx="66">
                  <c:v>0.95149401839803249</c:v>
                </c:pt>
                <c:pt idx="67">
                  <c:v>0.80860654934689002</c:v>
                </c:pt>
                <c:pt idx="68">
                  <c:v>0.80373047417864418</c:v>
                </c:pt>
                <c:pt idx="69">
                  <c:v>0.74931892125232913</c:v>
                </c:pt>
                <c:pt idx="70">
                  <c:v>0.78872551908628252</c:v>
                </c:pt>
                <c:pt idx="71">
                  <c:v>0.97455801688665311</c:v>
                </c:pt>
              </c:numCache>
            </c:numRef>
          </c:val>
          <c:smooth val="0"/>
          <c:extLst>
            <c:ext xmlns:c16="http://schemas.microsoft.com/office/drawing/2014/chart" uri="{C3380CC4-5D6E-409C-BE32-E72D297353CC}">
              <c16:uniqueId val="{00000000-6EBD-1B45-A38C-63D38B703803}"/>
            </c:ext>
          </c:extLst>
        </c:ser>
        <c:dLbls>
          <c:showLegendKey val="0"/>
          <c:showVal val="0"/>
          <c:showCatName val="0"/>
          <c:showSerName val="0"/>
          <c:showPercent val="0"/>
          <c:showBubbleSize val="0"/>
        </c:dLbls>
        <c:smooth val="0"/>
        <c:axId val="842384672"/>
        <c:axId val="842282864"/>
      </c:lineChart>
      <c:dateAx>
        <c:axId val="842384672"/>
        <c:scaling>
          <c:orientation val="minMax"/>
        </c:scaling>
        <c:delete val="0"/>
        <c:axPos val="b"/>
        <c:numFmt formatCode="m/d/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2282864"/>
        <c:crosses val="autoZero"/>
        <c:auto val="1"/>
        <c:lblOffset val="100"/>
        <c:baseTimeUnit val="months"/>
        <c:majorUnit val="12"/>
        <c:majorTimeUnit val="months"/>
      </c:dateAx>
      <c:valAx>
        <c:axId val="8422828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2384672"/>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Historical vs Forecasted Income Statement Items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6248281464816898E-2"/>
          <c:y val="0.13101307189542483"/>
          <c:w val="0.87200568678915136"/>
          <c:h val="0.58834774329679373"/>
        </c:manualLayout>
      </c:layout>
      <c:lineChart>
        <c:grouping val="standard"/>
        <c:varyColors val="0"/>
        <c:ser>
          <c:idx val="0"/>
          <c:order val="0"/>
          <c:tx>
            <c:strRef>
              <c:f>'WS8 Work'!$B$5</c:f>
              <c:strCache>
                <c:ptCount val="1"/>
                <c:pt idx="0">
                  <c:v>Sales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'WS8 Work'!$C$4:$L$4</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Work'!$C$5:$L$5</c:f>
              <c:numCache>
                <c:formatCode>#,##0</c:formatCode>
                <c:ptCount val="10"/>
                <c:pt idx="0">
                  <c:v>84432</c:v>
                </c:pt>
                <c:pt idx="1">
                  <c:v>97204</c:v>
                </c:pt>
                <c:pt idx="2">
                  <c:v>100034</c:v>
                </c:pt>
                <c:pt idx="3">
                  <c:v>90745</c:v>
                </c:pt>
                <c:pt idx="4">
                  <c:v>90894</c:v>
                </c:pt>
                <c:pt idx="5">
                  <c:v>94529.760000000009</c:v>
                </c:pt>
                <c:pt idx="6">
                  <c:v>98310.950400000016</c:v>
                </c:pt>
                <c:pt idx="7">
                  <c:v>102243.38841600002</c:v>
                </c:pt>
                <c:pt idx="8">
                  <c:v>106333.12395264002</c:v>
                </c:pt>
                <c:pt idx="9">
                  <c:v>110586.44891074562</c:v>
                </c:pt>
              </c:numCache>
            </c:numRef>
          </c:val>
          <c:smooth val="0"/>
          <c:extLst>
            <c:ext xmlns:c16="http://schemas.microsoft.com/office/drawing/2014/chart" uri="{C3380CC4-5D6E-409C-BE32-E72D297353CC}">
              <c16:uniqueId val="{00000000-02CD-4DF7-8D83-1B300863F7C9}"/>
            </c:ext>
          </c:extLst>
        </c:ser>
        <c:ser>
          <c:idx val="1"/>
          <c:order val="1"/>
          <c:tx>
            <c:strRef>
              <c:f>'WS8 Work'!$B$6</c:f>
              <c:strCache>
                <c:ptCount val="1"/>
                <c:pt idx="0">
                  <c:v>COGS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'WS8 Work'!$C$4:$L$4</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Work'!$C$6:$L$6</c:f>
              <c:numCache>
                <c:formatCode>#,##0</c:formatCode>
                <c:ptCount val="10"/>
                <c:pt idx="0">
                  <c:v>62649</c:v>
                </c:pt>
                <c:pt idx="1">
                  <c:v>79772</c:v>
                </c:pt>
                <c:pt idx="2">
                  <c:v>79954</c:v>
                </c:pt>
                <c:pt idx="3">
                  <c:v>73039</c:v>
                </c:pt>
                <c:pt idx="4">
                  <c:v>73836</c:v>
                </c:pt>
                <c:pt idx="5">
                  <c:v>76789.440000000002</c:v>
                </c:pt>
                <c:pt idx="6">
                  <c:v>79861.017600000006</c:v>
                </c:pt>
                <c:pt idx="7">
                  <c:v>83055.458304000014</c:v>
                </c:pt>
                <c:pt idx="8">
                  <c:v>86377.676636160002</c:v>
                </c:pt>
                <c:pt idx="9">
                  <c:v>89832.783701606415</c:v>
                </c:pt>
              </c:numCache>
            </c:numRef>
          </c:val>
          <c:smooth val="0"/>
          <c:extLst>
            <c:ext xmlns:c16="http://schemas.microsoft.com/office/drawing/2014/chart" uri="{C3380CC4-5D6E-409C-BE32-E72D297353CC}">
              <c16:uniqueId val="{00000001-02CD-4DF7-8D83-1B300863F7C9}"/>
            </c:ext>
          </c:extLst>
        </c:ser>
        <c:ser>
          <c:idx val="2"/>
          <c:order val="2"/>
          <c:tx>
            <c:strRef>
              <c:f>'WS8 Work'!$B$7</c:f>
              <c:strCache>
                <c:ptCount val="1"/>
                <c:pt idx="0">
                  <c:v>Gross Income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'WS8 Work'!$C$4:$L$4</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Work'!$C$7:$L$7</c:f>
              <c:numCache>
                <c:formatCode>#,##0</c:formatCode>
                <c:ptCount val="10"/>
                <c:pt idx="0">
                  <c:v>21783</c:v>
                </c:pt>
                <c:pt idx="1">
                  <c:v>17432</c:v>
                </c:pt>
                <c:pt idx="2">
                  <c:v>20080</c:v>
                </c:pt>
                <c:pt idx="3">
                  <c:v>17706</c:v>
                </c:pt>
                <c:pt idx="4">
                  <c:v>17058</c:v>
                </c:pt>
                <c:pt idx="5">
                  <c:v>17740.320000000007</c:v>
                </c:pt>
                <c:pt idx="6">
                  <c:v>18449.93280000001</c:v>
                </c:pt>
                <c:pt idx="7">
                  <c:v>19187.930112000002</c:v>
                </c:pt>
                <c:pt idx="8">
                  <c:v>19955.447316480015</c:v>
                </c:pt>
                <c:pt idx="9">
                  <c:v>20753.665209139202</c:v>
                </c:pt>
              </c:numCache>
            </c:numRef>
          </c:val>
          <c:smooth val="0"/>
          <c:extLst>
            <c:ext xmlns:c16="http://schemas.microsoft.com/office/drawing/2014/chart" uri="{C3380CC4-5D6E-409C-BE32-E72D297353CC}">
              <c16:uniqueId val="{00000002-02CD-4DF7-8D83-1B300863F7C9}"/>
            </c:ext>
          </c:extLst>
        </c:ser>
        <c:ser>
          <c:idx val="3"/>
          <c:order val="3"/>
          <c:tx>
            <c:strRef>
              <c:f>'WS8 Work'!$B$8</c:f>
              <c:strCache>
                <c:ptCount val="1"/>
                <c:pt idx="0">
                  <c:v>Depreciation &amp; Amortizaton </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'WS8 Work'!$C$4:$L$4</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Work'!$C$8:$L$8</c:f>
              <c:numCache>
                <c:formatCode>#,##0</c:formatCode>
                <c:ptCount val="10"/>
                <c:pt idx="0">
                  <c:v>2698</c:v>
                </c:pt>
                <c:pt idx="1">
                  <c:v>2953</c:v>
                </c:pt>
                <c:pt idx="2">
                  <c:v>3188</c:v>
                </c:pt>
                <c:pt idx="3">
                  <c:v>3366</c:v>
                </c:pt>
                <c:pt idx="4">
                  <c:v>3609</c:v>
                </c:pt>
                <c:pt idx="5">
                  <c:v>3753.3600000000006</c:v>
                </c:pt>
                <c:pt idx="6">
                  <c:v>3903.494400000001</c:v>
                </c:pt>
                <c:pt idx="7">
                  <c:v>4059.6341760000009</c:v>
                </c:pt>
                <c:pt idx="8">
                  <c:v>4222.0195430400008</c:v>
                </c:pt>
                <c:pt idx="9">
                  <c:v>4390.900324761601</c:v>
                </c:pt>
              </c:numCache>
            </c:numRef>
          </c:val>
          <c:smooth val="0"/>
          <c:extLst>
            <c:ext xmlns:c16="http://schemas.microsoft.com/office/drawing/2014/chart" uri="{C3380CC4-5D6E-409C-BE32-E72D297353CC}">
              <c16:uniqueId val="{00000003-02CD-4DF7-8D83-1B300863F7C9}"/>
            </c:ext>
          </c:extLst>
        </c:ser>
        <c:ser>
          <c:idx val="4"/>
          <c:order val="4"/>
          <c:tx>
            <c:strRef>
              <c:f>'WS8 Work'!$B$9</c:f>
              <c:strCache>
                <c:ptCount val="1"/>
                <c:pt idx="0">
                  <c:v>SG&amp;A </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'WS8 Work'!$C$4:$L$4</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Work'!$C$9:$L$9</c:f>
              <c:numCache>
                <c:formatCode>#,##0</c:formatCode>
                <c:ptCount val="10"/>
                <c:pt idx="0">
                  <c:v>8684</c:v>
                </c:pt>
                <c:pt idx="1">
                  <c:v>8684</c:v>
                </c:pt>
                <c:pt idx="2">
                  <c:v>8684</c:v>
                </c:pt>
                <c:pt idx="3">
                  <c:v>8684</c:v>
                </c:pt>
                <c:pt idx="4">
                  <c:v>8684</c:v>
                </c:pt>
                <c:pt idx="5">
                  <c:v>9031.36</c:v>
                </c:pt>
                <c:pt idx="6">
                  <c:v>9392.6144000000004</c:v>
                </c:pt>
                <c:pt idx="7">
                  <c:v>9768.3189760000005</c:v>
                </c:pt>
                <c:pt idx="8">
                  <c:v>10159.05173504</c:v>
                </c:pt>
                <c:pt idx="9">
                  <c:v>10565.413804441601</c:v>
                </c:pt>
              </c:numCache>
            </c:numRef>
          </c:val>
          <c:smooth val="0"/>
          <c:extLst>
            <c:ext xmlns:c16="http://schemas.microsoft.com/office/drawing/2014/chart" uri="{C3380CC4-5D6E-409C-BE32-E72D297353CC}">
              <c16:uniqueId val="{00000004-02CD-4DF7-8D83-1B300863F7C9}"/>
            </c:ext>
          </c:extLst>
        </c:ser>
        <c:ser>
          <c:idx val="5"/>
          <c:order val="5"/>
          <c:tx>
            <c:strRef>
              <c:f>'WS8 Work'!$B$10</c:f>
              <c:strCache>
                <c:ptCount val="1"/>
                <c:pt idx="0">
                  <c:v>Other Operating Expense </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'WS8 Work'!$C$4:$L$4</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Work'!$C$10:$L$10</c:f>
              <c:numCache>
                <c:formatCode>#,##0</c:formatCode>
                <c:ptCount val="10"/>
                <c:pt idx="0">
                  <c:v>0</c:v>
                </c:pt>
                <c:pt idx="1">
                  <c:v>0</c:v>
                </c:pt>
                <c:pt idx="2">
                  <c:v>0</c:v>
                </c:pt>
                <c:pt idx="3">
                  <c:v>0</c:v>
                </c:pt>
                <c:pt idx="4">
                  <c:v>311</c:v>
                </c:pt>
                <c:pt idx="5">
                  <c:v>323.44000000000005</c:v>
                </c:pt>
                <c:pt idx="6">
                  <c:v>336.37760000000009</c:v>
                </c:pt>
                <c:pt idx="7">
                  <c:v>349.83270400000009</c:v>
                </c:pt>
                <c:pt idx="8">
                  <c:v>363.82601216000006</c:v>
                </c:pt>
                <c:pt idx="9">
                  <c:v>378.37905264640005</c:v>
                </c:pt>
              </c:numCache>
            </c:numRef>
          </c:val>
          <c:smooth val="0"/>
          <c:extLst>
            <c:ext xmlns:c16="http://schemas.microsoft.com/office/drawing/2014/chart" uri="{C3380CC4-5D6E-409C-BE32-E72D297353CC}">
              <c16:uniqueId val="{00000005-02CD-4DF7-8D83-1B300863F7C9}"/>
            </c:ext>
          </c:extLst>
        </c:ser>
        <c:ser>
          <c:idx val="6"/>
          <c:order val="6"/>
          <c:tx>
            <c:strRef>
              <c:f>'WS8 Work'!$B$11</c:f>
              <c:strCache>
                <c:ptCount val="1"/>
                <c:pt idx="0">
                  <c:v>Operating Income (EBIT) </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'WS8 Work'!$C$4:$L$4</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Work'!$C$11:$L$11</c:f>
              <c:numCache>
                <c:formatCode>#,##0</c:formatCode>
                <c:ptCount val="10"/>
                <c:pt idx="0">
                  <c:v>13099</c:v>
                </c:pt>
                <c:pt idx="1">
                  <c:v>8748</c:v>
                </c:pt>
                <c:pt idx="2">
                  <c:v>11396</c:v>
                </c:pt>
                <c:pt idx="3">
                  <c:v>9022</c:v>
                </c:pt>
                <c:pt idx="4">
                  <c:v>8685</c:v>
                </c:pt>
                <c:pt idx="5">
                  <c:v>9032.4000000000069</c:v>
                </c:pt>
                <c:pt idx="6">
                  <c:v>9393.696000000009</c:v>
                </c:pt>
                <c:pt idx="7">
                  <c:v>9769.4438400000017</c:v>
                </c:pt>
                <c:pt idx="8">
                  <c:v>10160.221593600014</c:v>
                </c:pt>
                <c:pt idx="9">
                  <c:v>10566.630457344001</c:v>
                </c:pt>
              </c:numCache>
            </c:numRef>
          </c:val>
          <c:smooth val="0"/>
          <c:extLst>
            <c:ext xmlns:c16="http://schemas.microsoft.com/office/drawing/2014/chart" uri="{C3380CC4-5D6E-409C-BE32-E72D297353CC}">
              <c16:uniqueId val="{00000006-02CD-4DF7-8D83-1B300863F7C9}"/>
            </c:ext>
          </c:extLst>
        </c:ser>
        <c:ser>
          <c:idx val="7"/>
          <c:order val="7"/>
          <c:tx>
            <c:strRef>
              <c:f>'WS8 Work'!$B$12</c:f>
              <c:strCache>
                <c:ptCount val="1"/>
                <c:pt idx="0">
                  <c:v>Other Income (Expense) </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numRef>
              <c:f>'WS8 Work'!$C$4:$L$4</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Work'!$C$12:$L$12</c:f>
              <c:numCache>
                <c:formatCode>#,##0</c:formatCode>
                <c:ptCount val="10"/>
                <c:pt idx="0">
                  <c:v>-4978</c:v>
                </c:pt>
                <c:pt idx="1">
                  <c:v>4590</c:v>
                </c:pt>
                <c:pt idx="2">
                  <c:v>2729</c:v>
                </c:pt>
                <c:pt idx="3">
                  <c:v>423</c:v>
                </c:pt>
                <c:pt idx="4">
                  <c:v>17</c:v>
                </c:pt>
                <c:pt idx="5">
                  <c:v>17.680000000000003</c:v>
                </c:pt>
                <c:pt idx="6">
                  <c:v>18.387200000000004</c:v>
                </c:pt>
                <c:pt idx="7">
                  <c:v>19.122688000000004</c:v>
                </c:pt>
                <c:pt idx="8">
                  <c:v>19.887595520000005</c:v>
                </c:pt>
                <c:pt idx="9">
                  <c:v>20.683099340800005</c:v>
                </c:pt>
              </c:numCache>
            </c:numRef>
          </c:val>
          <c:smooth val="0"/>
          <c:extLst>
            <c:ext xmlns:c16="http://schemas.microsoft.com/office/drawing/2014/chart" uri="{C3380CC4-5D6E-409C-BE32-E72D297353CC}">
              <c16:uniqueId val="{00000007-02CD-4DF7-8D83-1B300863F7C9}"/>
            </c:ext>
          </c:extLst>
        </c:ser>
        <c:ser>
          <c:idx val="8"/>
          <c:order val="8"/>
          <c:tx>
            <c:strRef>
              <c:f>'WS8 Work'!$B$13</c:f>
              <c:strCache>
                <c:ptCount val="1"/>
                <c:pt idx="0">
                  <c:v>Interest Expense </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'WS8 Work'!$C$4:$L$4</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Work'!$C$13:$L$13</c:f>
              <c:numCache>
                <c:formatCode>#,##0</c:formatCode>
                <c:ptCount val="10"/>
                <c:pt idx="0">
                  <c:v>684</c:v>
                </c:pt>
                <c:pt idx="1">
                  <c:v>683</c:v>
                </c:pt>
                <c:pt idx="2">
                  <c:v>694</c:v>
                </c:pt>
                <c:pt idx="3">
                  <c:v>775</c:v>
                </c:pt>
                <c:pt idx="4">
                  <c:v>861</c:v>
                </c:pt>
                <c:pt idx="5">
                  <c:v>1250.2505740585773</c:v>
                </c:pt>
                <c:pt idx="6">
                  <c:v>590.47192050209208</c:v>
                </c:pt>
                <c:pt idx="7">
                  <c:v>671.51927262259517</c:v>
                </c:pt>
                <c:pt idx="8">
                  <c:v>763.09752061536517</c:v>
                </c:pt>
                <c:pt idx="9">
                  <c:v>858.33889852784614</c:v>
                </c:pt>
              </c:numCache>
            </c:numRef>
          </c:val>
          <c:smooth val="0"/>
          <c:extLst>
            <c:ext xmlns:c16="http://schemas.microsoft.com/office/drawing/2014/chart" uri="{C3380CC4-5D6E-409C-BE32-E72D297353CC}">
              <c16:uniqueId val="{00000008-02CD-4DF7-8D83-1B300863F7C9}"/>
            </c:ext>
          </c:extLst>
        </c:ser>
        <c:ser>
          <c:idx val="9"/>
          <c:order val="9"/>
          <c:tx>
            <c:strRef>
              <c:f>'WS8 Work'!$B$14</c:f>
              <c:strCache>
                <c:ptCount val="1"/>
                <c:pt idx="0">
                  <c:v>Unusual Expense </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numRef>
              <c:f>'WS8 Work'!$C$4:$L$4</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Work'!$C$14:$L$14</c:f>
              <c:numCache>
                <c:formatCode>#,##0</c:formatCode>
                <c:ptCount val="10"/>
                <c:pt idx="0">
                  <c:v>330</c:v>
                </c:pt>
                <c:pt idx="1">
                  <c:v>419</c:v>
                </c:pt>
                <c:pt idx="2">
                  <c:v>178</c:v>
                </c:pt>
                <c:pt idx="3">
                  <c:v>446</c:v>
                </c:pt>
                <c:pt idx="4">
                  <c:v>399</c:v>
                </c:pt>
                <c:pt idx="5">
                  <c:v>414.96000000000004</c:v>
                </c:pt>
                <c:pt idx="6">
                  <c:v>431.55840000000006</c:v>
                </c:pt>
                <c:pt idx="7">
                  <c:v>448.82073600000007</c:v>
                </c:pt>
                <c:pt idx="8">
                  <c:v>466.77356544000003</c:v>
                </c:pt>
                <c:pt idx="9">
                  <c:v>485.44450805760005</c:v>
                </c:pt>
              </c:numCache>
            </c:numRef>
          </c:val>
          <c:smooth val="0"/>
          <c:extLst>
            <c:ext xmlns:c16="http://schemas.microsoft.com/office/drawing/2014/chart" uri="{C3380CC4-5D6E-409C-BE32-E72D297353CC}">
              <c16:uniqueId val="{00000009-02CD-4DF7-8D83-1B300863F7C9}"/>
            </c:ext>
          </c:extLst>
        </c:ser>
        <c:ser>
          <c:idx val="10"/>
          <c:order val="10"/>
          <c:tx>
            <c:strRef>
              <c:f>'WS8 Work'!$B$15</c:f>
              <c:strCache>
                <c:ptCount val="1"/>
                <c:pt idx="0">
                  <c:v>Earnings Before Tax</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'WS8 Work'!$C$4:$L$4</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Work'!$C$15:$L$15</c:f>
              <c:numCache>
                <c:formatCode>#,##0</c:formatCode>
                <c:ptCount val="10"/>
                <c:pt idx="0">
                  <c:v>7107</c:v>
                </c:pt>
                <c:pt idx="1">
                  <c:v>12236</c:v>
                </c:pt>
                <c:pt idx="2">
                  <c:v>13253</c:v>
                </c:pt>
                <c:pt idx="3">
                  <c:v>8224</c:v>
                </c:pt>
                <c:pt idx="4">
                  <c:v>7442</c:v>
                </c:pt>
                <c:pt idx="5">
                  <c:v>7384.8694259414297</c:v>
                </c:pt>
                <c:pt idx="6">
                  <c:v>8390.0528794979164</c:v>
                </c:pt>
                <c:pt idx="7">
                  <c:v>8668.2265193774056</c:v>
                </c:pt>
                <c:pt idx="8">
                  <c:v>8950.2381030646484</c:v>
                </c:pt>
                <c:pt idx="9">
                  <c:v>9243.5301500993555</c:v>
                </c:pt>
              </c:numCache>
            </c:numRef>
          </c:val>
          <c:smooth val="0"/>
          <c:extLst>
            <c:ext xmlns:c16="http://schemas.microsoft.com/office/drawing/2014/chart" uri="{C3380CC4-5D6E-409C-BE32-E72D297353CC}">
              <c16:uniqueId val="{0000000A-02CD-4DF7-8D83-1B300863F7C9}"/>
            </c:ext>
          </c:extLst>
        </c:ser>
        <c:ser>
          <c:idx val="11"/>
          <c:order val="11"/>
          <c:tx>
            <c:strRef>
              <c:f>'WS8 Work'!$B$16</c:f>
              <c:strCache>
                <c:ptCount val="1"/>
                <c:pt idx="0">
                  <c:v>Income Tax </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numRef>
              <c:f>'WS8 Work'!$C$4:$L$4</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Work'!$C$16:$L$16</c:f>
              <c:numCache>
                <c:formatCode>#,##0</c:formatCode>
                <c:ptCount val="10"/>
                <c:pt idx="0">
                  <c:v>501</c:v>
                </c:pt>
                <c:pt idx="1">
                  <c:v>3705</c:v>
                </c:pt>
                <c:pt idx="2">
                  <c:v>3277</c:v>
                </c:pt>
                <c:pt idx="3">
                  <c:v>1865</c:v>
                </c:pt>
                <c:pt idx="4">
                  <c:v>1660</c:v>
                </c:pt>
                <c:pt idx="5">
                  <c:v>1726.4000000000003</c:v>
                </c:pt>
                <c:pt idx="6">
                  <c:v>1795.4560000000004</c:v>
                </c:pt>
                <c:pt idx="7">
                  <c:v>1867.2742400000004</c:v>
                </c:pt>
                <c:pt idx="8">
                  <c:v>1941.9652096000004</c:v>
                </c:pt>
                <c:pt idx="9">
                  <c:v>2019.6438179840004</c:v>
                </c:pt>
              </c:numCache>
            </c:numRef>
          </c:val>
          <c:smooth val="0"/>
          <c:extLst>
            <c:ext xmlns:c16="http://schemas.microsoft.com/office/drawing/2014/chart" uri="{C3380CC4-5D6E-409C-BE32-E72D297353CC}">
              <c16:uniqueId val="{0000000B-02CD-4DF7-8D83-1B300863F7C9}"/>
            </c:ext>
          </c:extLst>
        </c:ser>
        <c:ser>
          <c:idx val="12"/>
          <c:order val="12"/>
          <c:tx>
            <c:strRef>
              <c:f>'WS8 Work'!$B$17</c:f>
              <c:strCache>
                <c:ptCount val="1"/>
                <c:pt idx="0">
                  <c:v>Net Income </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numRef>
              <c:f>'WS8 Work'!$C$4:$L$4</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Work'!$C$17:$L$17</c:f>
              <c:numCache>
                <c:formatCode>#,##0</c:formatCode>
                <c:ptCount val="10"/>
                <c:pt idx="0">
                  <c:v>6606</c:v>
                </c:pt>
                <c:pt idx="1">
                  <c:v>8531</c:v>
                </c:pt>
                <c:pt idx="2">
                  <c:v>9976</c:v>
                </c:pt>
                <c:pt idx="3">
                  <c:v>6359</c:v>
                </c:pt>
                <c:pt idx="4">
                  <c:v>5782</c:v>
                </c:pt>
                <c:pt idx="5">
                  <c:v>5658.4694259414291</c:v>
                </c:pt>
                <c:pt idx="6">
                  <c:v>6594.5968794979162</c:v>
                </c:pt>
                <c:pt idx="7">
                  <c:v>6800.9522793774049</c:v>
                </c:pt>
                <c:pt idx="8">
                  <c:v>7008.2728934646475</c:v>
                </c:pt>
                <c:pt idx="9">
                  <c:v>7223.8863321153549</c:v>
                </c:pt>
              </c:numCache>
            </c:numRef>
          </c:val>
          <c:smooth val="0"/>
          <c:extLst>
            <c:ext xmlns:c16="http://schemas.microsoft.com/office/drawing/2014/chart" uri="{C3380CC4-5D6E-409C-BE32-E72D297353CC}">
              <c16:uniqueId val="{0000000C-02CD-4DF7-8D83-1B300863F7C9}"/>
            </c:ext>
          </c:extLst>
        </c:ser>
        <c:dLbls>
          <c:showLegendKey val="0"/>
          <c:showVal val="0"/>
          <c:showCatName val="0"/>
          <c:showSerName val="0"/>
          <c:showPercent val="0"/>
          <c:showBubbleSize val="0"/>
        </c:dLbls>
        <c:marker val="1"/>
        <c:smooth val="0"/>
        <c:axId val="988852496"/>
        <c:axId val="988849136"/>
      </c:lineChart>
      <c:catAx>
        <c:axId val="98885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849136"/>
        <c:crosses val="autoZero"/>
        <c:auto val="1"/>
        <c:lblAlgn val="ctr"/>
        <c:lblOffset val="100"/>
        <c:noMultiLvlLbl val="0"/>
      </c:catAx>
      <c:valAx>
        <c:axId val="9888491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852496"/>
        <c:crosses val="autoZero"/>
        <c:crossBetween val="between"/>
      </c:valAx>
      <c:spPr>
        <a:noFill/>
        <a:ln>
          <a:noFill/>
        </a:ln>
        <a:effectLst/>
      </c:spPr>
    </c:plotArea>
    <c:legend>
      <c:legendPos val="b"/>
      <c:layout>
        <c:manualLayout>
          <c:xMode val="edge"/>
          <c:yMode val="edge"/>
          <c:x val="2.3033527059117615E-2"/>
          <c:y val="0.76511244917914667"/>
          <c:w val="0.96583755155605544"/>
          <c:h val="0.215279707683598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Historical vs Forecasted Asset Items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450943632045994"/>
          <c:y val="0.13262518655756267"/>
          <c:w val="0.86485564304461937"/>
          <c:h val="0.51343960681385414"/>
        </c:manualLayout>
      </c:layout>
      <c:lineChart>
        <c:grouping val="standard"/>
        <c:varyColors val="0"/>
        <c:ser>
          <c:idx val="0"/>
          <c:order val="0"/>
          <c:tx>
            <c:strRef>
              <c:f>'WS8 Work'!$B$22</c:f>
              <c:strCache>
                <c:ptCount val="1"/>
                <c:pt idx="0">
                  <c:v>Cash &amp; ST Investments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'WS8 Work'!$C$21:$L$21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Work'!$C$22:$L$22</c:f>
              <c:numCache>
                <c:formatCode>#,##0</c:formatCode>
                <c:ptCount val="10"/>
                <c:pt idx="0">
                  <c:v>6316</c:v>
                </c:pt>
                <c:pt idx="1">
                  <c:v>10593</c:v>
                </c:pt>
                <c:pt idx="2">
                  <c:v>7595</c:v>
                </c:pt>
                <c:pt idx="3">
                  <c:v>6072</c:v>
                </c:pt>
                <c:pt idx="4">
                  <c:v>6318</c:v>
                </c:pt>
                <c:pt idx="5">
                  <c:v>6570.7200000000012</c:v>
                </c:pt>
                <c:pt idx="6">
                  <c:v>6833.5488000000014</c:v>
                </c:pt>
                <c:pt idx="7">
                  <c:v>7106.8907520000012</c:v>
                </c:pt>
                <c:pt idx="8">
                  <c:v>7391.1663820800013</c:v>
                </c:pt>
                <c:pt idx="9">
                  <c:v>7686.8130373632011</c:v>
                </c:pt>
              </c:numCache>
            </c:numRef>
          </c:val>
          <c:smooth val="0"/>
          <c:extLst>
            <c:ext xmlns:c16="http://schemas.microsoft.com/office/drawing/2014/chart" uri="{C3380CC4-5D6E-409C-BE32-E72D297353CC}">
              <c16:uniqueId val="{00000000-0356-428F-8F2C-ED0E4AEFE416}"/>
            </c:ext>
          </c:extLst>
        </c:ser>
        <c:ser>
          <c:idx val="1"/>
          <c:order val="1"/>
          <c:tx>
            <c:strRef>
              <c:f>'WS8 Work'!$B$23</c:f>
              <c:strCache>
                <c:ptCount val="1"/>
                <c:pt idx="0">
                  <c:v>Receivables ST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'WS8 Work'!$C$21:$L$21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Work'!$C$23:$L$23</c:f>
              <c:numCache>
                <c:formatCode>#,##0</c:formatCode>
                <c:ptCount val="10"/>
                <c:pt idx="0">
                  <c:v>11167</c:v>
                </c:pt>
                <c:pt idx="1">
                  <c:v>12973</c:v>
                </c:pt>
                <c:pt idx="2">
                  <c:v>13037</c:v>
                </c:pt>
                <c:pt idx="3">
                  <c:v>11579</c:v>
                </c:pt>
                <c:pt idx="4">
                  <c:v>11314</c:v>
                </c:pt>
                <c:pt idx="5">
                  <c:v>11766.560000000001</c:v>
                </c:pt>
                <c:pt idx="6">
                  <c:v>12237.222400000002</c:v>
                </c:pt>
                <c:pt idx="7">
                  <c:v>12726.711296000001</c:v>
                </c:pt>
                <c:pt idx="8">
                  <c:v>13235.779747840003</c:v>
                </c:pt>
                <c:pt idx="9">
                  <c:v>13765.210937753602</c:v>
                </c:pt>
              </c:numCache>
            </c:numRef>
          </c:val>
          <c:smooth val="0"/>
          <c:extLst>
            <c:ext xmlns:c16="http://schemas.microsoft.com/office/drawing/2014/chart" uri="{C3380CC4-5D6E-409C-BE32-E72D297353CC}">
              <c16:uniqueId val="{00000001-0356-428F-8F2C-ED0E4AEFE416}"/>
            </c:ext>
          </c:extLst>
        </c:ser>
        <c:ser>
          <c:idx val="2"/>
          <c:order val="2"/>
          <c:tx>
            <c:strRef>
              <c:f>'WS8 Work'!$B$24</c:f>
              <c:strCache>
                <c:ptCount val="1"/>
                <c:pt idx="0">
                  <c:v>Bad Debt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'WS8 Work'!$C$21:$L$21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Work'!$C$24:$L$24</c:f>
              <c:numCache>
                <c:formatCode>#,##0</c:formatCode>
                <c:ptCount val="10"/>
                <c:pt idx="0">
                  <c:v>138</c:v>
                </c:pt>
                <c:pt idx="1">
                  <c:v>128</c:v>
                </c:pt>
                <c:pt idx="2">
                  <c:v>146</c:v>
                </c:pt>
                <c:pt idx="3">
                  <c:v>126</c:v>
                </c:pt>
                <c:pt idx="4">
                  <c:v>136</c:v>
                </c:pt>
                <c:pt idx="5">
                  <c:v>141.44000000000003</c:v>
                </c:pt>
                <c:pt idx="6">
                  <c:v>147.09760000000003</c:v>
                </c:pt>
                <c:pt idx="7">
                  <c:v>152.98150400000003</c:v>
                </c:pt>
                <c:pt idx="8">
                  <c:v>159.10076416000004</c:v>
                </c:pt>
                <c:pt idx="9">
                  <c:v>165.46479472640004</c:v>
                </c:pt>
              </c:numCache>
            </c:numRef>
          </c:val>
          <c:smooth val="0"/>
          <c:extLst>
            <c:ext xmlns:c16="http://schemas.microsoft.com/office/drawing/2014/chart" uri="{C3380CC4-5D6E-409C-BE32-E72D297353CC}">
              <c16:uniqueId val="{00000002-0356-428F-8F2C-ED0E4AEFE416}"/>
            </c:ext>
          </c:extLst>
        </c:ser>
        <c:ser>
          <c:idx val="3"/>
          <c:order val="3"/>
          <c:tx>
            <c:strRef>
              <c:f>'WS8 Work'!$B$25</c:f>
              <c:strCache>
                <c:ptCount val="1"/>
                <c:pt idx="0">
                  <c:v>Inventories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'WS8 Work'!$C$21:$L$21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Work'!$C$25:$L$25</c:f>
              <c:numCache>
                <c:formatCode>#,##0</c:formatCode>
                <c:ptCount val="10"/>
                <c:pt idx="0">
                  <c:v>620</c:v>
                </c:pt>
                <c:pt idx="1">
                  <c:v>717</c:v>
                </c:pt>
                <c:pt idx="2">
                  <c:v>889</c:v>
                </c:pt>
                <c:pt idx="3">
                  <c:v>935</c:v>
                </c:pt>
                <c:pt idx="4">
                  <c:v>826</c:v>
                </c:pt>
                <c:pt idx="5">
                  <c:v>859.04000000000008</c:v>
                </c:pt>
                <c:pt idx="6">
                  <c:v>893.40160000000014</c:v>
                </c:pt>
                <c:pt idx="7">
                  <c:v>929.13766400000009</c:v>
                </c:pt>
                <c:pt idx="8">
                  <c:v>966.30317056000013</c:v>
                </c:pt>
                <c:pt idx="9">
                  <c:v>1004.9552973824001</c:v>
                </c:pt>
              </c:numCache>
            </c:numRef>
          </c:val>
          <c:smooth val="0"/>
          <c:extLst>
            <c:ext xmlns:c16="http://schemas.microsoft.com/office/drawing/2014/chart" uri="{C3380CC4-5D6E-409C-BE32-E72D297353CC}">
              <c16:uniqueId val="{00000003-0356-428F-8F2C-ED0E4AEFE416}"/>
            </c:ext>
          </c:extLst>
        </c:ser>
        <c:ser>
          <c:idx val="4"/>
          <c:order val="4"/>
          <c:tx>
            <c:strRef>
              <c:f>'WS8 Work'!$B$26</c:f>
              <c:strCache>
                <c:ptCount val="1"/>
                <c:pt idx="0">
                  <c:v>Other Current Assets </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'WS8 Work'!$C$21:$L$21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Work'!$C$26:$L$26</c:f>
              <c:numCache>
                <c:formatCode>#,##0</c:formatCode>
                <c:ptCount val="10"/>
                <c:pt idx="0">
                  <c:v>2251</c:v>
                </c:pt>
                <c:pt idx="1">
                  <c:v>779</c:v>
                </c:pt>
                <c:pt idx="2">
                  <c:v>842</c:v>
                </c:pt>
                <c:pt idx="3">
                  <c:v>953</c:v>
                </c:pt>
                <c:pt idx="4">
                  <c:v>988</c:v>
                </c:pt>
                <c:pt idx="5">
                  <c:v>1027.52</c:v>
                </c:pt>
                <c:pt idx="6">
                  <c:v>1068.6208000000001</c:v>
                </c:pt>
                <c:pt idx="7">
                  <c:v>1111.365632</c:v>
                </c:pt>
                <c:pt idx="8">
                  <c:v>1155.8202572800001</c:v>
                </c:pt>
                <c:pt idx="9">
                  <c:v>1202.0530675712</c:v>
                </c:pt>
              </c:numCache>
            </c:numRef>
          </c:val>
          <c:smooth val="0"/>
          <c:extLst>
            <c:ext xmlns:c16="http://schemas.microsoft.com/office/drawing/2014/chart" uri="{C3380CC4-5D6E-409C-BE32-E72D297353CC}">
              <c16:uniqueId val="{00000004-0356-428F-8F2C-ED0E4AEFE416}"/>
            </c:ext>
          </c:extLst>
        </c:ser>
        <c:ser>
          <c:idx val="5"/>
          <c:order val="5"/>
          <c:tx>
            <c:strRef>
              <c:f>'WS8 Work'!$B$27</c:f>
              <c:strCache>
                <c:ptCount val="1"/>
                <c:pt idx="0">
                  <c:v>Total Current Assets </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'WS8 Work'!$C$21:$L$21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Work'!$C$27:$L$27</c:f>
              <c:numCache>
                <c:formatCode>#,##0</c:formatCode>
                <c:ptCount val="10"/>
                <c:pt idx="0">
                  <c:v>20216</c:v>
                </c:pt>
                <c:pt idx="1">
                  <c:v>24934</c:v>
                </c:pt>
                <c:pt idx="2">
                  <c:v>22217</c:v>
                </c:pt>
                <c:pt idx="3">
                  <c:v>19413</c:v>
                </c:pt>
                <c:pt idx="4">
                  <c:v>19310</c:v>
                </c:pt>
                <c:pt idx="5">
                  <c:v>20082.400000000005</c:v>
                </c:pt>
                <c:pt idx="6">
                  <c:v>20885.696000000004</c:v>
                </c:pt>
                <c:pt idx="7">
                  <c:v>21721.123840000004</c:v>
                </c:pt>
                <c:pt idx="8">
                  <c:v>22589.968793600005</c:v>
                </c:pt>
                <c:pt idx="9">
                  <c:v>23493.567545344005</c:v>
                </c:pt>
              </c:numCache>
            </c:numRef>
          </c:val>
          <c:smooth val="0"/>
          <c:extLst>
            <c:ext xmlns:c16="http://schemas.microsoft.com/office/drawing/2014/chart" uri="{C3380CC4-5D6E-409C-BE32-E72D297353CC}">
              <c16:uniqueId val="{00000005-0356-428F-8F2C-ED0E4AEFE416}"/>
            </c:ext>
          </c:extLst>
        </c:ser>
        <c:ser>
          <c:idx val="6"/>
          <c:order val="6"/>
          <c:tx>
            <c:strRef>
              <c:f>'WS8 Work'!$B$28</c:f>
              <c:strCache>
                <c:ptCount val="1"/>
                <c:pt idx="0">
                  <c:v>Gross PP&amp;E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'WS8 Work'!$C$21:$L$21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Work'!$C$28:$L$28</c:f>
              <c:numCache>
                <c:formatCode>#,##0</c:formatCode>
                <c:ptCount val="10"/>
                <c:pt idx="0">
                  <c:v>65164</c:v>
                </c:pt>
                <c:pt idx="1">
                  <c:v>68371</c:v>
                </c:pt>
                <c:pt idx="2">
                  <c:v>71185</c:v>
                </c:pt>
                <c:pt idx="3">
                  <c:v>75823</c:v>
                </c:pt>
                <c:pt idx="4">
                  <c:v>77445</c:v>
                </c:pt>
                <c:pt idx="5">
                  <c:v>80542.8</c:v>
                </c:pt>
                <c:pt idx="6">
                  <c:v>83764.512000000017</c:v>
                </c:pt>
                <c:pt idx="7">
                  <c:v>87115.092480000021</c:v>
                </c:pt>
                <c:pt idx="8">
                  <c:v>90599.696179200022</c:v>
                </c:pt>
                <c:pt idx="9">
                  <c:v>94223.684026368021</c:v>
                </c:pt>
              </c:numCache>
            </c:numRef>
          </c:val>
          <c:smooth val="0"/>
          <c:extLst>
            <c:ext xmlns:c16="http://schemas.microsoft.com/office/drawing/2014/chart" uri="{C3380CC4-5D6E-409C-BE32-E72D297353CC}">
              <c16:uniqueId val="{00000006-0356-428F-8F2C-ED0E4AEFE416}"/>
            </c:ext>
          </c:extLst>
        </c:ser>
        <c:ser>
          <c:idx val="7"/>
          <c:order val="7"/>
          <c:tx>
            <c:strRef>
              <c:f>'WS8 Work'!$B$29</c:f>
              <c:strCache>
                <c:ptCount val="1"/>
                <c:pt idx="0">
                  <c:v>Accumulated Depr </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numRef>
              <c:f>'WS8 Work'!$C$21:$L$21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Work'!$C$29:$L$29</c:f>
              <c:numCache>
                <c:formatCode>#,##0</c:formatCode>
                <c:ptCount val="10"/>
                <c:pt idx="0">
                  <c:v>29837</c:v>
                </c:pt>
                <c:pt idx="1">
                  <c:v>31334</c:v>
                </c:pt>
                <c:pt idx="2">
                  <c:v>32711</c:v>
                </c:pt>
                <c:pt idx="3">
                  <c:v>34570</c:v>
                </c:pt>
                <c:pt idx="4">
                  <c:v>36117</c:v>
                </c:pt>
                <c:pt idx="5">
                  <c:v>37561.680000000008</c:v>
                </c:pt>
                <c:pt idx="6">
                  <c:v>39064.147200000007</c:v>
                </c:pt>
                <c:pt idx="7">
                  <c:v>40626.713088000004</c:v>
                </c:pt>
                <c:pt idx="8">
                  <c:v>42251.781611520011</c:v>
                </c:pt>
                <c:pt idx="9">
                  <c:v>43941.85287598081</c:v>
                </c:pt>
              </c:numCache>
            </c:numRef>
          </c:val>
          <c:smooth val="0"/>
          <c:extLst>
            <c:ext xmlns:c16="http://schemas.microsoft.com/office/drawing/2014/chart" uri="{C3380CC4-5D6E-409C-BE32-E72D297353CC}">
              <c16:uniqueId val="{00000007-0356-428F-8F2C-ED0E4AEFE416}"/>
            </c:ext>
          </c:extLst>
        </c:ser>
        <c:ser>
          <c:idx val="8"/>
          <c:order val="8"/>
          <c:tx>
            <c:strRef>
              <c:f>'WS8 Work'!$B$30</c:f>
              <c:strCache>
                <c:ptCount val="1"/>
                <c:pt idx="0">
                  <c:v>Net PP&amp;E</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'WS8 Work'!$C$21:$L$21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Work'!$C$30:$L$30</c:f>
              <c:numCache>
                <c:formatCode>#,##0</c:formatCode>
                <c:ptCount val="10"/>
                <c:pt idx="0">
                  <c:v>35327</c:v>
                </c:pt>
                <c:pt idx="1">
                  <c:v>37037</c:v>
                </c:pt>
                <c:pt idx="2">
                  <c:v>38474</c:v>
                </c:pt>
                <c:pt idx="3">
                  <c:v>41253</c:v>
                </c:pt>
                <c:pt idx="4">
                  <c:v>41328</c:v>
                </c:pt>
                <c:pt idx="5">
                  <c:v>42981.119999999995</c:v>
                </c:pt>
                <c:pt idx="6">
                  <c:v>44700.36480000001</c:v>
                </c:pt>
                <c:pt idx="7">
                  <c:v>46488.379392000017</c:v>
                </c:pt>
                <c:pt idx="8">
                  <c:v>48347.914567680011</c:v>
                </c:pt>
                <c:pt idx="9">
                  <c:v>50281.83115038721</c:v>
                </c:pt>
              </c:numCache>
            </c:numRef>
          </c:val>
          <c:smooth val="0"/>
          <c:extLst>
            <c:ext xmlns:c16="http://schemas.microsoft.com/office/drawing/2014/chart" uri="{C3380CC4-5D6E-409C-BE32-E72D297353CC}">
              <c16:uniqueId val="{00000008-0356-428F-8F2C-ED0E4AEFE416}"/>
            </c:ext>
          </c:extLst>
        </c:ser>
        <c:ser>
          <c:idx val="9"/>
          <c:order val="9"/>
          <c:tx>
            <c:strRef>
              <c:f>'WS8 Work'!$B$31</c:f>
              <c:strCache>
                <c:ptCount val="1"/>
                <c:pt idx="0">
                  <c:v>Intangible Assets </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numRef>
              <c:f>'WS8 Work'!$C$21:$L$21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Work'!$C$31:$L$31</c:f>
              <c:numCache>
                <c:formatCode>#,##0</c:formatCode>
                <c:ptCount val="10"/>
                <c:pt idx="0">
                  <c:v>5641</c:v>
                </c:pt>
                <c:pt idx="1">
                  <c:v>6178</c:v>
                </c:pt>
                <c:pt idx="2">
                  <c:v>7019</c:v>
                </c:pt>
                <c:pt idx="3">
                  <c:v>8177</c:v>
                </c:pt>
                <c:pt idx="4">
                  <c:v>7364</c:v>
                </c:pt>
                <c:pt idx="5">
                  <c:v>7658.5600000000013</c:v>
                </c:pt>
                <c:pt idx="6">
                  <c:v>7964.9024000000018</c:v>
                </c:pt>
                <c:pt idx="7">
                  <c:v>8283.498496000002</c:v>
                </c:pt>
                <c:pt idx="8">
                  <c:v>8614.8384358400017</c:v>
                </c:pt>
                <c:pt idx="9">
                  <c:v>8959.4319732736021</c:v>
                </c:pt>
              </c:numCache>
            </c:numRef>
          </c:val>
          <c:smooth val="0"/>
          <c:extLst>
            <c:ext xmlns:c16="http://schemas.microsoft.com/office/drawing/2014/chart" uri="{C3380CC4-5D6E-409C-BE32-E72D297353CC}">
              <c16:uniqueId val="{00000009-0356-428F-8F2C-ED0E4AEFE416}"/>
            </c:ext>
          </c:extLst>
        </c:ser>
        <c:ser>
          <c:idx val="10"/>
          <c:order val="10"/>
          <c:tx>
            <c:strRef>
              <c:f>'WS8 Work'!$B$32</c:f>
              <c:strCache>
                <c:ptCount val="1"/>
                <c:pt idx="0">
                  <c:v>Other Assets </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'WS8 Work'!$C$21:$L$21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Work'!$C$32:$L$32</c:f>
              <c:numCache>
                <c:formatCode>#,##0</c:formatCode>
                <c:ptCount val="10"/>
                <c:pt idx="0">
                  <c:v>672</c:v>
                </c:pt>
                <c:pt idx="1">
                  <c:v>1054</c:v>
                </c:pt>
                <c:pt idx="2">
                  <c:v>2720</c:v>
                </c:pt>
                <c:pt idx="3">
                  <c:v>1464</c:v>
                </c:pt>
                <c:pt idx="4">
                  <c:v>1457</c:v>
                </c:pt>
                <c:pt idx="5">
                  <c:v>1515.2800000000002</c:v>
                </c:pt>
                <c:pt idx="6">
                  <c:v>1575.8912000000003</c:v>
                </c:pt>
                <c:pt idx="7">
                  <c:v>1638.9268480000003</c:v>
                </c:pt>
                <c:pt idx="8">
                  <c:v>1704.4839219200003</c:v>
                </c:pt>
                <c:pt idx="9">
                  <c:v>1772.6632787968003</c:v>
                </c:pt>
              </c:numCache>
            </c:numRef>
          </c:val>
          <c:smooth val="0"/>
          <c:extLst>
            <c:ext xmlns:c16="http://schemas.microsoft.com/office/drawing/2014/chart" uri="{C3380CC4-5D6E-409C-BE32-E72D297353CC}">
              <c16:uniqueId val="{0000000A-0356-428F-8F2C-ED0E4AEFE416}"/>
            </c:ext>
          </c:extLst>
        </c:ser>
        <c:ser>
          <c:idx val="11"/>
          <c:order val="11"/>
          <c:tx>
            <c:strRef>
              <c:f>'WS8 Work'!$B$33</c:f>
              <c:strCache>
                <c:ptCount val="1"/>
                <c:pt idx="0">
                  <c:v>Long-Term Investments </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numRef>
              <c:f>'WS8 Work'!$C$21:$L$21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Work'!$C$33:$L$33</c:f>
              <c:numCache>
                <c:formatCode>#,##0</c:formatCode>
                <c:ptCount val="10"/>
                <c:pt idx="0">
                  <c:v>25</c:v>
                </c:pt>
                <c:pt idx="1">
                  <c:v>26</c:v>
                </c:pt>
                <c:pt idx="2">
                  <c:v>555</c:v>
                </c:pt>
                <c:pt idx="3">
                  <c:v>424</c:v>
                </c:pt>
                <c:pt idx="4">
                  <c:v>499</c:v>
                </c:pt>
                <c:pt idx="5">
                  <c:v>518.96</c:v>
                </c:pt>
                <c:pt idx="6">
                  <c:v>539.71840000000009</c:v>
                </c:pt>
                <c:pt idx="7">
                  <c:v>561.30713600000013</c:v>
                </c:pt>
                <c:pt idx="8">
                  <c:v>583.7594214400001</c:v>
                </c:pt>
                <c:pt idx="9">
                  <c:v>607.10979829760015</c:v>
                </c:pt>
              </c:numCache>
            </c:numRef>
          </c:val>
          <c:smooth val="0"/>
          <c:extLst>
            <c:ext xmlns:c16="http://schemas.microsoft.com/office/drawing/2014/chart" uri="{C3380CC4-5D6E-409C-BE32-E72D297353CC}">
              <c16:uniqueId val="{0000000B-0356-428F-8F2C-ED0E4AEFE416}"/>
            </c:ext>
          </c:extLst>
        </c:ser>
        <c:ser>
          <c:idx val="12"/>
          <c:order val="12"/>
          <c:tx>
            <c:strRef>
              <c:f>'WS8 Work'!$B$34</c:f>
              <c:strCache>
                <c:ptCount val="1"/>
                <c:pt idx="0">
                  <c:v>Deferred Tax Assets </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numRef>
              <c:f>'WS8 Work'!$C$21:$L$21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Work'!$C$34:$L$34</c:f>
              <c:numCache>
                <c:formatCode>#,##0</c:formatCode>
                <c:ptCount val="10"/>
                <c:pt idx="0">
                  <c:v>527</c:v>
                </c:pt>
                <c:pt idx="1">
                  <c:v>176</c:v>
                </c:pt>
                <c:pt idx="2">
                  <c:v>139</c:v>
                </c:pt>
                <c:pt idx="3">
                  <c:v>126</c:v>
                </c:pt>
                <c:pt idx="4">
                  <c:v>112</c:v>
                </c:pt>
                <c:pt idx="5">
                  <c:v>116.48000000000002</c:v>
                </c:pt>
                <c:pt idx="6">
                  <c:v>121.13920000000002</c:v>
                </c:pt>
                <c:pt idx="7">
                  <c:v>125.98476800000002</c:v>
                </c:pt>
                <c:pt idx="8">
                  <c:v>131.02415872000003</c:v>
                </c:pt>
                <c:pt idx="9">
                  <c:v>136.26512506880002</c:v>
                </c:pt>
              </c:numCache>
            </c:numRef>
          </c:val>
          <c:smooth val="0"/>
          <c:extLst>
            <c:ext xmlns:c16="http://schemas.microsoft.com/office/drawing/2014/chart" uri="{C3380CC4-5D6E-409C-BE32-E72D297353CC}">
              <c16:uniqueId val="{0000000C-0356-428F-8F2C-ED0E4AEFE416}"/>
            </c:ext>
          </c:extLst>
        </c:ser>
        <c:ser>
          <c:idx val="13"/>
          <c:order val="13"/>
          <c:tx>
            <c:strRef>
              <c:f>'WS8 Work'!$B$35</c:f>
              <c:strCache>
                <c:ptCount val="1"/>
                <c:pt idx="0">
                  <c:v>Total Assets </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numRef>
              <c:f>'WS8 Work'!$C$21:$L$21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Work'!$C$35:$L$35</c:f>
              <c:numCache>
                <c:formatCode>#,##0</c:formatCode>
                <c:ptCount val="10"/>
                <c:pt idx="0">
                  <c:v>62408</c:v>
                </c:pt>
                <c:pt idx="1">
                  <c:v>69405</c:v>
                </c:pt>
                <c:pt idx="2">
                  <c:v>71124</c:v>
                </c:pt>
                <c:pt idx="3">
                  <c:v>70857</c:v>
                </c:pt>
                <c:pt idx="4">
                  <c:v>70070</c:v>
                </c:pt>
                <c:pt idx="5">
                  <c:v>72872.800000000003</c:v>
                </c:pt>
                <c:pt idx="6">
                  <c:v>75787.712000000014</c:v>
                </c:pt>
                <c:pt idx="7">
                  <c:v>78819.220480000018</c:v>
                </c:pt>
                <c:pt idx="8">
                  <c:v>81971.989299200039</c:v>
                </c:pt>
                <c:pt idx="9">
                  <c:v>85250.86887116803</c:v>
                </c:pt>
              </c:numCache>
            </c:numRef>
          </c:val>
          <c:smooth val="0"/>
          <c:extLst>
            <c:ext xmlns:c16="http://schemas.microsoft.com/office/drawing/2014/chart" uri="{C3380CC4-5D6E-409C-BE32-E72D297353CC}">
              <c16:uniqueId val="{0000000D-0356-428F-8F2C-ED0E4AEFE416}"/>
            </c:ext>
          </c:extLst>
        </c:ser>
        <c:dLbls>
          <c:showLegendKey val="0"/>
          <c:showVal val="0"/>
          <c:showCatName val="0"/>
          <c:showSerName val="0"/>
          <c:showPercent val="0"/>
          <c:showBubbleSize val="0"/>
        </c:dLbls>
        <c:marker val="1"/>
        <c:smooth val="0"/>
        <c:axId val="133972960"/>
        <c:axId val="133966720"/>
      </c:lineChart>
      <c:catAx>
        <c:axId val="13397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66720"/>
        <c:crosses val="autoZero"/>
        <c:auto val="1"/>
        <c:lblAlgn val="ctr"/>
        <c:lblOffset val="100"/>
        <c:noMultiLvlLbl val="0"/>
      </c:catAx>
      <c:valAx>
        <c:axId val="1339667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72960"/>
        <c:crosses val="autoZero"/>
        <c:crossBetween val="between"/>
      </c:valAx>
      <c:spPr>
        <a:noFill/>
        <a:ln>
          <a:noFill/>
        </a:ln>
        <a:effectLst/>
      </c:spPr>
    </c:plotArea>
    <c:legend>
      <c:legendPos val="b"/>
      <c:layout>
        <c:manualLayout>
          <c:xMode val="edge"/>
          <c:yMode val="edge"/>
          <c:x val="2.3179352580927393E-2"/>
          <c:y val="0.75636191309419643"/>
          <c:w val="0.96753018372703414"/>
          <c:h val="0.215860309128025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Historical vs Forecasted</a:t>
            </a:r>
            <a:r>
              <a:rPr lang="en-US" baseline="0"/>
              <a:t> Liability Items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248281464816899E-2"/>
          <c:y val="0.15686274509803921"/>
          <c:w val="0.88700568678915137"/>
          <c:h val="0.55802737893057486"/>
        </c:manualLayout>
      </c:layout>
      <c:lineChart>
        <c:grouping val="standard"/>
        <c:varyColors val="0"/>
        <c:ser>
          <c:idx val="0"/>
          <c:order val="0"/>
          <c:tx>
            <c:strRef>
              <c:f>'WS8 Work'!$B$36</c:f>
              <c:strCache>
                <c:ptCount val="1"/>
                <c:pt idx="0">
                  <c:v>Accounts Payable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'WS8 Work'!$C$21:$L$21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Work'!$C$36:$L$36</c:f>
              <c:numCache>
                <c:formatCode>#,##0</c:formatCode>
                <c:ptCount val="10"/>
                <c:pt idx="0">
                  <c:v>6455</c:v>
                </c:pt>
                <c:pt idx="1">
                  <c:v>7523</c:v>
                </c:pt>
                <c:pt idx="2">
                  <c:v>7512</c:v>
                </c:pt>
                <c:pt idx="3">
                  <c:v>6340</c:v>
                </c:pt>
                <c:pt idx="4">
                  <c:v>6302</c:v>
                </c:pt>
                <c:pt idx="5">
                  <c:v>6554.0800000000008</c:v>
                </c:pt>
                <c:pt idx="6">
                  <c:v>6816.2432000000008</c:v>
                </c:pt>
                <c:pt idx="7">
                  <c:v>7088.8929280000011</c:v>
                </c:pt>
                <c:pt idx="8">
                  <c:v>7372.4486451200009</c:v>
                </c:pt>
                <c:pt idx="9">
                  <c:v>7667.3465909248007</c:v>
                </c:pt>
              </c:numCache>
            </c:numRef>
          </c:val>
          <c:smooth val="0"/>
          <c:extLst>
            <c:ext xmlns:c16="http://schemas.microsoft.com/office/drawing/2014/chart" uri="{C3380CC4-5D6E-409C-BE32-E72D297353CC}">
              <c16:uniqueId val="{00000000-F8F4-4D8C-AF91-3908021C35AB}"/>
            </c:ext>
          </c:extLst>
        </c:ser>
        <c:ser>
          <c:idx val="1"/>
          <c:order val="1"/>
          <c:tx>
            <c:strRef>
              <c:f>'WS8 Work'!$B$37</c:f>
              <c:strCache>
                <c:ptCount val="1"/>
                <c:pt idx="0">
                  <c:v>ST Debt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'WS8 Work'!$C$21:$L$21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Work'!$C$37:$L$37</c:f>
              <c:numCache>
                <c:formatCode>#,##0</c:formatCode>
                <c:ptCount val="10"/>
                <c:pt idx="0">
                  <c:v>3183</c:v>
                </c:pt>
                <c:pt idx="1">
                  <c:v>2711</c:v>
                </c:pt>
                <c:pt idx="2">
                  <c:v>2962</c:v>
                </c:pt>
                <c:pt idx="3">
                  <c:v>4057</c:v>
                </c:pt>
                <c:pt idx="4">
                  <c:v>2571</c:v>
                </c:pt>
                <c:pt idx="5">
                  <c:v>2571</c:v>
                </c:pt>
                <c:pt idx="6">
                  <c:v>2571</c:v>
                </c:pt>
                <c:pt idx="7">
                  <c:v>2571</c:v>
                </c:pt>
                <c:pt idx="8">
                  <c:v>2571</c:v>
                </c:pt>
                <c:pt idx="9">
                  <c:v>2571</c:v>
                </c:pt>
              </c:numCache>
            </c:numRef>
          </c:val>
          <c:smooth val="0"/>
          <c:extLst>
            <c:ext xmlns:c16="http://schemas.microsoft.com/office/drawing/2014/chart" uri="{C3380CC4-5D6E-409C-BE32-E72D297353CC}">
              <c16:uniqueId val="{00000001-F8F4-4D8C-AF91-3908021C35AB}"/>
            </c:ext>
          </c:extLst>
        </c:ser>
        <c:ser>
          <c:idx val="2"/>
          <c:order val="2"/>
          <c:tx>
            <c:strRef>
              <c:f>'WS8 Work'!$B$38</c:f>
              <c:strCache>
                <c:ptCount val="1"/>
                <c:pt idx="0">
                  <c:v>Other Current Liabilities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'WS8 Work'!$C$21:$L$21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Work'!$C$38:$L$38</c:f>
              <c:numCache>
                <c:formatCode>#,##0</c:formatCode>
                <c:ptCount val="10"/>
                <c:pt idx="0">
                  <c:v>7378</c:v>
                </c:pt>
                <c:pt idx="1">
                  <c:v>7335</c:v>
                </c:pt>
                <c:pt idx="2">
                  <c:v>7666</c:v>
                </c:pt>
                <c:pt idx="3">
                  <c:v>7279</c:v>
                </c:pt>
                <c:pt idx="4">
                  <c:v>7568</c:v>
                </c:pt>
                <c:pt idx="5">
                  <c:v>7568</c:v>
                </c:pt>
                <c:pt idx="6">
                  <c:v>7568</c:v>
                </c:pt>
                <c:pt idx="7">
                  <c:v>7568</c:v>
                </c:pt>
                <c:pt idx="8">
                  <c:v>7568</c:v>
                </c:pt>
                <c:pt idx="9">
                  <c:v>7568</c:v>
                </c:pt>
              </c:numCache>
            </c:numRef>
          </c:val>
          <c:smooth val="0"/>
          <c:extLst>
            <c:ext xmlns:c16="http://schemas.microsoft.com/office/drawing/2014/chart" uri="{C3380CC4-5D6E-409C-BE32-E72D297353CC}">
              <c16:uniqueId val="{00000002-F8F4-4D8C-AF91-3908021C35AB}"/>
            </c:ext>
          </c:extLst>
        </c:ser>
        <c:ser>
          <c:idx val="3"/>
          <c:order val="3"/>
          <c:tx>
            <c:strRef>
              <c:f>'WS8 Work'!$B$39</c:f>
              <c:strCache>
                <c:ptCount val="1"/>
                <c:pt idx="0">
                  <c:v>Total Current Liabilities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'WS8 Work'!$C$21:$L$21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Work'!$C$39:$L$39</c:f>
              <c:numCache>
                <c:formatCode>#,##0</c:formatCode>
                <c:ptCount val="10"/>
                <c:pt idx="0">
                  <c:v>17016</c:v>
                </c:pt>
                <c:pt idx="1">
                  <c:v>17569</c:v>
                </c:pt>
                <c:pt idx="2">
                  <c:v>18140</c:v>
                </c:pt>
                <c:pt idx="3">
                  <c:v>17676</c:v>
                </c:pt>
                <c:pt idx="4">
                  <c:v>16441</c:v>
                </c:pt>
                <c:pt idx="5">
                  <c:v>16693.080000000002</c:v>
                </c:pt>
                <c:pt idx="6">
                  <c:v>16955.243200000001</c:v>
                </c:pt>
                <c:pt idx="7">
                  <c:v>17227.892928000001</c:v>
                </c:pt>
                <c:pt idx="8">
                  <c:v>17511.448645119999</c:v>
                </c:pt>
                <c:pt idx="9">
                  <c:v>17806.346590924801</c:v>
                </c:pt>
              </c:numCache>
            </c:numRef>
          </c:val>
          <c:smooth val="0"/>
          <c:extLst>
            <c:ext xmlns:c16="http://schemas.microsoft.com/office/drawing/2014/chart" uri="{C3380CC4-5D6E-409C-BE32-E72D297353CC}">
              <c16:uniqueId val="{00000003-F8F4-4D8C-AF91-3908021C35AB}"/>
            </c:ext>
          </c:extLst>
        </c:ser>
        <c:ser>
          <c:idx val="4"/>
          <c:order val="4"/>
          <c:tx>
            <c:strRef>
              <c:f>'WS8 Work'!$B$40</c:f>
              <c:strCache>
                <c:ptCount val="1"/>
                <c:pt idx="0">
                  <c:v>LT Debt </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'WS8 Work'!$C$21:$L$21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Work'!$C$40:$L$40</c:f>
              <c:numCache>
                <c:formatCode>#,##0</c:formatCode>
                <c:ptCount val="10"/>
                <c:pt idx="0">
                  <c:v>24571</c:v>
                </c:pt>
                <c:pt idx="1">
                  <c:v>22817</c:v>
                </c:pt>
                <c:pt idx="2">
                  <c:v>20559</c:v>
                </c:pt>
                <c:pt idx="3">
                  <c:v>22672</c:v>
                </c:pt>
                <c:pt idx="4">
                  <c:v>23081</c:v>
                </c:pt>
                <c:pt idx="5">
                  <c:v>9544</c:v>
                </c:pt>
                <c:pt idx="6">
                  <c:v>11206.888000000021</c:v>
                </c:pt>
                <c:pt idx="7">
                  <c:v>13085.843520000024</c:v>
                </c:pt>
                <c:pt idx="8">
                  <c:v>15039.957260800031</c:v>
                </c:pt>
                <c:pt idx="9">
                  <c:v>17072.235551232021</c:v>
                </c:pt>
              </c:numCache>
            </c:numRef>
          </c:val>
          <c:smooth val="0"/>
          <c:extLst>
            <c:ext xmlns:c16="http://schemas.microsoft.com/office/drawing/2014/chart" uri="{C3380CC4-5D6E-409C-BE32-E72D297353CC}">
              <c16:uniqueId val="{00000004-F8F4-4D8C-AF91-3908021C35AB}"/>
            </c:ext>
          </c:extLst>
        </c:ser>
        <c:ser>
          <c:idx val="5"/>
          <c:order val="5"/>
          <c:tx>
            <c:strRef>
              <c:f>'WS8 Work'!$B$41</c:f>
              <c:strCache>
                <c:ptCount val="1"/>
                <c:pt idx="0">
                  <c:v>Provisions for Risk &amp; Charges </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'WS8 Work'!$C$21:$L$21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Work'!$C$41:$L$41</c:f>
              <c:numCache>
                <c:formatCode>#,##0</c:formatCode>
                <c:ptCount val="10"/>
                <c:pt idx="0">
                  <c:v>16654</c:v>
                </c:pt>
                <c:pt idx="1">
                  <c:v>8877</c:v>
                </c:pt>
                <c:pt idx="2">
                  <c:v>5628</c:v>
                </c:pt>
                <c:pt idx="3">
                  <c:v>6972</c:v>
                </c:pt>
                <c:pt idx="4">
                  <c:v>7663</c:v>
                </c:pt>
                <c:pt idx="5">
                  <c:v>23081</c:v>
                </c:pt>
                <c:pt idx="6">
                  <c:v>23081</c:v>
                </c:pt>
                <c:pt idx="7">
                  <c:v>23081</c:v>
                </c:pt>
                <c:pt idx="8">
                  <c:v>23081</c:v>
                </c:pt>
                <c:pt idx="9">
                  <c:v>23081</c:v>
                </c:pt>
              </c:numCache>
            </c:numRef>
          </c:val>
          <c:smooth val="0"/>
          <c:extLst>
            <c:ext xmlns:c16="http://schemas.microsoft.com/office/drawing/2014/chart" uri="{C3380CC4-5D6E-409C-BE32-E72D297353CC}">
              <c16:uniqueId val="{00000005-F8F4-4D8C-AF91-3908021C35AB}"/>
            </c:ext>
          </c:extLst>
        </c:ser>
        <c:ser>
          <c:idx val="6"/>
          <c:order val="6"/>
          <c:tx>
            <c:strRef>
              <c:f>'WS8 Work'!$B$42</c:f>
              <c:strCache>
                <c:ptCount val="1"/>
                <c:pt idx="0">
                  <c:v>Deffered Tax Liabilities </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'WS8 Work'!$C$21:$L$21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Work'!$C$42:$L$42</c:f>
              <c:numCache>
                <c:formatCode>#,##0</c:formatCode>
                <c:ptCount val="10"/>
                <c:pt idx="0">
                  <c:v>488</c:v>
                </c:pt>
                <c:pt idx="1">
                  <c:v>3125</c:v>
                </c:pt>
                <c:pt idx="2">
                  <c:v>4302</c:v>
                </c:pt>
                <c:pt idx="3">
                  <c:v>3772</c:v>
                </c:pt>
                <c:pt idx="4">
                  <c:v>3595</c:v>
                </c:pt>
                <c:pt idx="5">
                  <c:v>3595</c:v>
                </c:pt>
                <c:pt idx="6">
                  <c:v>3888.3520000000008</c:v>
                </c:pt>
                <c:pt idx="7">
                  <c:v>4043.8860800000007</c:v>
                </c:pt>
                <c:pt idx="8">
                  <c:v>4205.6415232000008</c:v>
                </c:pt>
                <c:pt idx="9">
                  <c:v>4373.8671841280011</c:v>
                </c:pt>
              </c:numCache>
            </c:numRef>
          </c:val>
          <c:smooth val="0"/>
          <c:extLst>
            <c:ext xmlns:c16="http://schemas.microsoft.com/office/drawing/2014/chart" uri="{C3380CC4-5D6E-409C-BE32-E72D297353CC}">
              <c16:uniqueId val="{00000006-F8F4-4D8C-AF91-3908021C35AB}"/>
            </c:ext>
          </c:extLst>
        </c:ser>
        <c:ser>
          <c:idx val="7"/>
          <c:order val="7"/>
          <c:tx>
            <c:strRef>
              <c:f>'WS8 Work'!$B$43</c:f>
              <c:strCache>
                <c:ptCount val="1"/>
                <c:pt idx="0">
                  <c:v>Other Liabilities</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numRef>
              <c:f>'WS8 Work'!$C$21:$L$21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Work'!$C$43:$L$43</c:f>
              <c:numCache>
                <c:formatCode>#,##0</c:formatCode>
                <c:ptCount val="10"/>
                <c:pt idx="0">
                  <c:v>3010</c:v>
                </c:pt>
                <c:pt idx="1">
                  <c:v>2748</c:v>
                </c:pt>
                <c:pt idx="2">
                  <c:v>2692</c:v>
                </c:pt>
                <c:pt idx="3">
                  <c:v>2451</c:v>
                </c:pt>
                <c:pt idx="4">
                  <c:v>2547</c:v>
                </c:pt>
                <c:pt idx="5">
                  <c:v>2547</c:v>
                </c:pt>
                <c:pt idx="6">
                  <c:v>2547</c:v>
                </c:pt>
                <c:pt idx="7">
                  <c:v>2547</c:v>
                </c:pt>
                <c:pt idx="8">
                  <c:v>2547</c:v>
                </c:pt>
                <c:pt idx="9">
                  <c:v>2547</c:v>
                </c:pt>
              </c:numCache>
            </c:numRef>
          </c:val>
          <c:smooth val="0"/>
          <c:extLst>
            <c:ext xmlns:c16="http://schemas.microsoft.com/office/drawing/2014/chart" uri="{C3380CC4-5D6E-409C-BE32-E72D297353CC}">
              <c16:uniqueId val="{00000007-F8F4-4D8C-AF91-3908021C35AB}"/>
            </c:ext>
          </c:extLst>
        </c:ser>
        <c:ser>
          <c:idx val="8"/>
          <c:order val="8"/>
          <c:tx>
            <c:strRef>
              <c:f>'WS8 Work'!$B$44</c:f>
              <c:strCache>
                <c:ptCount val="1"/>
                <c:pt idx="0">
                  <c:v>Total Liabilities </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'WS8 Work'!$C$21:$L$21</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'WS8 Work'!$C$44:$L$44</c:f>
              <c:numCache>
                <c:formatCode>#,##0</c:formatCode>
                <c:ptCount val="10"/>
                <c:pt idx="0">
                  <c:v>61739</c:v>
                </c:pt>
                <c:pt idx="1">
                  <c:v>55136</c:v>
                </c:pt>
                <c:pt idx="2">
                  <c:v>51321</c:v>
                </c:pt>
                <c:pt idx="3">
                  <c:v>53543</c:v>
                </c:pt>
                <c:pt idx="4">
                  <c:v>53327</c:v>
                </c:pt>
                <c:pt idx="5">
                  <c:v>55460.08</c:v>
                </c:pt>
                <c:pt idx="6">
                  <c:v>57678.483200000017</c:v>
                </c:pt>
                <c:pt idx="7">
                  <c:v>59985.622528000029</c:v>
                </c:pt>
                <c:pt idx="8">
                  <c:v>62385.04742912003</c:v>
                </c:pt>
                <c:pt idx="9">
                  <c:v>64880.449326284826</c:v>
                </c:pt>
              </c:numCache>
            </c:numRef>
          </c:val>
          <c:smooth val="0"/>
          <c:extLst>
            <c:ext xmlns:c16="http://schemas.microsoft.com/office/drawing/2014/chart" uri="{C3380CC4-5D6E-409C-BE32-E72D297353CC}">
              <c16:uniqueId val="{00000008-F8F4-4D8C-AF91-3908021C35AB}"/>
            </c:ext>
          </c:extLst>
        </c:ser>
        <c:dLbls>
          <c:showLegendKey val="0"/>
          <c:showVal val="0"/>
          <c:showCatName val="0"/>
          <c:showSerName val="0"/>
          <c:showPercent val="0"/>
          <c:showBubbleSize val="0"/>
        </c:dLbls>
        <c:marker val="1"/>
        <c:smooth val="0"/>
        <c:axId val="127518096"/>
        <c:axId val="127520016"/>
      </c:lineChart>
      <c:catAx>
        <c:axId val="12751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20016"/>
        <c:crosses val="autoZero"/>
        <c:auto val="1"/>
        <c:lblAlgn val="ctr"/>
        <c:lblOffset val="100"/>
        <c:noMultiLvlLbl val="0"/>
      </c:catAx>
      <c:valAx>
        <c:axId val="127520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18096"/>
        <c:crosses val="autoZero"/>
        <c:crossBetween val="between"/>
      </c:valAx>
      <c:spPr>
        <a:noFill/>
        <a:ln>
          <a:noFill/>
        </a:ln>
        <a:effectLst/>
      </c:spPr>
    </c:plotArea>
    <c:legend>
      <c:legendPos val="b"/>
      <c:layout>
        <c:manualLayout>
          <c:xMode val="edge"/>
          <c:yMode val="edge"/>
          <c:x val="2.389138857642795E-2"/>
          <c:y val="0.82638773094539653"/>
          <c:w val="0.94229658792650917"/>
          <c:h val="0.154004425917348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Profitability Ratios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'Workshop #8'!$C$54</c:f>
              <c:strCache>
                <c:ptCount val="1"/>
                <c:pt idx="0">
                  <c:v>Operating Margin </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'Workshop #8'!$D$52:$M$52</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'Workshop #8'!$D$54:$M$54</c:f>
              <c:numCache>
                <c:formatCode>0.00%</c:formatCode>
                <c:ptCount val="10"/>
                <c:pt idx="0">
                  <c:v>9.2808413871517906E-2</c:v>
                </c:pt>
                <c:pt idx="1">
                  <c:v>0.134840130035801</c:v>
                </c:pt>
                <c:pt idx="2">
                  <c:v>0.12963592378591279</c:v>
                </c:pt>
                <c:pt idx="3">
                  <c:v>0.10326739765276324</c:v>
                </c:pt>
                <c:pt idx="4">
                  <c:v>9.5550861442999541E-2</c:v>
                </c:pt>
                <c:pt idx="5">
                  <c:v>9.5550861442999596E-2</c:v>
                </c:pt>
                <c:pt idx="6">
                  <c:v>9.555086144299961E-2</c:v>
                </c:pt>
                <c:pt idx="7">
                  <c:v>9.5550861442999541E-2</c:v>
                </c:pt>
                <c:pt idx="8">
                  <c:v>9.5550861442999652E-2</c:v>
                </c:pt>
                <c:pt idx="9">
                  <c:v>9.5550861442999527E-2</c:v>
                </c:pt>
              </c:numCache>
            </c:numRef>
          </c:val>
          <c:smooth val="0"/>
          <c:extLst>
            <c:ext xmlns:c16="http://schemas.microsoft.com/office/drawing/2014/chart" uri="{C3380CC4-5D6E-409C-BE32-E72D297353CC}">
              <c16:uniqueId val="{00000000-AAAF-4709-A3D8-2B711E298C0D}"/>
            </c:ext>
          </c:extLst>
        </c:ser>
        <c:ser>
          <c:idx val="1"/>
          <c:order val="1"/>
          <c:tx>
            <c:strRef>
              <c:f>'Workshop #8'!$C$55</c:f>
              <c:strCache>
                <c:ptCount val="1"/>
                <c:pt idx="0">
                  <c:v>Net Profit Margin </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'Workshop #8'!$D$52:$M$52</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'Workshop #8'!$D$55:$M$55</c:f>
              <c:numCache>
                <c:formatCode>0.00%</c:formatCode>
                <c:ptCount val="10"/>
                <c:pt idx="0">
                  <c:v>1.5906291453477356E-2</c:v>
                </c:pt>
                <c:pt idx="1">
                  <c:v>0.1326077116168059</c:v>
                </c:pt>
                <c:pt idx="2">
                  <c:v>0.11544075014495071</c:v>
                </c:pt>
                <c:pt idx="3">
                  <c:v>7.3921428177861043E-2</c:v>
                </c:pt>
                <c:pt idx="4">
                  <c:v>6.3612559684907699E-2</c:v>
                </c:pt>
                <c:pt idx="5">
                  <c:v>7.3688119433367782E-2</c:v>
                </c:pt>
                <c:pt idx="6">
                  <c:v>8.257591848539024E-2</c:v>
                </c:pt>
                <c:pt idx="7">
                  <c:v>8.1884471150403204E-2</c:v>
                </c:pt>
                <c:pt idx="8">
                  <c:v>8.113523269426301E-2</c:v>
                </c:pt>
                <c:pt idx="9">
                  <c:v>8.0414811101820236E-2</c:v>
                </c:pt>
              </c:numCache>
            </c:numRef>
          </c:val>
          <c:smooth val="0"/>
          <c:extLst>
            <c:ext xmlns:c16="http://schemas.microsoft.com/office/drawing/2014/chart" uri="{C3380CC4-5D6E-409C-BE32-E72D297353CC}">
              <c16:uniqueId val="{00000001-AAAF-4709-A3D8-2B711E298C0D}"/>
            </c:ext>
          </c:extLst>
        </c:ser>
        <c:ser>
          <c:idx val="2"/>
          <c:order val="2"/>
          <c:tx>
            <c:strRef>
              <c:f>'Workshop #8'!$C$56</c:f>
              <c:strCache>
                <c:ptCount val="1"/>
                <c:pt idx="0">
                  <c:v>Return on Equity (ROE </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'Workshop #8'!$D$52:$M$52</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'Workshop #8'!$D$56:$M$56</c:f>
              <c:numCache>
                <c:formatCode>0.00%</c:formatCode>
                <c:ptCount val="10"/>
                <c:pt idx="0">
                  <c:v>2.007473841554559</c:v>
                </c:pt>
                <c:pt idx="1">
                  <c:v>0.90335692760529818</c:v>
                </c:pt>
                <c:pt idx="2">
                  <c:v>0.58314396808564362</c:v>
                </c:pt>
                <c:pt idx="3">
                  <c:v>0.3874321358438258</c:v>
                </c:pt>
                <c:pt idx="4">
                  <c:v>0.34533835035537241</c:v>
                </c:pt>
                <c:pt idx="5">
                  <c:v>0.33796030734882809</c:v>
                </c:pt>
                <c:pt idx="6">
                  <c:v>0.37872296111681092</c:v>
                </c:pt>
                <c:pt idx="7">
                  <c:v>0.37555173411787712</c:v>
                </c:pt>
                <c:pt idx="8">
                  <c:v>0.37211545618241337</c:v>
                </c:pt>
                <c:pt idx="9">
                  <c:v>0.36881134278292765</c:v>
                </c:pt>
              </c:numCache>
            </c:numRef>
          </c:val>
          <c:smooth val="0"/>
          <c:extLst>
            <c:ext xmlns:c16="http://schemas.microsoft.com/office/drawing/2014/chart" uri="{C3380CC4-5D6E-409C-BE32-E72D297353CC}">
              <c16:uniqueId val="{00000002-AAAF-4709-A3D8-2B711E298C0D}"/>
            </c:ext>
          </c:extLst>
        </c:ser>
        <c:dLbls>
          <c:showLegendKey val="0"/>
          <c:showVal val="0"/>
          <c:showCatName val="0"/>
          <c:showSerName val="0"/>
          <c:showPercent val="0"/>
          <c:showBubbleSize val="0"/>
        </c:dLbls>
        <c:marker val="1"/>
        <c:smooth val="0"/>
        <c:axId val="270907808"/>
        <c:axId val="270897248"/>
      </c:lineChart>
      <c:catAx>
        <c:axId val="27090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897248"/>
        <c:crosses val="autoZero"/>
        <c:auto val="1"/>
        <c:lblAlgn val="ctr"/>
        <c:lblOffset val="100"/>
        <c:noMultiLvlLbl val="0"/>
      </c:catAx>
      <c:valAx>
        <c:axId val="2708972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907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'Workshop #8'!$C$58</c:f>
              <c:strCache>
                <c:ptCount val="1"/>
                <c:pt idx="0">
                  <c:v>Current Ratio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'Workshop #8'!$D$52:$M$52</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'Workshop #8'!$D$58:$M$58</c:f>
              <c:numCache>
                <c:formatCode>0.00</c:formatCode>
                <c:ptCount val="10"/>
                <c:pt idx="0">
                  <c:v>1.0108359383857852</c:v>
                </c:pt>
                <c:pt idx="1">
                  <c:v>1.2587964306442252</c:v>
                </c:pt>
                <c:pt idx="2">
                  <c:v>1.3858654352019641</c:v>
                </c:pt>
                <c:pt idx="3">
                  <c:v>1.3233662663653512</c:v>
                </c:pt>
                <c:pt idx="4">
                  <c:v>1.3139685337633844</c:v>
                </c:pt>
                <c:pt idx="5">
                  <c:v>1.2030374262868209</c:v>
                </c:pt>
                <c:pt idx="6">
                  <c:v>1.2318134133280969</c:v>
                </c:pt>
                <c:pt idx="7">
                  <c:v>1.2608114022288404</c:v>
                </c:pt>
                <c:pt idx="8">
                  <c:v>1.2900114234635442</c:v>
                </c:pt>
                <c:pt idx="9">
                  <c:v>1.3193929156314277</c:v>
                </c:pt>
              </c:numCache>
            </c:numRef>
          </c:val>
          <c:smooth val="0"/>
          <c:extLst>
            <c:ext xmlns:c16="http://schemas.microsoft.com/office/drawing/2014/chart" uri="{C3380CC4-5D6E-409C-BE32-E72D297353CC}">
              <c16:uniqueId val="{00000000-0CEB-439F-9F2D-A65E124BE6C3}"/>
            </c:ext>
          </c:extLst>
        </c:ser>
        <c:dLbls>
          <c:showLegendKey val="0"/>
          <c:showVal val="0"/>
          <c:showCatName val="0"/>
          <c:showSerName val="0"/>
          <c:showPercent val="0"/>
          <c:showBubbleSize val="0"/>
        </c:dLbls>
        <c:marker val="1"/>
        <c:smooth val="0"/>
        <c:axId val="395716288"/>
        <c:axId val="395717248"/>
      </c:lineChart>
      <c:catAx>
        <c:axId val="39571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717248"/>
        <c:crosses val="autoZero"/>
        <c:auto val="1"/>
        <c:lblAlgn val="ctr"/>
        <c:lblOffset val="100"/>
        <c:noMultiLvlLbl val="0"/>
      </c:catAx>
      <c:valAx>
        <c:axId val="3957172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71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'Workshop #8'!$C$59</c:f>
              <c:strCache>
                <c:ptCount val="1"/>
                <c:pt idx="0">
                  <c:v>Book Debt-to-Equity Ratio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'Workshop #8'!$D$52:$M$52</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'Workshop #8'!$D$59:$M$59</c:f>
              <c:numCache>
                <c:formatCode>0.00</c:formatCode>
                <c:ptCount val="10"/>
                <c:pt idx="0">
                  <c:v>0.28205803644570715</c:v>
                </c:pt>
                <c:pt idx="1">
                  <c:v>1.2280237566991309E-2</c:v>
                </c:pt>
                <c:pt idx="2">
                  <c:v>7.9728347576179161E-3</c:v>
                </c:pt>
                <c:pt idx="3">
                  <c:v>1.0056206522493016E-2</c:v>
                </c:pt>
                <c:pt idx="4">
                  <c:v>1.0586760975606053E-2</c:v>
                </c:pt>
                <c:pt idx="5">
                  <c:v>0.54810506342489851</c:v>
                </c:pt>
                <c:pt idx="6">
                  <c:v>0.61884954482435039</c:v>
                </c:pt>
                <c:pt idx="7">
                  <c:v>0.69481378721957876</c:v>
                </c:pt>
                <c:pt idx="8">
                  <c:v>0.76785632798422132</c:v>
                </c:pt>
                <c:pt idx="9">
                  <c:v>0.83808954025791549</c:v>
                </c:pt>
              </c:numCache>
            </c:numRef>
          </c:val>
          <c:smooth val="0"/>
          <c:extLst>
            <c:ext xmlns:c16="http://schemas.microsoft.com/office/drawing/2014/chart" uri="{C3380CC4-5D6E-409C-BE32-E72D297353CC}">
              <c16:uniqueId val="{00000000-708A-433B-8F3E-97145AC06AC3}"/>
            </c:ext>
          </c:extLst>
        </c:ser>
        <c:dLbls>
          <c:showLegendKey val="0"/>
          <c:showVal val="0"/>
          <c:showCatName val="0"/>
          <c:showSerName val="0"/>
          <c:showPercent val="0"/>
          <c:showBubbleSize val="0"/>
        </c:dLbls>
        <c:marker val="1"/>
        <c:smooth val="0"/>
        <c:axId val="270148944"/>
        <c:axId val="270137424"/>
      </c:lineChart>
      <c:catAx>
        <c:axId val="27014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137424"/>
        <c:crosses val="autoZero"/>
        <c:auto val="1"/>
        <c:lblAlgn val="ctr"/>
        <c:lblOffset val="100"/>
        <c:noMultiLvlLbl val="0"/>
      </c:catAx>
      <c:valAx>
        <c:axId val="2701374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14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'Workshop #8'!$C$60</c:f>
              <c:strCache>
                <c:ptCount val="1"/>
                <c:pt idx="0">
                  <c:v>Interest Coverage Ratio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'Workshop #8'!$D$52:$M$52</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'Workshop #8'!$D$60:$M$60</c:f>
              <c:numCache>
                <c:formatCode>0.00</c:formatCode>
                <c:ptCount val="10"/>
                <c:pt idx="0">
                  <c:v>11.456140350877194</c:v>
                </c:pt>
                <c:pt idx="1">
                  <c:v>19.190336749633968</c:v>
                </c:pt>
                <c:pt idx="2">
                  <c:v>18.685878962536023</c:v>
                </c:pt>
                <c:pt idx="3">
                  <c:v>12.091612903225807</c:v>
                </c:pt>
                <c:pt idx="4">
                  <c:v>10.087108013937282</c:v>
                </c:pt>
                <c:pt idx="5">
                  <c:v>4.525868288604614</c:v>
                </c:pt>
                <c:pt idx="6">
                  <c:v>11.168349671717456</c:v>
                </c:pt>
                <c:pt idx="7">
                  <c:v>10.127709742144141</c:v>
                </c:pt>
                <c:pt idx="8">
                  <c:v>9.1839806894053932</c:v>
                </c:pt>
                <c:pt idx="9">
                  <c:v>8.4161236832038995</c:v>
                </c:pt>
              </c:numCache>
            </c:numRef>
          </c:val>
          <c:smooth val="0"/>
          <c:extLst>
            <c:ext xmlns:c16="http://schemas.microsoft.com/office/drawing/2014/chart" uri="{C3380CC4-5D6E-409C-BE32-E72D297353CC}">
              <c16:uniqueId val="{00000000-ED04-41BE-9E71-0D23C6F850AA}"/>
            </c:ext>
          </c:extLst>
        </c:ser>
        <c:dLbls>
          <c:showLegendKey val="0"/>
          <c:showVal val="0"/>
          <c:showCatName val="0"/>
          <c:showSerName val="0"/>
          <c:showPercent val="0"/>
          <c:showBubbleSize val="0"/>
        </c:dLbls>
        <c:marker val="1"/>
        <c:smooth val="0"/>
        <c:axId val="236480688"/>
        <c:axId val="236481168"/>
      </c:lineChart>
      <c:catAx>
        <c:axId val="23648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481168"/>
        <c:crosses val="autoZero"/>
        <c:auto val="1"/>
        <c:lblAlgn val="ctr"/>
        <c:lblOffset val="100"/>
        <c:noMultiLvlLbl val="0"/>
      </c:catAx>
      <c:valAx>
        <c:axId val="2364811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48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'Workshop #8'!$C$61</c:f>
              <c:strCache>
                <c:ptCount val="1"/>
                <c:pt idx="0">
                  <c:v>Payout Ratio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'Workshop #8'!$D$52:$M$52</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'Workshop #8'!$D$61:$M$61</c:f>
              <c:numCache>
                <c:formatCode>0.00%</c:formatCode>
                <c:ptCount val="10"/>
                <c:pt idx="0">
                  <c:v>2.6201439782087035</c:v>
                </c:pt>
                <c:pt idx="1">
                  <c:v>0.27790833111960273</c:v>
                </c:pt>
                <c:pt idx="2">
                  <c:v>0.460686331709313</c:v>
                </c:pt>
                <c:pt idx="3">
                  <c:v>0.83076923076923082</c:v>
                </c:pt>
                <c:pt idx="4">
                  <c:v>0.96412622364179457</c:v>
                </c:pt>
                <c:pt idx="5">
                  <c:v>0.99231074294720778</c:v>
                </c:pt>
                <c:pt idx="6">
                  <c:v>0.88550649974598583</c:v>
                </c:pt>
                <c:pt idx="7">
                  <c:v>0.89298387733371487</c:v>
                </c:pt>
                <c:pt idx="8">
                  <c:v>0.9012300835673589</c:v>
                </c:pt>
                <c:pt idx="9">
                  <c:v>0.90930403913679803</c:v>
                </c:pt>
              </c:numCache>
            </c:numRef>
          </c:val>
          <c:smooth val="0"/>
          <c:extLst>
            <c:ext xmlns:c16="http://schemas.microsoft.com/office/drawing/2014/chart" uri="{C3380CC4-5D6E-409C-BE32-E72D297353CC}">
              <c16:uniqueId val="{00000000-8397-480A-84D6-55D4B55C1089}"/>
            </c:ext>
          </c:extLst>
        </c:ser>
        <c:dLbls>
          <c:showLegendKey val="0"/>
          <c:showVal val="0"/>
          <c:showCatName val="0"/>
          <c:showSerName val="0"/>
          <c:showPercent val="0"/>
          <c:showBubbleSize val="0"/>
        </c:dLbls>
        <c:marker val="1"/>
        <c:smooth val="0"/>
        <c:axId val="32448272"/>
        <c:axId val="32449232"/>
      </c:lineChart>
      <c:catAx>
        <c:axId val="3244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49232"/>
        <c:crosses val="autoZero"/>
        <c:auto val="1"/>
        <c:lblAlgn val="ctr"/>
        <c:lblOffset val="100"/>
        <c:noMultiLvlLbl val="0"/>
      </c:catAx>
      <c:valAx>
        <c:axId val="324492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4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Resulting Impact on Original Valuation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multiLvlStrRef>
              <c:f>'Workshop #8'!$C$106:$D$109</c:f>
              <c:multiLvlStrCache>
                <c:ptCount val="4"/>
                <c:lvl>
                  <c:pt idx="0">
                    <c:v>1% increase </c:v>
                  </c:pt>
                  <c:pt idx="1">
                    <c:v>1% increase </c:v>
                  </c:pt>
                  <c:pt idx="2">
                    <c:v>1% increase </c:v>
                  </c:pt>
                  <c:pt idx="3">
                    <c:v>1% increase </c:v>
                  </c:pt>
                </c:lvl>
                <c:lvl>
                  <c:pt idx="0">
                    <c:v>Risk-Free Rate</c:v>
                  </c:pt>
                  <c:pt idx="1">
                    <c:v>Beta </c:v>
                  </c:pt>
                  <c:pt idx="2">
                    <c:v>Cost of Debt </c:v>
                  </c:pt>
                  <c:pt idx="3">
                    <c:v>Growth Rate (g2) </c:v>
                  </c:pt>
                </c:lvl>
              </c:multiLvlStrCache>
            </c:multiLvlStrRef>
          </c:cat>
          <c:val>
            <c:numRef>
              <c:f>'Workshop #8'!$G$106:$G$109</c:f>
              <c:numCache>
                <c:formatCode>_("$"* #,##0.00_);_("$"* \(#,##0.00\);_("$"* "-"??_);_(@_)</c:formatCode>
                <c:ptCount val="4"/>
                <c:pt idx="0">
                  <c:v>53178.327851822301</c:v>
                </c:pt>
                <c:pt idx="1">
                  <c:v>54061.327851822301</c:v>
                </c:pt>
                <c:pt idx="2">
                  <c:v>54324.327851822301</c:v>
                </c:pt>
                <c:pt idx="3">
                  <c:v>54815.327851822301</c:v>
                </c:pt>
              </c:numCache>
            </c:numRef>
          </c:val>
          <c:extLst>
            <c:ext xmlns:c16="http://schemas.microsoft.com/office/drawing/2014/chart" uri="{C3380CC4-5D6E-409C-BE32-E72D297353CC}">
              <c16:uniqueId val="{00000000-2C11-4C40-B3EE-C601F9399665}"/>
            </c:ext>
          </c:extLst>
        </c:ser>
        <c:dLbls>
          <c:showLegendKey val="0"/>
          <c:showVal val="0"/>
          <c:showCatName val="0"/>
          <c:showSerName val="0"/>
          <c:showPercent val="0"/>
          <c:showBubbleSize val="0"/>
        </c:dLbls>
        <c:gapWidth val="182"/>
        <c:axId val="1713829471"/>
        <c:axId val="1713824191"/>
      </c:barChart>
      <c:catAx>
        <c:axId val="1713829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824191"/>
        <c:crosses val="autoZero"/>
        <c:auto val="1"/>
        <c:lblAlgn val="ctr"/>
        <c:lblOffset val="100"/>
        <c:noMultiLvlLbl val="0"/>
      </c:catAx>
      <c:valAx>
        <c:axId val="1713824191"/>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82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Rolling Beta (60-Month)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cked"/>
        <c:varyColors val="0"/>
        <c:ser>
          <c:idx val="0"/>
          <c:order val="0"/>
          <c:spPr>
            <a:ln w="22225" cap="rnd">
              <a:solidFill>
                <a:schemeClr val="accent1"/>
              </a:solidFill>
            </a:ln>
            <a:effectLst>
              <a:glow rad="139700">
                <a:schemeClr val="accent1">
                  <a:satMod val="175000"/>
                  <a:alpha val="14000"/>
                </a:schemeClr>
              </a:glow>
            </a:effectLst>
          </c:spPr>
          <c:marker>
            <c:symbol val="none"/>
          </c:marker>
          <c:cat>
            <c:numRef>
              <c:f>'WS6 Work'!$J$68:$J$126</c:f>
              <c:numCache>
                <c:formatCode>m/d/yy</c:formatCode>
                <c:ptCount val="59"/>
                <c:pt idx="0">
                  <c:v>44196</c:v>
                </c:pt>
                <c:pt idx="1">
                  <c:v>44165</c:v>
                </c:pt>
                <c:pt idx="2">
                  <c:v>44134</c:v>
                </c:pt>
                <c:pt idx="3">
                  <c:v>44104</c:v>
                </c:pt>
                <c:pt idx="4">
                  <c:v>44074</c:v>
                </c:pt>
                <c:pt idx="5">
                  <c:v>44043</c:v>
                </c:pt>
                <c:pt idx="6">
                  <c:v>44012</c:v>
                </c:pt>
                <c:pt idx="7">
                  <c:v>43980</c:v>
                </c:pt>
                <c:pt idx="8">
                  <c:v>43951</c:v>
                </c:pt>
                <c:pt idx="9">
                  <c:v>43921</c:v>
                </c:pt>
                <c:pt idx="10">
                  <c:v>43889</c:v>
                </c:pt>
                <c:pt idx="11">
                  <c:v>43861</c:v>
                </c:pt>
                <c:pt idx="12">
                  <c:v>43830</c:v>
                </c:pt>
                <c:pt idx="13">
                  <c:v>43798</c:v>
                </c:pt>
                <c:pt idx="14">
                  <c:v>43769</c:v>
                </c:pt>
                <c:pt idx="15">
                  <c:v>43738</c:v>
                </c:pt>
                <c:pt idx="16">
                  <c:v>43707</c:v>
                </c:pt>
                <c:pt idx="17">
                  <c:v>43677</c:v>
                </c:pt>
                <c:pt idx="18">
                  <c:v>43644</c:v>
                </c:pt>
                <c:pt idx="19">
                  <c:v>43616</c:v>
                </c:pt>
                <c:pt idx="20">
                  <c:v>43585</c:v>
                </c:pt>
                <c:pt idx="21">
                  <c:v>43553</c:v>
                </c:pt>
                <c:pt idx="22">
                  <c:v>43524</c:v>
                </c:pt>
                <c:pt idx="23">
                  <c:v>43496</c:v>
                </c:pt>
                <c:pt idx="24">
                  <c:v>43465</c:v>
                </c:pt>
                <c:pt idx="25">
                  <c:v>43434</c:v>
                </c:pt>
                <c:pt idx="26">
                  <c:v>43404</c:v>
                </c:pt>
                <c:pt idx="27">
                  <c:v>43371</c:v>
                </c:pt>
                <c:pt idx="28">
                  <c:v>43343</c:v>
                </c:pt>
                <c:pt idx="29">
                  <c:v>43312</c:v>
                </c:pt>
                <c:pt idx="30">
                  <c:v>43280</c:v>
                </c:pt>
                <c:pt idx="31">
                  <c:v>43251</c:v>
                </c:pt>
                <c:pt idx="32">
                  <c:v>43220</c:v>
                </c:pt>
                <c:pt idx="33">
                  <c:v>43188</c:v>
                </c:pt>
                <c:pt idx="34">
                  <c:v>43159</c:v>
                </c:pt>
                <c:pt idx="35">
                  <c:v>43131</c:v>
                </c:pt>
                <c:pt idx="36">
                  <c:v>43098</c:v>
                </c:pt>
                <c:pt idx="37">
                  <c:v>43069</c:v>
                </c:pt>
                <c:pt idx="38">
                  <c:v>43039</c:v>
                </c:pt>
                <c:pt idx="39">
                  <c:v>43007</c:v>
                </c:pt>
                <c:pt idx="40">
                  <c:v>42978</c:v>
                </c:pt>
                <c:pt idx="41">
                  <c:v>42947</c:v>
                </c:pt>
                <c:pt idx="42">
                  <c:v>42916</c:v>
                </c:pt>
                <c:pt idx="43">
                  <c:v>42886</c:v>
                </c:pt>
                <c:pt idx="44">
                  <c:v>42853</c:v>
                </c:pt>
                <c:pt idx="45">
                  <c:v>42825</c:v>
                </c:pt>
                <c:pt idx="46">
                  <c:v>42794</c:v>
                </c:pt>
                <c:pt idx="47">
                  <c:v>42766</c:v>
                </c:pt>
                <c:pt idx="48">
                  <c:v>42734</c:v>
                </c:pt>
                <c:pt idx="49">
                  <c:v>42704</c:v>
                </c:pt>
                <c:pt idx="50">
                  <c:v>42674</c:v>
                </c:pt>
                <c:pt idx="51">
                  <c:v>42643</c:v>
                </c:pt>
                <c:pt idx="52">
                  <c:v>42613</c:v>
                </c:pt>
                <c:pt idx="53">
                  <c:v>42580</c:v>
                </c:pt>
                <c:pt idx="54">
                  <c:v>42551</c:v>
                </c:pt>
                <c:pt idx="55">
                  <c:v>42521</c:v>
                </c:pt>
                <c:pt idx="56">
                  <c:v>42489</c:v>
                </c:pt>
                <c:pt idx="57">
                  <c:v>42460</c:v>
                </c:pt>
                <c:pt idx="58">
                  <c:v>42429</c:v>
                </c:pt>
              </c:numCache>
            </c:numRef>
          </c:cat>
          <c:val>
            <c:numRef>
              <c:f>'WS6 Work'!$K$68:$K$126</c:f>
              <c:numCache>
                <c:formatCode>General</c:formatCode>
                <c:ptCount val="59"/>
                <c:pt idx="0">
                  <c:v>1.0083852389942052</c:v>
                </c:pt>
                <c:pt idx="1">
                  <c:v>0.99493508494892324</c:v>
                </c:pt>
                <c:pt idx="2">
                  <c:v>1.0061771316441206</c:v>
                </c:pt>
                <c:pt idx="3">
                  <c:v>1.0178795862147705</c:v>
                </c:pt>
                <c:pt idx="4">
                  <c:v>1.0072139536147287</c:v>
                </c:pt>
                <c:pt idx="5">
                  <c:v>1.0378556204916909</c:v>
                </c:pt>
                <c:pt idx="6">
                  <c:v>0.95149401839803249</c:v>
                </c:pt>
                <c:pt idx="7">
                  <c:v>0.80860654934689002</c:v>
                </c:pt>
                <c:pt idx="8">
                  <c:v>0.80373047417864418</c:v>
                </c:pt>
                <c:pt idx="9">
                  <c:v>0.74931892125232913</c:v>
                </c:pt>
                <c:pt idx="10">
                  <c:v>0.78872551908628252</c:v>
                </c:pt>
                <c:pt idx="11">
                  <c:v>0.97455801688665311</c:v>
                </c:pt>
                <c:pt idx="12">
                  <c:v>0.89073736137900161</c:v>
                </c:pt>
                <c:pt idx="13">
                  <c:v>0.74057970052511501</c:v>
                </c:pt>
                <c:pt idx="14">
                  <c:v>0.75087230072768019</c:v>
                </c:pt>
                <c:pt idx="15">
                  <c:v>0.74651100965410966</c:v>
                </c:pt>
                <c:pt idx="16">
                  <c:v>0.70112497662607609</c:v>
                </c:pt>
                <c:pt idx="17">
                  <c:v>0.70811955128727733</c:v>
                </c:pt>
                <c:pt idx="18">
                  <c:v>0.69134307895165203</c:v>
                </c:pt>
                <c:pt idx="19">
                  <c:v>0.68619385734645144</c:v>
                </c:pt>
                <c:pt idx="20">
                  <c:v>0.66370922150351375</c:v>
                </c:pt>
                <c:pt idx="21">
                  <c:v>0.55302075615903312</c:v>
                </c:pt>
                <c:pt idx="22">
                  <c:v>0.55703816187953736</c:v>
                </c:pt>
                <c:pt idx="23">
                  <c:v>0.57022329879516731</c:v>
                </c:pt>
                <c:pt idx="24">
                  <c:v>0.56246424636937264</c:v>
                </c:pt>
                <c:pt idx="25">
                  <c:v>0.47955600644210644</c:v>
                </c:pt>
                <c:pt idx="26">
                  <c:v>0.43712140832143703</c:v>
                </c:pt>
                <c:pt idx="27">
                  <c:v>0.42989020855196919</c:v>
                </c:pt>
                <c:pt idx="28">
                  <c:v>0.41763990841115539</c:v>
                </c:pt>
                <c:pt idx="29">
                  <c:v>0.42115466427541942</c:v>
                </c:pt>
                <c:pt idx="30">
                  <c:v>0.4111954637548571</c:v>
                </c:pt>
                <c:pt idx="31">
                  <c:v>0.39415873228011233</c:v>
                </c:pt>
                <c:pt idx="32">
                  <c:v>0.3945425935585854</c:v>
                </c:pt>
                <c:pt idx="33">
                  <c:v>0.39139952716977044</c:v>
                </c:pt>
                <c:pt idx="34">
                  <c:v>0.39505624907316206</c:v>
                </c:pt>
                <c:pt idx="35">
                  <c:v>0.39453370959342893</c:v>
                </c:pt>
                <c:pt idx="36">
                  <c:v>0.37034652611737506</c:v>
                </c:pt>
                <c:pt idx="37">
                  <c:v>0.36099699616188025</c:v>
                </c:pt>
                <c:pt idx="38">
                  <c:v>0.35819119328901428</c:v>
                </c:pt>
                <c:pt idx="39">
                  <c:v>0.37035460473186094</c:v>
                </c:pt>
                <c:pt idx="40">
                  <c:v>0.36880864377397599</c:v>
                </c:pt>
                <c:pt idx="41">
                  <c:v>0.36249954180692129</c:v>
                </c:pt>
                <c:pt idx="42">
                  <c:v>0.36584268128359798</c:v>
                </c:pt>
                <c:pt idx="43">
                  <c:v>0.35238431002045739</c:v>
                </c:pt>
                <c:pt idx="44">
                  <c:v>0.35436618120084318</c:v>
                </c:pt>
                <c:pt idx="45">
                  <c:v>0.35043871101046142</c:v>
                </c:pt>
                <c:pt idx="46">
                  <c:v>0.33654271208863951</c:v>
                </c:pt>
                <c:pt idx="47">
                  <c:v>0.33637842021641123</c:v>
                </c:pt>
                <c:pt idx="48">
                  <c:v>0.33936854525655741</c:v>
                </c:pt>
                <c:pt idx="49">
                  <c:v>0.33281512463751073</c:v>
                </c:pt>
                <c:pt idx="50">
                  <c:v>0.33363581113038243</c:v>
                </c:pt>
                <c:pt idx="51">
                  <c:v>0.33209417015193821</c:v>
                </c:pt>
                <c:pt idx="52">
                  <c:v>0.33309980776604492</c:v>
                </c:pt>
                <c:pt idx="53">
                  <c:v>0.32715315697124542</c:v>
                </c:pt>
                <c:pt idx="54">
                  <c:v>0.3275001151956321</c:v>
                </c:pt>
                <c:pt idx="55">
                  <c:v>0.33435012054995561</c:v>
                </c:pt>
                <c:pt idx="56">
                  <c:v>0.32430207714193288</c:v>
                </c:pt>
                <c:pt idx="57">
                  <c:v>0.32817349472130547</c:v>
                </c:pt>
                <c:pt idx="58">
                  <c:v>0.33058106717647268</c:v>
                </c:pt>
              </c:numCache>
            </c:numRef>
          </c:val>
          <c:smooth val="0"/>
          <c:extLst>
            <c:ext xmlns:c16="http://schemas.microsoft.com/office/drawing/2014/chart" uri="{C3380CC4-5D6E-409C-BE32-E72D297353CC}">
              <c16:uniqueId val="{00000000-4786-1946-9D9A-70F90CF6619C}"/>
            </c:ext>
          </c:extLst>
        </c:ser>
        <c:dLbls>
          <c:showLegendKey val="0"/>
          <c:showVal val="0"/>
          <c:showCatName val="0"/>
          <c:showSerName val="0"/>
          <c:showPercent val="0"/>
          <c:showBubbleSize val="0"/>
        </c:dLbls>
        <c:smooth val="0"/>
        <c:axId val="1367463744"/>
        <c:axId val="336194240"/>
      </c:lineChart>
      <c:dateAx>
        <c:axId val="1367463744"/>
        <c:scaling>
          <c:orientation val="minMax"/>
        </c:scaling>
        <c:delete val="0"/>
        <c:axPos val="b"/>
        <c:numFmt formatCode="m/d/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6194240"/>
        <c:crosses val="autoZero"/>
        <c:auto val="1"/>
        <c:lblOffset val="100"/>
        <c:baseTimeUnit val="months"/>
        <c:majorUnit val="3"/>
        <c:majorTimeUnit val="months"/>
        <c:minorUnit val="10"/>
        <c:minorTimeUnit val="years"/>
      </c:dateAx>
      <c:valAx>
        <c:axId val="3361942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746374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Rolling Beta (60-Month)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spPr>
            <a:ln w="22225" cap="rnd">
              <a:solidFill>
                <a:schemeClr val="accent1"/>
              </a:solidFill>
            </a:ln>
            <a:effectLst>
              <a:glow rad="139700">
                <a:schemeClr val="accent1">
                  <a:satMod val="175000"/>
                  <a:alpha val="14000"/>
                </a:schemeClr>
              </a:glow>
            </a:effectLst>
          </c:spPr>
          <c:marker>
            <c:symbol val="none"/>
          </c:marker>
          <c:cat>
            <c:numRef>
              <c:f>'WS6 Work'!$J$8:$J$79</c:f>
              <c:numCache>
                <c:formatCode>m/d/yy</c:formatCode>
                <c:ptCount val="72"/>
                <c:pt idx="0">
                  <c:v>46022</c:v>
                </c:pt>
                <c:pt idx="1">
                  <c:v>45989</c:v>
                </c:pt>
                <c:pt idx="2">
                  <c:v>45961</c:v>
                </c:pt>
                <c:pt idx="3">
                  <c:v>45930</c:v>
                </c:pt>
                <c:pt idx="4">
                  <c:v>45898</c:v>
                </c:pt>
                <c:pt idx="5">
                  <c:v>45869</c:v>
                </c:pt>
                <c:pt idx="6">
                  <c:v>45838</c:v>
                </c:pt>
                <c:pt idx="7">
                  <c:v>45807</c:v>
                </c:pt>
                <c:pt idx="8">
                  <c:v>45777</c:v>
                </c:pt>
                <c:pt idx="9">
                  <c:v>45747</c:v>
                </c:pt>
                <c:pt idx="10">
                  <c:v>45716</c:v>
                </c:pt>
                <c:pt idx="11">
                  <c:v>45688</c:v>
                </c:pt>
                <c:pt idx="12">
                  <c:v>45657</c:v>
                </c:pt>
                <c:pt idx="13">
                  <c:v>45625</c:v>
                </c:pt>
                <c:pt idx="14">
                  <c:v>45596</c:v>
                </c:pt>
                <c:pt idx="15">
                  <c:v>45565</c:v>
                </c:pt>
                <c:pt idx="16">
                  <c:v>45534</c:v>
                </c:pt>
                <c:pt idx="17">
                  <c:v>45504</c:v>
                </c:pt>
                <c:pt idx="18">
                  <c:v>45471</c:v>
                </c:pt>
                <c:pt idx="19">
                  <c:v>45443</c:v>
                </c:pt>
                <c:pt idx="20">
                  <c:v>45412</c:v>
                </c:pt>
                <c:pt idx="21">
                  <c:v>45379</c:v>
                </c:pt>
                <c:pt idx="22">
                  <c:v>45351</c:v>
                </c:pt>
                <c:pt idx="23">
                  <c:v>45322</c:v>
                </c:pt>
                <c:pt idx="24">
                  <c:v>45289</c:v>
                </c:pt>
                <c:pt idx="25">
                  <c:v>45260</c:v>
                </c:pt>
                <c:pt idx="26">
                  <c:v>45230</c:v>
                </c:pt>
                <c:pt idx="27">
                  <c:v>45198</c:v>
                </c:pt>
                <c:pt idx="28">
                  <c:v>45169</c:v>
                </c:pt>
                <c:pt idx="29">
                  <c:v>45138</c:v>
                </c:pt>
                <c:pt idx="30">
                  <c:v>45107</c:v>
                </c:pt>
                <c:pt idx="31">
                  <c:v>45077</c:v>
                </c:pt>
                <c:pt idx="32">
                  <c:v>45044</c:v>
                </c:pt>
                <c:pt idx="33">
                  <c:v>45016</c:v>
                </c:pt>
                <c:pt idx="34">
                  <c:v>44985</c:v>
                </c:pt>
                <c:pt idx="35">
                  <c:v>44957</c:v>
                </c:pt>
                <c:pt idx="36">
                  <c:v>44925</c:v>
                </c:pt>
                <c:pt idx="37">
                  <c:v>44895</c:v>
                </c:pt>
                <c:pt idx="38">
                  <c:v>44865</c:v>
                </c:pt>
                <c:pt idx="39">
                  <c:v>44834</c:v>
                </c:pt>
                <c:pt idx="40">
                  <c:v>44804</c:v>
                </c:pt>
                <c:pt idx="41">
                  <c:v>44771</c:v>
                </c:pt>
                <c:pt idx="42">
                  <c:v>44742</c:v>
                </c:pt>
                <c:pt idx="43">
                  <c:v>44712</c:v>
                </c:pt>
                <c:pt idx="44">
                  <c:v>44680</c:v>
                </c:pt>
                <c:pt idx="45">
                  <c:v>44651</c:v>
                </c:pt>
                <c:pt idx="46">
                  <c:v>44620</c:v>
                </c:pt>
                <c:pt idx="47">
                  <c:v>44592</c:v>
                </c:pt>
                <c:pt idx="48">
                  <c:v>44561</c:v>
                </c:pt>
                <c:pt idx="49">
                  <c:v>44530</c:v>
                </c:pt>
                <c:pt idx="50">
                  <c:v>44498</c:v>
                </c:pt>
                <c:pt idx="51">
                  <c:v>44469</c:v>
                </c:pt>
                <c:pt idx="52">
                  <c:v>44439</c:v>
                </c:pt>
                <c:pt idx="53">
                  <c:v>44407</c:v>
                </c:pt>
                <c:pt idx="54">
                  <c:v>44377</c:v>
                </c:pt>
                <c:pt idx="55">
                  <c:v>44344</c:v>
                </c:pt>
                <c:pt idx="56">
                  <c:v>44316</c:v>
                </c:pt>
                <c:pt idx="57">
                  <c:v>44286</c:v>
                </c:pt>
                <c:pt idx="58">
                  <c:v>44253</c:v>
                </c:pt>
                <c:pt idx="59">
                  <c:v>44225</c:v>
                </c:pt>
                <c:pt idx="60">
                  <c:v>44196</c:v>
                </c:pt>
                <c:pt idx="61">
                  <c:v>44165</c:v>
                </c:pt>
                <c:pt idx="62">
                  <c:v>44134</c:v>
                </c:pt>
                <c:pt idx="63">
                  <c:v>44104</c:v>
                </c:pt>
                <c:pt idx="64">
                  <c:v>44074</c:v>
                </c:pt>
                <c:pt idx="65">
                  <c:v>44043</c:v>
                </c:pt>
                <c:pt idx="66">
                  <c:v>44012</c:v>
                </c:pt>
                <c:pt idx="67">
                  <c:v>43980</c:v>
                </c:pt>
                <c:pt idx="68">
                  <c:v>43951</c:v>
                </c:pt>
                <c:pt idx="69">
                  <c:v>43921</c:v>
                </c:pt>
                <c:pt idx="70">
                  <c:v>43889</c:v>
                </c:pt>
                <c:pt idx="71">
                  <c:v>43861</c:v>
                </c:pt>
              </c:numCache>
            </c:numRef>
          </c:cat>
          <c:val>
            <c:numRef>
              <c:f>'WS6 Work'!$K$8:$K$79</c:f>
              <c:numCache>
                <c:formatCode>General</c:formatCode>
                <c:ptCount val="72"/>
                <c:pt idx="0">
                  <c:v>1.1207493490037588</c:v>
                </c:pt>
                <c:pt idx="1">
                  <c:v>1.110081908529519</c:v>
                </c:pt>
                <c:pt idx="2">
                  <c:v>1.1129741262744746</c:v>
                </c:pt>
                <c:pt idx="3">
                  <c:v>1.1158557142246854</c:v>
                </c:pt>
                <c:pt idx="4">
                  <c:v>1.0671493066000677</c:v>
                </c:pt>
                <c:pt idx="5">
                  <c:v>1.1138382410827357</c:v>
                </c:pt>
                <c:pt idx="6">
                  <c:v>1.1725401143250933</c:v>
                </c:pt>
                <c:pt idx="7">
                  <c:v>1.1930128317006836</c:v>
                </c:pt>
                <c:pt idx="8">
                  <c:v>1.1987407495419944</c:v>
                </c:pt>
                <c:pt idx="9">
                  <c:v>1.1307934677382934</c:v>
                </c:pt>
                <c:pt idx="10">
                  <c:v>0.91853451572128386</c:v>
                </c:pt>
                <c:pt idx="11">
                  <c:v>0.94216846751732486</c:v>
                </c:pt>
                <c:pt idx="12">
                  <c:v>0.95873570273336395</c:v>
                </c:pt>
                <c:pt idx="13">
                  <c:v>0.96680601534367494</c:v>
                </c:pt>
                <c:pt idx="14">
                  <c:v>0.96056376685279476</c:v>
                </c:pt>
                <c:pt idx="15">
                  <c:v>0.96548402821059554</c:v>
                </c:pt>
                <c:pt idx="16">
                  <c:v>0.96605134046405061</c:v>
                </c:pt>
                <c:pt idx="17">
                  <c:v>0.95921869213434197</c:v>
                </c:pt>
                <c:pt idx="18">
                  <c:v>0.96454267855853781</c:v>
                </c:pt>
                <c:pt idx="19">
                  <c:v>0.98028395089114384</c:v>
                </c:pt>
                <c:pt idx="20">
                  <c:v>1.017139255383086</c:v>
                </c:pt>
                <c:pt idx="21">
                  <c:v>1.0249295633383912</c:v>
                </c:pt>
                <c:pt idx="22">
                  <c:v>1.0388429155952861</c:v>
                </c:pt>
                <c:pt idx="23">
                  <c:v>1.0439979142557752</c:v>
                </c:pt>
                <c:pt idx="24">
                  <c:v>1.046470193651758</c:v>
                </c:pt>
                <c:pt idx="25">
                  <c:v>1.0926201397222379</c:v>
                </c:pt>
                <c:pt idx="26">
                  <c:v>1.0969880047879941</c:v>
                </c:pt>
                <c:pt idx="27">
                  <c:v>1.1070623747062192</c:v>
                </c:pt>
                <c:pt idx="28">
                  <c:v>1.0962653515981982</c:v>
                </c:pt>
                <c:pt idx="29">
                  <c:v>1.087874909270006</c:v>
                </c:pt>
                <c:pt idx="30">
                  <c:v>1.0891935294184245</c:v>
                </c:pt>
                <c:pt idx="31">
                  <c:v>1.0886607027431618</c:v>
                </c:pt>
                <c:pt idx="32">
                  <c:v>1.0869996473940224</c:v>
                </c:pt>
                <c:pt idx="33">
                  <c:v>1.0839740547948054</c:v>
                </c:pt>
                <c:pt idx="34">
                  <c:v>1.0823923391807388</c:v>
                </c:pt>
                <c:pt idx="35">
                  <c:v>1.1228467323493616</c:v>
                </c:pt>
                <c:pt idx="36">
                  <c:v>1.1280932823385204</c:v>
                </c:pt>
                <c:pt idx="37">
                  <c:v>1.127586403681559</c:v>
                </c:pt>
                <c:pt idx="38">
                  <c:v>1.121390730710137</c:v>
                </c:pt>
                <c:pt idx="39">
                  <c:v>1.1009118200713535</c:v>
                </c:pt>
                <c:pt idx="40">
                  <c:v>1.1200710134301615</c:v>
                </c:pt>
                <c:pt idx="41">
                  <c:v>1.0582945340029011</c:v>
                </c:pt>
                <c:pt idx="42">
                  <c:v>1.0724725348302115</c:v>
                </c:pt>
                <c:pt idx="43">
                  <c:v>1.0846235814998522</c:v>
                </c:pt>
                <c:pt idx="44">
                  <c:v>1.1589159547239603</c:v>
                </c:pt>
                <c:pt idx="45">
                  <c:v>1.1598587282000792</c:v>
                </c:pt>
                <c:pt idx="46">
                  <c:v>1.0946524959928825</c:v>
                </c:pt>
                <c:pt idx="47">
                  <c:v>1.0835397582773285</c:v>
                </c:pt>
                <c:pt idx="48">
                  <c:v>1.1065285954214477</c:v>
                </c:pt>
                <c:pt idx="49">
                  <c:v>1.109294188674764</c:v>
                </c:pt>
                <c:pt idx="50">
                  <c:v>1.107763342164424</c:v>
                </c:pt>
                <c:pt idx="51">
                  <c:v>1.09425637612467</c:v>
                </c:pt>
                <c:pt idx="52">
                  <c:v>1.0555902999289715</c:v>
                </c:pt>
                <c:pt idx="53">
                  <c:v>1.045141395211123</c:v>
                </c:pt>
                <c:pt idx="54">
                  <c:v>1.039898852372388</c:v>
                </c:pt>
                <c:pt idx="55">
                  <c:v>1.0463500903880785</c:v>
                </c:pt>
                <c:pt idx="56">
                  <c:v>1.0501487095767377</c:v>
                </c:pt>
                <c:pt idx="57">
                  <c:v>1.0525765357684398</c:v>
                </c:pt>
                <c:pt idx="58">
                  <c:v>1.0227906837725282</c:v>
                </c:pt>
                <c:pt idx="59">
                  <c:v>1.0079415157527549</c:v>
                </c:pt>
                <c:pt idx="60">
                  <c:v>1.0083852389942052</c:v>
                </c:pt>
                <c:pt idx="61">
                  <c:v>0.99493508494892324</c:v>
                </c:pt>
                <c:pt idx="62">
                  <c:v>1.0061771316441206</c:v>
                </c:pt>
                <c:pt idx="63">
                  <c:v>1.0178795862147705</c:v>
                </c:pt>
                <c:pt idx="64">
                  <c:v>1.0072139536147287</c:v>
                </c:pt>
                <c:pt idx="65">
                  <c:v>1.0378556204916909</c:v>
                </c:pt>
                <c:pt idx="66">
                  <c:v>0.95149401839803249</c:v>
                </c:pt>
                <c:pt idx="67">
                  <c:v>0.80860654934689002</c:v>
                </c:pt>
                <c:pt idx="68">
                  <c:v>0.80373047417864418</c:v>
                </c:pt>
                <c:pt idx="69">
                  <c:v>0.74931892125232913</c:v>
                </c:pt>
                <c:pt idx="70">
                  <c:v>0.78872551908628252</c:v>
                </c:pt>
                <c:pt idx="71">
                  <c:v>0.97455801688665311</c:v>
                </c:pt>
              </c:numCache>
            </c:numRef>
          </c:val>
          <c:smooth val="0"/>
          <c:extLst>
            <c:ext xmlns:c16="http://schemas.microsoft.com/office/drawing/2014/chart" uri="{C3380CC4-5D6E-409C-BE32-E72D297353CC}">
              <c16:uniqueId val="{00000000-2347-5348-97F3-7995F845F7EA}"/>
            </c:ext>
          </c:extLst>
        </c:ser>
        <c:dLbls>
          <c:showLegendKey val="0"/>
          <c:showVal val="0"/>
          <c:showCatName val="0"/>
          <c:showSerName val="0"/>
          <c:showPercent val="0"/>
          <c:showBubbleSize val="0"/>
        </c:dLbls>
        <c:smooth val="0"/>
        <c:axId val="842384672"/>
        <c:axId val="842282864"/>
      </c:lineChart>
      <c:dateAx>
        <c:axId val="842384672"/>
        <c:scaling>
          <c:orientation val="minMax"/>
        </c:scaling>
        <c:delete val="0"/>
        <c:axPos val="b"/>
        <c:numFmt formatCode="m/d/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2282864"/>
        <c:crosses val="autoZero"/>
        <c:auto val="1"/>
        <c:lblOffset val="100"/>
        <c:baseTimeUnit val="months"/>
        <c:majorUnit val="12"/>
        <c:majorTimeUnit val="months"/>
      </c:dateAx>
      <c:valAx>
        <c:axId val="8422828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2384672"/>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EV/Sales Distribution All Firms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EV/Sales Distribution All Firms</a:t>
          </a:r>
        </a:p>
      </cx:txPr>
    </cx:title>
    <cx:plotArea>
      <cx:plotAreaRegion>
        <cx:series layoutId="clusteredColumn" uniqueId="{ACE1B2E5-1D7C-074C-B7D4-F272DE0441FE}">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txData>
          <cx:v>EV/ EBITDA Distribution All Firms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EV/ EBITDA Distribution All Firms</a:t>
          </a:r>
        </a:p>
      </cx:txPr>
    </cx:title>
    <cx:plotArea>
      <cx:plotAreaRegion>
        <cx:series layoutId="clusteredColumn" uniqueId="{40C79C09-FA5E-D945-934D-C549C62D7730}">
          <cx:dataId val="0"/>
          <cx:layoutPr>
            <cx:binning intervalClosed="r"/>
          </cx:layoutPr>
        </cx:series>
      </cx:plotAreaRegion>
      <cx:axis id="0">
        <cx:catScaling gapWidth="0.5"/>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P/E Ratio Distribution All Firms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P/E Ratio Distribution All Firms</a:t>
          </a:r>
        </a:p>
      </cx:txPr>
    </cx:title>
    <cx:plotArea>
      <cx:plotAreaRegion>
        <cx:series layoutId="clusteredColumn" uniqueId="{0BCF9C1C-E6F7-3140-8DB2-484683FC43E7}">
          <cx:dataId val="0"/>
          <cx:layoutPr>
            <cx:binning intervalClosed="r"/>
          </cx:layoutPr>
        </cx:series>
      </cx:plotAreaRegion>
      <cx:axis id="0">
        <cx:catScaling gapWidth="0.5"/>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EV/ Sales Distribution Select Firms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EV/ Sales Distribution Select Firms</a:t>
          </a:r>
        </a:p>
      </cx:txPr>
    </cx:title>
    <cx:plotArea>
      <cx:plotAreaRegion>
        <cx:series layoutId="clusteredColumn" uniqueId="{2AA9D5AF-F256-A14A-B396-0ADF2EEBEB36}">
          <cx:dataId val="0"/>
          <cx:layoutPr>
            <cx:binning intervalClosed="r"/>
          </cx:layoutPr>
        </cx:series>
      </cx:plotAreaRegion>
      <cx:axis id="0">
        <cx:catScaling gapWidth="0"/>
        <cx:tickLabels/>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EV/ EBITDA Distribution Select Firms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EV/ EBITDA Distribution Select Firms</a:t>
          </a:r>
        </a:p>
      </cx:txPr>
    </cx:title>
    <cx:plotArea>
      <cx:plotAreaRegion>
        <cx:series layoutId="clusteredColumn" uniqueId="{622CFAD5-37DD-F644-B271-6E1C6B9571FE}">
          <cx:dataId val="0"/>
          <cx:layoutPr>
            <cx:binning intervalClosed="r"/>
          </cx:layoutPr>
        </cx:series>
      </cx:plotAreaRegion>
      <cx:axis id="0">
        <cx:catScaling gapWidth="0"/>
        <cx:tickLabels/>
      </cx:axis>
      <cx:axis id="1">
        <cx:valScaling/>
        <cx:majorGridlines/>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P/E Ratio Distribution Select Firms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P/E Ratio Distribution Select Firms</a:t>
          </a:r>
        </a:p>
      </cx:txPr>
    </cx:title>
    <cx:plotArea>
      <cx:plotAreaRegion>
        <cx:series layoutId="clusteredColumn" uniqueId="{116B8033-77F2-9843-892A-3EEE0121E064}">
          <cx:dataId val="0"/>
          <cx:layoutPr>
            <cx:binning intervalClosed="r"/>
          </cx:layoutPr>
        </cx:series>
      </cx:plotAreaRegion>
      <cx:axis id="0">
        <cx:catScaling gapWidth="0"/>
        <cx:tickLabels/>
      </cx:axis>
      <cx:axis id="1">
        <cx:valScaling/>
        <cx:majorGridlines/>
        <cx:tickLabels/>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chartData>
  <cx:chart>
    <cx:title pos="t" align="ctr" overlay="0"/>
    <cx:plotArea>
      <cx:plotAreaRegion>
        <cx:series layoutId="clusteredColumn" uniqueId="{116B8033-77F2-9843-892A-3EEE0121E064}">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microsoft.com/office/2014/relationships/chartEx" Target="../charts/chartEx3.xml"/><Relationship Id="rId7" Type="http://schemas.openxmlformats.org/officeDocument/2006/relationships/chart" Target="../charts/chart1.xml"/><Relationship Id="rId2" Type="http://schemas.microsoft.com/office/2014/relationships/chartEx" Target="../charts/chartEx2.xml"/><Relationship Id="rId1" Type="http://schemas.microsoft.com/office/2014/relationships/chartEx" Target="../charts/chartEx1.xml"/><Relationship Id="rId6" Type="http://schemas.microsoft.com/office/2014/relationships/chartEx" Target="../charts/chartEx6.xml"/><Relationship Id="rId5" Type="http://schemas.microsoft.com/office/2014/relationships/chartEx" Target="../charts/chartEx5.xml"/><Relationship Id="rId4" Type="http://schemas.microsoft.com/office/2014/relationships/chartEx" Target="../charts/chartEx4.xml"/><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chart" Target="../charts/chart17.xml"/><Relationship Id="rId5" Type="http://schemas.openxmlformats.org/officeDocument/2006/relationships/chart" Target="../charts/chart11.xml"/><Relationship Id="rId10" Type="http://schemas.openxmlformats.org/officeDocument/2006/relationships/chart" Target="../charts/chart16.xml"/><Relationship Id="rId4" Type="http://schemas.openxmlformats.org/officeDocument/2006/relationships/chart" Target="../charts/chart10.xml"/><Relationship Id="rId9"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7.xml.rels><?xml version="1.0" encoding="UTF-8" standalone="yes"?>
<Relationships xmlns="http://schemas.openxmlformats.org/package/2006/relationships"><Relationship Id="rId8" Type="http://schemas.openxmlformats.org/officeDocument/2006/relationships/chart" Target="../charts/chart28.xml"/><Relationship Id="rId3" Type="http://schemas.openxmlformats.org/officeDocument/2006/relationships/chart" Target="../charts/chart23.xml"/><Relationship Id="rId7" Type="http://schemas.openxmlformats.org/officeDocument/2006/relationships/chart" Target="../charts/chart27.xml"/><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chart" Target="../charts/chart26.xml"/><Relationship Id="rId5" Type="http://schemas.openxmlformats.org/officeDocument/2006/relationships/chart" Target="../charts/chart25.xml"/><Relationship Id="rId4" Type="http://schemas.openxmlformats.org/officeDocument/2006/relationships/chart" Target="../charts/chart24.xml"/><Relationship Id="rId9" Type="http://schemas.openxmlformats.org/officeDocument/2006/relationships/chart" Target="../charts/chart29.xml"/></Relationships>
</file>

<file path=xl/drawings/_rels/drawing8.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9.xml.rels><?xml version="1.0" encoding="UTF-8" standalone="yes"?>
<Relationships xmlns="http://schemas.openxmlformats.org/package/2006/relationships"><Relationship Id="rId1" Type="http://schemas.microsoft.com/office/2014/relationships/chartEx" Target="../charts/chartEx7.xml"/></Relationships>
</file>

<file path=xl/drawings/drawing1.xml><?xml version="1.0" encoding="utf-8"?>
<xdr:wsDr xmlns:xdr="http://schemas.openxmlformats.org/drawingml/2006/spreadsheetDrawing" xmlns:a="http://schemas.openxmlformats.org/drawingml/2006/main">
  <xdr:twoCellAnchor editAs="oneCell">
    <xdr:from>
      <xdr:col>2</xdr:col>
      <xdr:colOff>63500</xdr:colOff>
      <xdr:row>26</xdr:row>
      <xdr:rowOff>38101</xdr:rowOff>
    </xdr:from>
    <xdr:to>
      <xdr:col>7</xdr:col>
      <xdr:colOff>377518</xdr:colOff>
      <xdr:row>42</xdr:row>
      <xdr:rowOff>12701</xdr:rowOff>
    </xdr:to>
    <xdr:pic>
      <xdr:nvPicPr>
        <xdr:cNvPr id="2" name="Picture 1">
          <a:extLst>
            <a:ext uri="{FF2B5EF4-FFF2-40B4-BE49-F238E27FC236}">
              <a16:creationId xmlns:a16="http://schemas.microsoft.com/office/drawing/2014/main" id="{B1188FF7-560F-764B-62CA-FF436787ED91}"/>
            </a:ext>
          </a:extLst>
        </xdr:cNvPr>
        <xdr:cNvPicPr>
          <a:picLocks noChangeAspect="1"/>
        </xdr:cNvPicPr>
      </xdr:nvPicPr>
      <xdr:blipFill>
        <a:blip xmlns:r="http://schemas.openxmlformats.org/officeDocument/2006/relationships" r:embed="rId1"/>
        <a:stretch>
          <a:fillRect/>
        </a:stretch>
      </xdr:blipFill>
      <xdr:spPr>
        <a:xfrm>
          <a:off x="2489200" y="4826001"/>
          <a:ext cx="5228918" cy="3225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266700</xdr:colOff>
      <xdr:row>16</xdr:row>
      <xdr:rowOff>12700</xdr:rowOff>
    </xdr:from>
    <xdr:to>
      <xdr:col>5</xdr:col>
      <xdr:colOff>44562</xdr:colOff>
      <xdr:row>27</xdr:row>
      <xdr:rowOff>88900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D8FC15AB-A975-6847-864C-461266CBDF9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66700" y="3365500"/>
              <a:ext cx="3994262" cy="23114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238181</xdr:colOff>
      <xdr:row>16</xdr:row>
      <xdr:rowOff>12700</xdr:rowOff>
    </xdr:from>
    <xdr:to>
      <xdr:col>7</xdr:col>
      <xdr:colOff>623859</xdr:colOff>
      <xdr:row>27</xdr:row>
      <xdr:rowOff>88900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8BD4C079-B001-B44D-A6BB-3A5B6DAAD8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454581" y="3365500"/>
              <a:ext cx="3624178" cy="23114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794307</xdr:colOff>
      <xdr:row>15</xdr:row>
      <xdr:rowOff>178246</xdr:rowOff>
    </xdr:from>
    <xdr:to>
      <xdr:col>10</xdr:col>
      <xdr:colOff>690701</xdr:colOff>
      <xdr:row>27</xdr:row>
      <xdr:rowOff>66619</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014C056E-5398-C848-B8EA-5F134640AD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249207" y="3327846"/>
              <a:ext cx="3795294" cy="232677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266700</xdr:colOff>
      <xdr:row>35</xdr:row>
      <xdr:rowOff>12700</xdr:rowOff>
    </xdr:from>
    <xdr:to>
      <xdr:col>5</xdr:col>
      <xdr:colOff>66842</xdr:colOff>
      <xdr:row>46</xdr:row>
      <xdr:rowOff>127000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DD1082CA-E50D-DC4A-894F-17A6D542B8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66700" y="7226300"/>
              <a:ext cx="4016542" cy="2349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219020</xdr:colOff>
      <xdr:row>34</xdr:row>
      <xdr:rowOff>190946</xdr:rowOff>
    </xdr:from>
    <xdr:to>
      <xdr:col>7</xdr:col>
      <xdr:colOff>646140</xdr:colOff>
      <xdr:row>46</xdr:row>
      <xdr:rowOff>104719</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3BD3045A-35EE-524F-A00C-8C9B1D71F0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435420" y="7201346"/>
              <a:ext cx="3665620" cy="235217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839760</xdr:colOff>
      <xdr:row>34</xdr:row>
      <xdr:rowOff>155966</xdr:rowOff>
    </xdr:from>
    <xdr:to>
      <xdr:col>10</xdr:col>
      <xdr:colOff>763175</xdr:colOff>
      <xdr:row>46</xdr:row>
      <xdr:rowOff>82439</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B634287B-A8A0-C947-960D-542B3BD672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294660" y="7166366"/>
              <a:ext cx="3822315" cy="236487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228317</xdr:colOff>
      <xdr:row>49</xdr:row>
      <xdr:rowOff>114158</xdr:rowOff>
    </xdr:from>
    <xdr:to>
      <xdr:col>4</xdr:col>
      <xdr:colOff>646140</xdr:colOff>
      <xdr:row>61</xdr:row>
      <xdr:rowOff>28539</xdr:rowOff>
    </xdr:to>
    <xdr:graphicFrame macro="">
      <xdr:nvGraphicFramePr>
        <xdr:cNvPr id="11" name="Chart 10">
          <a:extLst>
            <a:ext uri="{FF2B5EF4-FFF2-40B4-BE49-F238E27FC236}">
              <a16:creationId xmlns:a16="http://schemas.microsoft.com/office/drawing/2014/main" id="{F16FF3DE-6EC5-8943-994D-62328BF12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828142</xdr:colOff>
      <xdr:row>49</xdr:row>
      <xdr:rowOff>99887</xdr:rowOff>
    </xdr:from>
    <xdr:to>
      <xdr:col>7</xdr:col>
      <xdr:colOff>200527</xdr:colOff>
      <xdr:row>61</xdr:row>
      <xdr:rowOff>42808</xdr:rowOff>
    </xdr:to>
    <xdr:graphicFrame macro="">
      <xdr:nvGraphicFramePr>
        <xdr:cNvPr id="12" name="Chart 11">
          <a:extLst>
            <a:ext uri="{FF2B5EF4-FFF2-40B4-BE49-F238E27FC236}">
              <a16:creationId xmlns:a16="http://schemas.microsoft.com/office/drawing/2014/main" id="{8AF05901-941C-644D-B82D-E630789F9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376323</xdr:colOff>
      <xdr:row>49</xdr:row>
      <xdr:rowOff>126392</xdr:rowOff>
    </xdr:from>
    <xdr:to>
      <xdr:col>10</xdr:col>
      <xdr:colOff>348166</xdr:colOff>
      <xdr:row>61</xdr:row>
      <xdr:rowOff>64148</xdr:rowOff>
    </xdr:to>
    <xdr:graphicFrame macro="">
      <xdr:nvGraphicFramePr>
        <xdr:cNvPr id="13" name="Chart 12">
          <a:extLst>
            <a:ext uri="{FF2B5EF4-FFF2-40B4-BE49-F238E27FC236}">
              <a16:creationId xmlns:a16="http://schemas.microsoft.com/office/drawing/2014/main" id="{08100759-AB95-2447-838E-6B6935784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665480</xdr:colOff>
      <xdr:row>84</xdr:row>
      <xdr:rowOff>173567</xdr:rowOff>
    </xdr:from>
    <xdr:to>
      <xdr:col>6</xdr:col>
      <xdr:colOff>623860</xdr:colOff>
      <xdr:row>90</xdr:row>
      <xdr:rowOff>152400</xdr:rowOff>
    </xdr:to>
    <xdr:sp macro="" textlink="">
      <xdr:nvSpPr>
        <xdr:cNvPr id="14" name="TextBox 13">
          <a:extLst>
            <a:ext uri="{FF2B5EF4-FFF2-40B4-BE49-F238E27FC236}">
              <a16:creationId xmlns:a16="http://schemas.microsoft.com/office/drawing/2014/main" id="{E6B5DABE-3C7F-748F-DA77-ADC0B37DB5BA}"/>
            </a:ext>
          </a:extLst>
        </xdr:cNvPr>
        <xdr:cNvSpPr txBox="1"/>
      </xdr:nvSpPr>
      <xdr:spPr>
        <a:xfrm>
          <a:off x="665480" y="17262865"/>
          <a:ext cx="5795924" cy="11819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The full regression model explains approximately 10% of the difference in EV/ EBITDA across firms, therefore the overall regression is not statistically significant. Beta is the only explanatory variable that is</a:t>
          </a:r>
          <a:r>
            <a:rPr lang="en-US" sz="1100" baseline="0"/>
            <a:t> meaningful at the 10% significance level, while growth and payout ratio do not appear to be important. There is a positive relationship between growth and EV/ EBITDA, yet the relationship is not statistically strong. Overall, P-value results suggest that payout policy does not have statistical significance when it comes to its relationship with EV/ EBITDA.</a:t>
          </a:r>
          <a:endParaRPr lang="en-US" sz="1100"/>
        </a:p>
      </xdr:txBody>
    </xdr:sp>
    <xdr:clientData/>
  </xdr:twoCellAnchor>
  <xdr:twoCellAnchor>
    <xdr:from>
      <xdr:col>3</xdr:col>
      <xdr:colOff>538480</xdr:colOff>
      <xdr:row>95</xdr:row>
      <xdr:rowOff>182880</xdr:rowOff>
    </xdr:from>
    <xdr:to>
      <xdr:col>6</xdr:col>
      <xdr:colOff>965200</xdr:colOff>
      <xdr:row>101</xdr:row>
      <xdr:rowOff>101600</xdr:rowOff>
    </xdr:to>
    <xdr:sp macro="" textlink="">
      <xdr:nvSpPr>
        <xdr:cNvPr id="15" name="TextBox 14">
          <a:extLst>
            <a:ext uri="{FF2B5EF4-FFF2-40B4-BE49-F238E27FC236}">
              <a16:creationId xmlns:a16="http://schemas.microsoft.com/office/drawing/2014/main" id="{73A449DF-1D40-6E86-140A-18B36C5C339C}"/>
            </a:ext>
          </a:extLst>
        </xdr:cNvPr>
        <xdr:cNvSpPr txBox="1"/>
      </xdr:nvSpPr>
      <xdr:spPr>
        <a:xfrm>
          <a:off x="2804160" y="19649440"/>
          <a:ext cx="3291840" cy="1148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This model drops the Payout Ratio Variable, as it is the least significant.</a:t>
          </a:r>
          <a:r>
            <a:rPr lang="en-US" sz="1100" baseline="0"/>
            <a:t> In this new model the overall R Squared decreased slightly, while the Adjusted R Squared increases from 0.036 to 0.057. This means that the modified model more efficiently explains the data and improves the accuracy of the model. </a:t>
          </a:r>
          <a:endParaRPr lang="en-US" sz="1100"/>
        </a:p>
      </xdr:txBody>
    </xdr:sp>
    <xdr:clientData/>
  </xdr:twoCellAnchor>
  <xdr:twoCellAnchor>
    <xdr:from>
      <xdr:col>0</xdr:col>
      <xdr:colOff>609601</xdr:colOff>
      <xdr:row>116</xdr:row>
      <xdr:rowOff>67734</xdr:rowOff>
    </xdr:from>
    <xdr:to>
      <xdr:col>3</xdr:col>
      <xdr:colOff>931334</xdr:colOff>
      <xdr:row>117</xdr:row>
      <xdr:rowOff>101601</xdr:rowOff>
    </xdr:to>
    <xdr:sp macro="" textlink="">
      <xdr:nvSpPr>
        <xdr:cNvPr id="16" name="TextBox 15">
          <a:extLst>
            <a:ext uri="{FF2B5EF4-FFF2-40B4-BE49-F238E27FC236}">
              <a16:creationId xmlns:a16="http://schemas.microsoft.com/office/drawing/2014/main" id="{1130AB51-1413-6C62-8843-466A87312FA5}"/>
            </a:ext>
          </a:extLst>
        </xdr:cNvPr>
        <xdr:cNvSpPr txBox="1"/>
      </xdr:nvSpPr>
      <xdr:spPr>
        <a:xfrm>
          <a:off x="609601" y="23943734"/>
          <a:ext cx="2607733" cy="2370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a:solidFill>
                <a:schemeClr val="dk1"/>
              </a:solidFill>
              <a:effectLst/>
              <a:latin typeface="+mn-lt"/>
              <a:ea typeface="+mn-ea"/>
              <a:cs typeface="+mn-cs"/>
            </a:rPr>
            <a:t>EV/EBITDA=b0​+b1​(Growth)+b2​(Beta)</a:t>
          </a:r>
          <a:endParaRPr lang="en-US" sz="1100"/>
        </a:p>
      </xdr:txBody>
    </xdr:sp>
    <xdr:clientData/>
  </xdr:twoCellAnchor>
  <xdr:twoCellAnchor>
    <xdr:from>
      <xdr:col>0</xdr:col>
      <xdr:colOff>592668</xdr:colOff>
      <xdr:row>122</xdr:row>
      <xdr:rowOff>135468</xdr:rowOff>
    </xdr:from>
    <xdr:to>
      <xdr:col>5</xdr:col>
      <xdr:colOff>203200</xdr:colOff>
      <xdr:row>123</xdr:row>
      <xdr:rowOff>169336</xdr:rowOff>
    </xdr:to>
    <xdr:sp macro="" textlink="">
      <xdr:nvSpPr>
        <xdr:cNvPr id="17" name="TextBox 16">
          <a:extLst>
            <a:ext uri="{FF2B5EF4-FFF2-40B4-BE49-F238E27FC236}">
              <a16:creationId xmlns:a16="http://schemas.microsoft.com/office/drawing/2014/main" id="{0972E169-E8DE-794A-B396-2723CEB76559}"/>
            </a:ext>
          </a:extLst>
        </xdr:cNvPr>
        <xdr:cNvSpPr txBox="1"/>
      </xdr:nvSpPr>
      <xdr:spPr>
        <a:xfrm>
          <a:off x="592668" y="25230668"/>
          <a:ext cx="3843865" cy="237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a:solidFill>
                <a:schemeClr val="dk1"/>
              </a:solidFill>
              <a:effectLst/>
              <a:latin typeface="+mn-lt"/>
              <a:ea typeface="+mn-ea"/>
              <a:cs typeface="+mn-cs"/>
            </a:rPr>
            <a:t>EV/EBITDA=6.5391</a:t>
          </a:r>
          <a:r>
            <a:rPr lang="en-US" sz="1100" b="0" i="0" u="none" strike="noStrike" baseline="0">
              <a:solidFill>
                <a:schemeClr val="dk1"/>
              </a:solidFill>
              <a:effectLst/>
              <a:latin typeface="+mn-lt"/>
              <a:ea typeface="+mn-ea"/>
              <a:cs typeface="+mn-cs"/>
            </a:rPr>
            <a:t> + 12.3284 * (Growth) + 3.2215 * (Beta)</a:t>
          </a:r>
          <a:endParaRPr lang="en-US" sz="1100"/>
        </a:p>
      </xdr:txBody>
    </xdr:sp>
    <xdr:clientData/>
  </xdr:twoCellAnchor>
  <xdr:twoCellAnchor>
    <xdr:from>
      <xdr:col>0</xdr:col>
      <xdr:colOff>655934</xdr:colOff>
      <xdr:row>150</xdr:row>
      <xdr:rowOff>153518</xdr:rowOff>
    </xdr:from>
    <xdr:to>
      <xdr:col>5</xdr:col>
      <xdr:colOff>1590989</xdr:colOff>
      <xdr:row>152</xdr:row>
      <xdr:rowOff>13956</xdr:rowOff>
    </xdr:to>
    <xdr:sp macro="" textlink="">
      <xdr:nvSpPr>
        <xdr:cNvPr id="20" name="TextBox 19">
          <a:extLst>
            <a:ext uri="{FF2B5EF4-FFF2-40B4-BE49-F238E27FC236}">
              <a16:creationId xmlns:a16="http://schemas.microsoft.com/office/drawing/2014/main" id="{ABCFECD2-7A67-7798-B9E2-456981FA236C}"/>
            </a:ext>
          </a:extLst>
        </xdr:cNvPr>
        <xdr:cNvSpPr txBox="1"/>
      </xdr:nvSpPr>
      <xdr:spPr>
        <a:xfrm>
          <a:off x="655934" y="31652309"/>
          <a:ext cx="5135824" cy="2791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All Comparables</a:t>
          </a:r>
          <a:r>
            <a:rPr lang="en-US" sz="1100" baseline="0"/>
            <a:t> are well below 20%, meaning that the regression model is reasonable. </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118533</xdr:colOff>
      <xdr:row>39</xdr:row>
      <xdr:rowOff>16934</xdr:rowOff>
    </xdr:from>
    <xdr:to>
      <xdr:col>8</xdr:col>
      <xdr:colOff>728132</xdr:colOff>
      <xdr:row>52</xdr:row>
      <xdr:rowOff>16934</xdr:rowOff>
    </xdr:to>
    <xdr:graphicFrame macro="">
      <xdr:nvGraphicFramePr>
        <xdr:cNvPr id="2" name="Chart 1">
          <a:extLst>
            <a:ext uri="{FF2B5EF4-FFF2-40B4-BE49-F238E27FC236}">
              <a16:creationId xmlns:a16="http://schemas.microsoft.com/office/drawing/2014/main" id="{EBF92489-B87F-B841-AC6A-94C40AAD5B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93383</xdr:colOff>
      <xdr:row>53</xdr:row>
      <xdr:rowOff>18676</xdr:rowOff>
    </xdr:from>
    <xdr:to>
      <xdr:col>8</xdr:col>
      <xdr:colOff>709706</xdr:colOff>
      <xdr:row>65</xdr:row>
      <xdr:rowOff>130735</xdr:rowOff>
    </xdr:to>
    <xdr:graphicFrame macro="">
      <xdr:nvGraphicFramePr>
        <xdr:cNvPr id="3" name="Chart 2">
          <a:extLst>
            <a:ext uri="{FF2B5EF4-FFF2-40B4-BE49-F238E27FC236}">
              <a16:creationId xmlns:a16="http://schemas.microsoft.com/office/drawing/2014/main" id="{BA833DE7-AC99-1A4C-B289-9F2C1595F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112059</xdr:colOff>
      <xdr:row>66</xdr:row>
      <xdr:rowOff>149411</xdr:rowOff>
    </xdr:from>
    <xdr:to>
      <xdr:col>8</xdr:col>
      <xdr:colOff>709706</xdr:colOff>
      <xdr:row>79</xdr:row>
      <xdr:rowOff>0</xdr:rowOff>
    </xdr:to>
    <xdr:graphicFrame macro="">
      <xdr:nvGraphicFramePr>
        <xdr:cNvPr id="4" name="Chart 3">
          <a:extLst>
            <a:ext uri="{FF2B5EF4-FFF2-40B4-BE49-F238E27FC236}">
              <a16:creationId xmlns:a16="http://schemas.microsoft.com/office/drawing/2014/main" id="{FABD86E7-493D-F745-AA3B-20FC5A733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126792</xdr:colOff>
      <xdr:row>80</xdr:row>
      <xdr:rowOff>50800</xdr:rowOff>
    </xdr:from>
    <xdr:to>
      <xdr:col>8</xdr:col>
      <xdr:colOff>764915</xdr:colOff>
      <xdr:row>85</xdr:row>
      <xdr:rowOff>25400</xdr:rowOff>
    </xdr:to>
    <xdr:sp macro="" textlink="">
      <xdr:nvSpPr>
        <xdr:cNvPr id="5" name="TextBox 4">
          <a:extLst>
            <a:ext uri="{FF2B5EF4-FFF2-40B4-BE49-F238E27FC236}">
              <a16:creationId xmlns:a16="http://schemas.microsoft.com/office/drawing/2014/main" id="{326DC2CB-FC84-CB6D-D06C-B36B92B09B9E}"/>
            </a:ext>
          </a:extLst>
        </xdr:cNvPr>
        <xdr:cNvSpPr txBox="1"/>
      </xdr:nvSpPr>
      <xdr:spPr>
        <a:xfrm>
          <a:off x="1777792" y="16408400"/>
          <a:ext cx="5591123"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The revenue growth graph is relatively smooth and stable</a:t>
          </a:r>
          <a:r>
            <a:rPr lang="en-US" sz="1100" baseline="0"/>
            <a:t> over time, while EBIT growth is more volatile due to margin fluctuations, and EPS growth is the most volatile because it is affected by operating income changes, taxes, leverage, and share repurchases. With this, revenue growth is the most reliable proxy for long-term free cash flow growth, as it reflects underlying business expansion without changing from financial or accounting effects. </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2</xdr:col>
      <xdr:colOff>425450</xdr:colOff>
      <xdr:row>73</xdr:row>
      <xdr:rowOff>171450</xdr:rowOff>
    </xdr:from>
    <xdr:to>
      <xdr:col>6</xdr:col>
      <xdr:colOff>361950</xdr:colOff>
      <xdr:row>87</xdr:row>
      <xdr:rowOff>69850</xdr:rowOff>
    </xdr:to>
    <xdr:graphicFrame macro="">
      <xdr:nvGraphicFramePr>
        <xdr:cNvPr id="2" name="Chart 1">
          <a:extLst>
            <a:ext uri="{FF2B5EF4-FFF2-40B4-BE49-F238E27FC236}">
              <a16:creationId xmlns:a16="http://schemas.microsoft.com/office/drawing/2014/main" id="{F2109272-EAB0-D36D-7735-307846424B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381000</xdr:colOff>
      <xdr:row>73</xdr:row>
      <xdr:rowOff>184150</xdr:rowOff>
    </xdr:from>
    <xdr:to>
      <xdr:col>11</xdr:col>
      <xdr:colOff>736600</xdr:colOff>
      <xdr:row>87</xdr:row>
      <xdr:rowOff>82550</xdr:rowOff>
    </xdr:to>
    <xdr:graphicFrame macro="">
      <xdr:nvGraphicFramePr>
        <xdr:cNvPr id="3" name="Chart 2">
          <a:extLst>
            <a:ext uri="{FF2B5EF4-FFF2-40B4-BE49-F238E27FC236}">
              <a16:creationId xmlns:a16="http://schemas.microsoft.com/office/drawing/2014/main" id="{F8CB1D07-C851-735D-8D04-3BF0B01FE6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762000</xdr:colOff>
      <xdr:row>73</xdr:row>
      <xdr:rowOff>184150</xdr:rowOff>
    </xdr:from>
    <xdr:to>
      <xdr:col>15</xdr:col>
      <xdr:colOff>787400</xdr:colOff>
      <xdr:row>87</xdr:row>
      <xdr:rowOff>82550</xdr:rowOff>
    </xdr:to>
    <xdr:graphicFrame macro="">
      <xdr:nvGraphicFramePr>
        <xdr:cNvPr id="4" name="Chart 3">
          <a:extLst>
            <a:ext uri="{FF2B5EF4-FFF2-40B4-BE49-F238E27FC236}">
              <a16:creationId xmlns:a16="http://schemas.microsoft.com/office/drawing/2014/main" id="{13B45EB4-3EE8-6917-4051-946D8320FB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431800</xdr:colOff>
      <xdr:row>87</xdr:row>
      <xdr:rowOff>82550</xdr:rowOff>
    </xdr:from>
    <xdr:to>
      <xdr:col>6</xdr:col>
      <xdr:colOff>368300</xdr:colOff>
      <xdr:row>100</xdr:row>
      <xdr:rowOff>184150</xdr:rowOff>
    </xdr:to>
    <xdr:graphicFrame macro="">
      <xdr:nvGraphicFramePr>
        <xdr:cNvPr id="5" name="Chart 4">
          <a:extLst>
            <a:ext uri="{FF2B5EF4-FFF2-40B4-BE49-F238E27FC236}">
              <a16:creationId xmlns:a16="http://schemas.microsoft.com/office/drawing/2014/main" id="{3EEDCC30-513A-BF11-D31E-93A2EDCF03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50800</xdr:colOff>
      <xdr:row>120</xdr:row>
      <xdr:rowOff>184150</xdr:rowOff>
    </xdr:from>
    <xdr:to>
      <xdr:col>5</xdr:col>
      <xdr:colOff>800100</xdr:colOff>
      <xdr:row>134</xdr:row>
      <xdr:rowOff>82550</xdr:rowOff>
    </xdr:to>
    <xdr:graphicFrame macro="">
      <xdr:nvGraphicFramePr>
        <xdr:cNvPr id="6" name="Chart 5">
          <a:extLst>
            <a:ext uri="{FF2B5EF4-FFF2-40B4-BE49-F238E27FC236}">
              <a16:creationId xmlns:a16="http://schemas.microsoft.com/office/drawing/2014/main" id="{75D83804-50B2-39FF-69BA-298B9468AE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25400</xdr:colOff>
      <xdr:row>120</xdr:row>
      <xdr:rowOff>196850</xdr:rowOff>
    </xdr:from>
    <xdr:to>
      <xdr:col>11</xdr:col>
      <xdr:colOff>381000</xdr:colOff>
      <xdr:row>134</xdr:row>
      <xdr:rowOff>95250</xdr:rowOff>
    </xdr:to>
    <xdr:graphicFrame macro="">
      <xdr:nvGraphicFramePr>
        <xdr:cNvPr id="7" name="Chart 6">
          <a:extLst>
            <a:ext uri="{FF2B5EF4-FFF2-40B4-BE49-F238E27FC236}">
              <a16:creationId xmlns:a16="http://schemas.microsoft.com/office/drawing/2014/main" id="{DAC6618B-1E77-E1E1-A918-B0394DAC1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393700</xdr:colOff>
      <xdr:row>121</xdr:row>
      <xdr:rowOff>6350</xdr:rowOff>
    </xdr:from>
    <xdr:to>
      <xdr:col>15</xdr:col>
      <xdr:colOff>419100</xdr:colOff>
      <xdr:row>134</xdr:row>
      <xdr:rowOff>107950</xdr:rowOff>
    </xdr:to>
    <xdr:graphicFrame macro="">
      <xdr:nvGraphicFramePr>
        <xdr:cNvPr id="8" name="Chart 7">
          <a:extLst>
            <a:ext uri="{FF2B5EF4-FFF2-40B4-BE49-F238E27FC236}">
              <a16:creationId xmlns:a16="http://schemas.microsoft.com/office/drawing/2014/main" id="{ECFAF4D7-1F3D-6460-ED9C-E72F01572D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38100</xdr:colOff>
      <xdr:row>134</xdr:row>
      <xdr:rowOff>95250</xdr:rowOff>
    </xdr:from>
    <xdr:to>
      <xdr:col>5</xdr:col>
      <xdr:colOff>787400</xdr:colOff>
      <xdr:row>147</xdr:row>
      <xdr:rowOff>196850</xdr:rowOff>
    </xdr:to>
    <xdr:graphicFrame macro="">
      <xdr:nvGraphicFramePr>
        <xdr:cNvPr id="9" name="Chart 8">
          <a:extLst>
            <a:ext uri="{FF2B5EF4-FFF2-40B4-BE49-F238E27FC236}">
              <a16:creationId xmlns:a16="http://schemas.microsoft.com/office/drawing/2014/main" id="{AE234F8C-ECB9-6F47-1F86-B37F9356D6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12700</xdr:colOff>
      <xdr:row>134</xdr:row>
      <xdr:rowOff>95250</xdr:rowOff>
    </xdr:from>
    <xdr:to>
      <xdr:col>11</xdr:col>
      <xdr:colOff>368300</xdr:colOff>
      <xdr:row>147</xdr:row>
      <xdr:rowOff>196850</xdr:rowOff>
    </xdr:to>
    <xdr:graphicFrame macro="">
      <xdr:nvGraphicFramePr>
        <xdr:cNvPr id="10" name="Chart 9">
          <a:extLst>
            <a:ext uri="{FF2B5EF4-FFF2-40B4-BE49-F238E27FC236}">
              <a16:creationId xmlns:a16="http://schemas.microsoft.com/office/drawing/2014/main" id="{653E9CCC-0FE8-96BE-DCE6-0CBF3AC927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393700</xdr:colOff>
      <xdr:row>134</xdr:row>
      <xdr:rowOff>107950</xdr:rowOff>
    </xdr:from>
    <xdr:to>
      <xdr:col>15</xdr:col>
      <xdr:colOff>419100</xdr:colOff>
      <xdr:row>148</xdr:row>
      <xdr:rowOff>6350</xdr:rowOff>
    </xdr:to>
    <xdr:graphicFrame macro="">
      <xdr:nvGraphicFramePr>
        <xdr:cNvPr id="11" name="Chart 10">
          <a:extLst>
            <a:ext uri="{FF2B5EF4-FFF2-40B4-BE49-F238E27FC236}">
              <a16:creationId xmlns:a16="http://schemas.microsoft.com/office/drawing/2014/main" id="{BC3C4DDE-EB3A-584A-F6D3-74B61401B4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381000</xdr:colOff>
      <xdr:row>147</xdr:row>
      <xdr:rowOff>196850</xdr:rowOff>
    </xdr:from>
    <xdr:to>
      <xdr:col>15</xdr:col>
      <xdr:colOff>406400</xdr:colOff>
      <xdr:row>161</xdr:row>
      <xdr:rowOff>95250</xdr:rowOff>
    </xdr:to>
    <xdr:graphicFrame macro="">
      <xdr:nvGraphicFramePr>
        <xdr:cNvPr id="12" name="Chart 11">
          <a:extLst>
            <a:ext uri="{FF2B5EF4-FFF2-40B4-BE49-F238E27FC236}">
              <a16:creationId xmlns:a16="http://schemas.microsoft.com/office/drawing/2014/main" id="{4031917D-9639-A8C3-7D32-C37E5DC2D0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133350</xdr:colOff>
      <xdr:row>9</xdr:row>
      <xdr:rowOff>120650</xdr:rowOff>
    </xdr:from>
    <xdr:to>
      <xdr:col>10</xdr:col>
      <xdr:colOff>406400</xdr:colOff>
      <xdr:row>23</xdr:row>
      <xdr:rowOff>12700</xdr:rowOff>
    </xdr:to>
    <xdr:graphicFrame macro="">
      <xdr:nvGraphicFramePr>
        <xdr:cNvPr id="2" name="Chart 1">
          <a:extLst>
            <a:ext uri="{FF2B5EF4-FFF2-40B4-BE49-F238E27FC236}">
              <a16:creationId xmlns:a16="http://schemas.microsoft.com/office/drawing/2014/main" id="{DDB2B7ED-2541-1F2F-1359-3BD917596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xdr:colOff>
      <xdr:row>40</xdr:row>
      <xdr:rowOff>31750</xdr:rowOff>
    </xdr:from>
    <xdr:to>
      <xdr:col>6</xdr:col>
      <xdr:colOff>44450</xdr:colOff>
      <xdr:row>53</xdr:row>
      <xdr:rowOff>133350</xdr:rowOff>
    </xdr:to>
    <xdr:graphicFrame macro="">
      <xdr:nvGraphicFramePr>
        <xdr:cNvPr id="3" name="Chart 2">
          <a:extLst>
            <a:ext uri="{FF2B5EF4-FFF2-40B4-BE49-F238E27FC236}">
              <a16:creationId xmlns:a16="http://schemas.microsoft.com/office/drawing/2014/main" id="{7848EE96-0E75-F320-F4CF-CCB94EED53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215900</xdr:colOff>
      <xdr:row>40</xdr:row>
      <xdr:rowOff>38100</xdr:rowOff>
    </xdr:from>
    <xdr:to>
      <xdr:col>11</xdr:col>
      <xdr:colOff>660400</xdr:colOff>
      <xdr:row>53</xdr:row>
      <xdr:rowOff>139700</xdr:rowOff>
    </xdr:to>
    <xdr:graphicFrame macro="">
      <xdr:nvGraphicFramePr>
        <xdr:cNvPr id="5" name="Chart 4">
          <a:extLst>
            <a:ext uri="{FF2B5EF4-FFF2-40B4-BE49-F238E27FC236}">
              <a16:creationId xmlns:a16="http://schemas.microsoft.com/office/drawing/2014/main" id="{CBDD8DEC-DA31-454C-8D16-AD632613F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203200</xdr:colOff>
      <xdr:row>144</xdr:row>
      <xdr:rowOff>101601</xdr:rowOff>
    </xdr:from>
    <xdr:to>
      <xdr:col>7</xdr:col>
      <xdr:colOff>952500</xdr:colOff>
      <xdr:row>149</xdr:row>
      <xdr:rowOff>138907</xdr:rowOff>
    </xdr:to>
    <xdr:sp macro="" textlink="">
      <xdr:nvSpPr>
        <xdr:cNvPr id="2" name="TextBox 1">
          <a:extLst>
            <a:ext uri="{FF2B5EF4-FFF2-40B4-BE49-F238E27FC236}">
              <a16:creationId xmlns:a16="http://schemas.microsoft.com/office/drawing/2014/main" id="{C69629DF-3521-1647-903E-67B7A01E65B4}"/>
            </a:ext>
          </a:extLst>
        </xdr:cNvPr>
        <xdr:cNvSpPr txBox="1"/>
      </xdr:nvSpPr>
      <xdr:spPr>
        <a:xfrm>
          <a:off x="1854200" y="29489401"/>
          <a:ext cx="8470900" cy="10533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t>UPS is in the mature, steady state stage of its business life cycle, so using</a:t>
          </a:r>
          <a:r>
            <a:rPr lang="en-US" sz="1200" baseline="0"/>
            <a:t> a 5-year explicit forecast period for the pro-forma analysis would be appropriate. The company is not in a high-growth or early development phase and it is not facing any major structural changes that would require a longer forecast horizon. Growth is expected to converce to a stable long-term rate of 2.5% and margins and ROIC are normalizing to sustainable levels. Therefore, five years is sufficient for UPS to transition into steady state, making a longer forecast period unnecessary. </a:t>
          </a:r>
          <a:endParaRPr lang="en-US" sz="1200"/>
        </a:p>
      </xdr:txBody>
    </xdr:sp>
    <xdr:clientData/>
  </xdr:twoCellAnchor>
  <xdr:twoCellAnchor>
    <xdr:from>
      <xdr:col>2</xdr:col>
      <xdr:colOff>198439</xdr:colOff>
      <xdr:row>150</xdr:row>
      <xdr:rowOff>158751</xdr:rowOff>
    </xdr:from>
    <xdr:to>
      <xdr:col>7</xdr:col>
      <xdr:colOff>932658</xdr:colOff>
      <xdr:row>156</xdr:row>
      <xdr:rowOff>99220</xdr:rowOff>
    </xdr:to>
    <xdr:sp macro="" textlink="">
      <xdr:nvSpPr>
        <xdr:cNvPr id="3" name="TextBox 2">
          <a:extLst>
            <a:ext uri="{FF2B5EF4-FFF2-40B4-BE49-F238E27FC236}">
              <a16:creationId xmlns:a16="http://schemas.microsoft.com/office/drawing/2014/main" id="{75D55235-04D4-CF4E-B14F-0E05172FEAF8}"/>
            </a:ext>
          </a:extLst>
        </xdr:cNvPr>
        <xdr:cNvSpPr txBox="1"/>
      </xdr:nvSpPr>
      <xdr:spPr>
        <a:xfrm>
          <a:off x="1849439" y="30765751"/>
          <a:ext cx="8455819" cy="11596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i="0" u="none" strike="noStrike">
              <a:solidFill>
                <a:schemeClr val="dk1"/>
              </a:solidFill>
              <a:effectLst/>
              <a:latin typeface="+mn-lt"/>
              <a:ea typeface="+mn-ea"/>
              <a:cs typeface="+mn-cs"/>
            </a:rPr>
            <a:t>Because standard DCF discounting assumes cash flows occur at the end of each year, it slightly undervalues the firm since cash flows actually occur throughout the year. The mid-year convention adjusts for this by assuming cash flows occur halfway through each period. Mathematically, discounting at 0.5, 1.5, 2.5, etc. is equivalent to multiplying the original end-of-year DCF value by (1 + WACC)^0.5, since each cash flow is discounted one-half year less. Therefore, the shortcut is to multiply the original enterprise value by (1 + WACC)^0.5 to obtain the mid-year corrected valuation</a:t>
          </a:r>
          <a:endParaRPr lang="en-US" sz="1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681037</xdr:colOff>
      <xdr:row>10</xdr:row>
      <xdr:rowOff>9525</xdr:rowOff>
    </xdr:from>
    <xdr:to>
      <xdr:col>11</xdr:col>
      <xdr:colOff>223837</xdr:colOff>
      <xdr:row>29</xdr:row>
      <xdr:rowOff>95250</xdr:rowOff>
    </xdr:to>
    <xdr:graphicFrame macro="">
      <xdr:nvGraphicFramePr>
        <xdr:cNvPr id="2" name="Chart 1">
          <a:extLst>
            <a:ext uri="{FF2B5EF4-FFF2-40B4-BE49-F238E27FC236}">
              <a16:creationId xmlns:a16="http://schemas.microsoft.com/office/drawing/2014/main" id="{CC13F0CC-69D8-595D-441F-228229BD29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390525</xdr:colOff>
      <xdr:row>10</xdr:row>
      <xdr:rowOff>0</xdr:rowOff>
    </xdr:from>
    <xdr:to>
      <xdr:col>20</xdr:col>
      <xdr:colOff>619125</xdr:colOff>
      <xdr:row>29</xdr:row>
      <xdr:rowOff>85725</xdr:rowOff>
    </xdr:to>
    <xdr:graphicFrame macro="">
      <xdr:nvGraphicFramePr>
        <xdr:cNvPr id="3" name="Chart 2">
          <a:extLst>
            <a:ext uri="{FF2B5EF4-FFF2-40B4-BE49-F238E27FC236}">
              <a16:creationId xmlns:a16="http://schemas.microsoft.com/office/drawing/2014/main" id="{8C461FC2-FE83-9A67-01DB-51637E3920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28575</xdr:colOff>
      <xdr:row>29</xdr:row>
      <xdr:rowOff>190500</xdr:rowOff>
    </xdr:from>
    <xdr:to>
      <xdr:col>11</xdr:col>
      <xdr:colOff>257175</xdr:colOff>
      <xdr:row>49</xdr:row>
      <xdr:rowOff>76200</xdr:rowOff>
    </xdr:to>
    <xdr:graphicFrame macro="">
      <xdr:nvGraphicFramePr>
        <xdr:cNvPr id="4" name="Chart 3">
          <a:extLst>
            <a:ext uri="{FF2B5EF4-FFF2-40B4-BE49-F238E27FC236}">
              <a16:creationId xmlns:a16="http://schemas.microsoft.com/office/drawing/2014/main" id="{CB07EB4E-7668-3F45-2713-F59399ED14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14287</xdr:colOff>
      <xdr:row>62</xdr:row>
      <xdr:rowOff>38100</xdr:rowOff>
    </xdr:from>
    <xdr:to>
      <xdr:col>7</xdr:col>
      <xdr:colOff>14287</xdr:colOff>
      <xdr:row>75</xdr:row>
      <xdr:rowOff>180975</xdr:rowOff>
    </xdr:to>
    <xdr:graphicFrame macro="">
      <xdr:nvGraphicFramePr>
        <xdr:cNvPr id="6" name="Chart 5">
          <a:extLst>
            <a:ext uri="{FF2B5EF4-FFF2-40B4-BE49-F238E27FC236}">
              <a16:creationId xmlns:a16="http://schemas.microsoft.com/office/drawing/2014/main" id="{B9520F17-71EE-C2EB-1A08-8AD1811136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76200</xdr:colOff>
      <xdr:row>62</xdr:row>
      <xdr:rowOff>28575</xdr:rowOff>
    </xdr:from>
    <xdr:to>
      <xdr:col>13</xdr:col>
      <xdr:colOff>533400</xdr:colOff>
      <xdr:row>75</xdr:row>
      <xdr:rowOff>171450</xdr:rowOff>
    </xdr:to>
    <xdr:graphicFrame macro="">
      <xdr:nvGraphicFramePr>
        <xdr:cNvPr id="7" name="Chart 6">
          <a:extLst>
            <a:ext uri="{FF2B5EF4-FFF2-40B4-BE49-F238E27FC236}">
              <a16:creationId xmlns:a16="http://schemas.microsoft.com/office/drawing/2014/main" id="{E013F3A6-80B0-6856-12A8-6D4200195B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590550</xdr:colOff>
      <xdr:row>62</xdr:row>
      <xdr:rowOff>9525</xdr:rowOff>
    </xdr:from>
    <xdr:to>
      <xdr:col>20</xdr:col>
      <xdr:colOff>361950</xdr:colOff>
      <xdr:row>75</xdr:row>
      <xdr:rowOff>152400</xdr:rowOff>
    </xdr:to>
    <xdr:graphicFrame macro="">
      <xdr:nvGraphicFramePr>
        <xdr:cNvPr id="8" name="Chart 7">
          <a:extLst>
            <a:ext uri="{FF2B5EF4-FFF2-40B4-BE49-F238E27FC236}">
              <a16:creationId xmlns:a16="http://schemas.microsoft.com/office/drawing/2014/main" id="{5DB1564F-C63E-9C3F-5AE8-9A7EC5E580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76</xdr:row>
      <xdr:rowOff>66675</xdr:rowOff>
    </xdr:from>
    <xdr:to>
      <xdr:col>7</xdr:col>
      <xdr:colOff>0</xdr:colOff>
      <xdr:row>90</xdr:row>
      <xdr:rowOff>9525</xdr:rowOff>
    </xdr:to>
    <xdr:graphicFrame macro="">
      <xdr:nvGraphicFramePr>
        <xdr:cNvPr id="9" name="Chart 8">
          <a:extLst>
            <a:ext uri="{FF2B5EF4-FFF2-40B4-BE49-F238E27FC236}">
              <a16:creationId xmlns:a16="http://schemas.microsoft.com/office/drawing/2014/main" id="{0005B9F4-6821-C008-28C3-5FB3233B74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76200</xdr:colOff>
      <xdr:row>76</xdr:row>
      <xdr:rowOff>57150</xdr:rowOff>
    </xdr:from>
    <xdr:to>
      <xdr:col>13</xdr:col>
      <xdr:colOff>533400</xdr:colOff>
      <xdr:row>90</xdr:row>
      <xdr:rowOff>0</xdr:rowOff>
    </xdr:to>
    <xdr:graphicFrame macro="">
      <xdr:nvGraphicFramePr>
        <xdr:cNvPr id="10" name="Chart 9">
          <a:extLst>
            <a:ext uri="{FF2B5EF4-FFF2-40B4-BE49-F238E27FC236}">
              <a16:creationId xmlns:a16="http://schemas.microsoft.com/office/drawing/2014/main" id="{B8EAD7CB-1785-40B8-5FF4-75DF3FEF0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120196</xdr:colOff>
      <xdr:row>109</xdr:row>
      <xdr:rowOff>120650</xdr:rowOff>
    </xdr:from>
    <xdr:to>
      <xdr:col>5</xdr:col>
      <xdr:colOff>1031874</xdr:colOff>
      <xdr:row>123</xdr:row>
      <xdr:rowOff>9374</xdr:rowOff>
    </xdr:to>
    <xdr:graphicFrame macro="">
      <xdr:nvGraphicFramePr>
        <xdr:cNvPr id="5" name="Chart 4">
          <a:extLst>
            <a:ext uri="{FF2B5EF4-FFF2-40B4-BE49-F238E27FC236}">
              <a16:creationId xmlns:a16="http://schemas.microsoft.com/office/drawing/2014/main" id="{5D1299EB-F17E-4885-C33A-C4ECF98767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11</xdr:col>
      <xdr:colOff>88900</xdr:colOff>
      <xdr:row>101</xdr:row>
      <xdr:rowOff>69850</xdr:rowOff>
    </xdr:from>
    <xdr:to>
      <xdr:col>20</xdr:col>
      <xdr:colOff>533400</xdr:colOff>
      <xdr:row>114</xdr:row>
      <xdr:rowOff>171450</xdr:rowOff>
    </xdr:to>
    <xdr:graphicFrame macro="">
      <xdr:nvGraphicFramePr>
        <xdr:cNvPr id="2" name="Chart 1">
          <a:extLst>
            <a:ext uri="{FF2B5EF4-FFF2-40B4-BE49-F238E27FC236}">
              <a16:creationId xmlns:a16="http://schemas.microsoft.com/office/drawing/2014/main" id="{A50955BA-E5FB-2000-4519-6C7AC62F0E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584200</xdr:colOff>
      <xdr:row>10</xdr:row>
      <xdr:rowOff>196850</xdr:rowOff>
    </xdr:from>
    <xdr:to>
      <xdr:col>21</xdr:col>
      <xdr:colOff>203200</xdr:colOff>
      <xdr:row>24</xdr:row>
      <xdr:rowOff>95250</xdr:rowOff>
    </xdr:to>
    <xdr:graphicFrame macro="">
      <xdr:nvGraphicFramePr>
        <xdr:cNvPr id="3" name="Chart 2">
          <a:extLst>
            <a:ext uri="{FF2B5EF4-FFF2-40B4-BE49-F238E27FC236}">
              <a16:creationId xmlns:a16="http://schemas.microsoft.com/office/drawing/2014/main" id="{7DE22F77-6897-2113-AD5C-7752AFA782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41</xdr:col>
      <xdr:colOff>38100</xdr:colOff>
      <xdr:row>14</xdr:row>
      <xdr:rowOff>57150</xdr:rowOff>
    </xdr:from>
    <xdr:to>
      <xdr:col>46</xdr:col>
      <xdr:colOff>482600</xdr:colOff>
      <xdr:row>27</xdr:row>
      <xdr:rowOff>158750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B9935A0D-7904-66FB-B4FA-B39EB7EF3A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398700" y="3079750"/>
              <a:ext cx="46355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pslo-my.sharepoint.com/personal/mesison_calpoly_edu/Documents/BUS438_Project_Mathilde_Sison_Averie_Forshaw-NEW.xlsx" TargetMode="External"/><Relationship Id="rId1" Type="http://schemas.openxmlformats.org/officeDocument/2006/relationships/externalLinkPath" Target="https://cpslo-my.sharepoint.com/personal/mesison_calpoly_edu/Documents/BUS438_Project_Mathilde_Sison_Averie_Forshaw-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orkshop #1"/>
      <sheetName val="Workshop #2"/>
      <sheetName val="Workshop #3"/>
      <sheetName val="Workshop #4"/>
      <sheetName val="Workshop #6"/>
      <sheetName val="Workshop #5"/>
      <sheetName val="Workshop #7"/>
      <sheetName val="WS8 Work"/>
      <sheetName val="WS6 Work"/>
      <sheetName val="Comparable Firms"/>
      <sheetName val="Selective Comparable Firms"/>
      <sheetName val="Financials"/>
      <sheetName val="Stock"/>
      <sheetName val="CF Multiples Final"/>
      <sheetName val="CF Multiples"/>
      <sheetName val="UPS - Income Statement - Annual"/>
      <sheetName val="UPS - Balance Sheet - Annual"/>
    </sheetNames>
    <sheetDataSet>
      <sheetData sheetId="0"/>
      <sheetData sheetId="1"/>
      <sheetData sheetId="2"/>
      <sheetData sheetId="3"/>
      <sheetData sheetId="4"/>
      <sheetData sheetId="5">
        <row r="115">
          <cell r="D115">
            <v>23081</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EA92F23-70D7-1F4C-A3C1-4DF34F49E30F}">
  <we:reference id="wa104379190" version="2.0.0.0" store="en-US" storeType="OMEX"/>
  <we:alternateReferences>
    <we:reference id="wa104379190" version="2.0.0.0" store="wa104379190"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8DD96-F877-8A44-904C-F0817FE8CBE2}">
  <dimension ref="A3:F28"/>
  <sheetViews>
    <sheetView showGridLines="0" topLeftCell="A39" workbookViewId="0">
      <selection activeCell="F8" sqref="F8"/>
    </sheetView>
  </sheetViews>
  <sheetFormatPr baseColWidth="10" defaultColWidth="11" defaultRowHeight="16"/>
  <cols>
    <col min="2" max="2" width="6.6640625" customWidth="1"/>
    <col min="3" max="3" width="21.1640625" customWidth="1"/>
  </cols>
  <sheetData>
    <row r="3" spans="1:6" ht="24">
      <c r="B3" s="4" t="s">
        <v>0</v>
      </c>
    </row>
    <row r="5" spans="1:6">
      <c r="B5" t="s">
        <v>1</v>
      </c>
    </row>
    <row r="6" spans="1:6">
      <c r="B6" t="s">
        <v>2</v>
      </c>
    </row>
    <row r="7" spans="1:6">
      <c r="B7" t="s">
        <v>3</v>
      </c>
    </row>
    <row r="8" spans="1:6">
      <c r="B8" t="s">
        <v>4</v>
      </c>
    </row>
    <row r="10" spans="1:6">
      <c r="A10" s="5">
        <v>3</v>
      </c>
      <c r="B10" s="5" t="s">
        <v>5</v>
      </c>
      <c r="C10" s="5" t="s">
        <v>6</v>
      </c>
    </row>
    <row r="11" spans="1:6">
      <c r="B11" s="5"/>
    </row>
    <row r="12" spans="1:6" ht="117" customHeight="1">
      <c r="B12" s="5" t="s">
        <v>7</v>
      </c>
      <c r="C12" s="628" t="s">
        <v>8</v>
      </c>
      <c r="D12" s="628"/>
      <c r="E12" s="628"/>
      <c r="F12" s="628"/>
    </row>
    <row r="13" spans="1:6">
      <c r="B13" s="5"/>
    </row>
    <row r="14" spans="1:6">
      <c r="B14" s="5" t="s">
        <v>9</v>
      </c>
      <c r="C14" s="5" t="s">
        <v>10</v>
      </c>
      <c r="D14" s="7"/>
    </row>
    <row r="15" spans="1:6">
      <c r="B15" s="5"/>
    </row>
    <row r="16" spans="1:6" ht="29" customHeight="1">
      <c r="B16" s="5" t="s">
        <v>11</v>
      </c>
      <c r="C16" s="9" t="s">
        <v>12</v>
      </c>
      <c r="D16" s="6"/>
      <c r="E16" s="6"/>
      <c r="F16" s="6"/>
    </row>
    <row r="17" spans="1:4">
      <c r="B17" s="5"/>
    </row>
    <row r="18" spans="1:4" ht="34" customHeight="1">
      <c r="B18" s="5" t="s">
        <v>13</v>
      </c>
      <c r="C18" s="628" t="s">
        <v>14</v>
      </c>
      <c r="D18" s="628"/>
    </row>
    <row r="19" spans="1:4">
      <c r="B19" s="5"/>
    </row>
    <row r="20" spans="1:4">
      <c r="B20" s="5" t="s">
        <v>15</v>
      </c>
      <c r="C20" s="5" t="s">
        <v>16</v>
      </c>
      <c r="D20" s="2"/>
    </row>
    <row r="21" spans="1:4">
      <c r="B21" s="5"/>
      <c r="C21" s="1"/>
    </row>
    <row r="22" spans="1:4">
      <c r="A22" s="5">
        <v>4</v>
      </c>
      <c r="B22" s="5" t="s">
        <v>5</v>
      </c>
      <c r="C22" s="10" t="s">
        <v>17</v>
      </c>
    </row>
    <row r="23" spans="1:4">
      <c r="B23" s="5"/>
      <c r="C23" t="s">
        <v>18</v>
      </c>
    </row>
    <row r="24" spans="1:4">
      <c r="B24" s="8"/>
      <c r="C24" s="3" t="s">
        <v>19</v>
      </c>
    </row>
    <row r="25" spans="1:4">
      <c r="B25" s="8"/>
      <c r="C25" s="3" t="s">
        <v>20</v>
      </c>
    </row>
    <row r="26" spans="1:4">
      <c r="B26" s="8"/>
      <c r="C26" s="3"/>
    </row>
    <row r="27" spans="1:4">
      <c r="B27" s="9" t="s">
        <v>7</v>
      </c>
    </row>
    <row r="28" spans="1:4">
      <c r="B28" s="5"/>
    </row>
  </sheetData>
  <mergeCells count="2">
    <mergeCell ref="C12:F12"/>
    <mergeCell ref="C18:D1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EDFD0-740A-F644-AC93-580BE237673E}">
  <dimension ref="A3:N361"/>
  <sheetViews>
    <sheetView showGridLines="0" topLeftCell="A361" zoomScaleNormal="100" workbookViewId="0">
      <selection activeCell="H349" sqref="H349"/>
    </sheetView>
  </sheetViews>
  <sheetFormatPr baseColWidth="10" defaultColWidth="11" defaultRowHeight="15.75" customHeight="1" outlineLevelRow="1"/>
  <cols>
    <col min="1" max="1" width="12" style="63" customWidth="1"/>
    <col min="2" max="2" width="24.6640625" style="63" customWidth="1"/>
    <col min="3" max="3" width="11.83203125" style="63" bestFit="1" customWidth="1"/>
    <col min="4" max="8" width="14" style="63" bestFit="1" customWidth="1"/>
    <col min="9" max="13" width="11.1640625" style="63" bestFit="1" customWidth="1"/>
    <col min="14" max="16384" width="11" style="63"/>
  </cols>
  <sheetData>
    <row r="3" spans="1:13" ht="24">
      <c r="B3" s="231" t="s">
        <v>21</v>
      </c>
    </row>
    <row r="4" spans="1:13" ht="16"/>
    <row r="5" spans="1:13" ht="16">
      <c r="B5" s="63" t="s">
        <v>22</v>
      </c>
    </row>
    <row r="6" spans="1:13" ht="16">
      <c r="B6" s="63" t="s">
        <v>23</v>
      </c>
    </row>
    <row r="7" spans="1:13" ht="16">
      <c r="B7" s="63" t="s">
        <v>3</v>
      </c>
    </row>
    <row r="8" spans="1:13" ht="16">
      <c r="B8" s="63" t="s">
        <v>24</v>
      </c>
    </row>
    <row r="9" spans="1:13" ht="16"/>
    <row r="10" spans="1:13" ht="16"/>
    <row r="11" spans="1:13" ht="16">
      <c r="B11" s="11" t="s">
        <v>25</v>
      </c>
      <c r="C11" s="104"/>
      <c r="D11" s="105">
        <v>108.03</v>
      </c>
    </row>
    <row r="12" spans="1:13" ht="16"/>
    <row r="13" spans="1:13" ht="16">
      <c r="A13" s="5">
        <v>2</v>
      </c>
      <c r="C13" s="106">
        <v>2016</v>
      </c>
      <c r="D13" s="107">
        <v>2017</v>
      </c>
      <c r="E13" s="107">
        <v>2018</v>
      </c>
      <c r="F13" s="107">
        <v>2019</v>
      </c>
      <c r="G13" s="107">
        <v>2020</v>
      </c>
      <c r="H13" s="107">
        <v>2021</v>
      </c>
      <c r="I13" s="107">
        <v>2022</v>
      </c>
      <c r="J13" s="107">
        <v>2023</v>
      </c>
      <c r="K13" s="107">
        <v>2024</v>
      </c>
      <c r="L13" s="107">
        <v>2025</v>
      </c>
      <c r="M13" s="108">
        <v>2026</v>
      </c>
    </row>
    <row r="14" spans="1:13" ht="16">
      <c r="B14" s="109" t="s">
        <v>26</v>
      </c>
      <c r="C14" s="110">
        <f>AVERAGE(Stock!$B111:$B122)</f>
        <v>106.34166666666668</v>
      </c>
      <c r="D14" s="111">
        <f>AVERAGE(Stock!B99:B110)</f>
        <v>112.42333333333333</v>
      </c>
      <c r="E14" s="111">
        <f>AVERAGE(Stock!B87:B98)</f>
        <v>112.59333333333335</v>
      </c>
      <c r="F14" s="111">
        <f>AVERAGE(Stock!B75:B86)</f>
        <v>111.63833333333334</v>
      </c>
      <c r="G14" s="111">
        <f>AVERAGE(Stock!B63:B74)</f>
        <v>130.21416666666667</v>
      </c>
      <c r="H14" s="111">
        <f>AVERAGE(Stock!B51:B62)</f>
        <v>192.04333333333332</v>
      </c>
      <c r="I14" s="111">
        <f>AVERAGE(Stock!B39:B50)</f>
        <v>187.845</v>
      </c>
      <c r="J14" s="111">
        <f>AVERAGE(Stock!B27:B38)</f>
        <v>170.85499999999999</v>
      </c>
      <c r="K14" s="111">
        <f>AVERAGE(Stock!B15:B26)</f>
        <v>137.76583333333335</v>
      </c>
      <c r="L14" s="111">
        <f>AVERAGE(Stock!B3:B14)</f>
        <v>98.796666666666667</v>
      </c>
      <c r="M14" s="112">
        <f>AVERAGE(Stock!B2)</f>
        <v>106.58</v>
      </c>
    </row>
    <row r="15" spans="1:13" ht="16"/>
    <row r="16" spans="1:13" ht="16">
      <c r="B16" s="12"/>
      <c r="D16" s="12"/>
      <c r="E16" s="13"/>
      <c r="F16" s="13"/>
      <c r="G16" s="13"/>
    </row>
    <row r="17" spans="1:13" ht="16">
      <c r="A17" s="12">
        <v>3</v>
      </c>
      <c r="B17" s="113" t="s">
        <v>27</v>
      </c>
      <c r="F17" s="12"/>
      <c r="G17" s="12"/>
      <c r="H17" s="12"/>
      <c r="I17" s="12"/>
      <c r="J17" s="12"/>
      <c r="K17" s="12"/>
      <c r="L17" s="12"/>
      <c r="M17" s="12"/>
    </row>
    <row r="18" spans="1:13" ht="16">
      <c r="A18" s="12"/>
      <c r="B18" s="113"/>
      <c r="F18" s="12"/>
      <c r="G18" s="12"/>
      <c r="H18" s="12"/>
      <c r="I18" s="12"/>
      <c r="J18" s="12"/>
      <c r="K18" s="12"/>
      <c r="L18" s="12"/>
      <c r="M18" s="12"/>
    </row>
    <row r="19" spans="1:13" ht="16">
      <c r="A19" s="12"/>
      <c r="B19" s="9"/>
      <c r="E19" s="114">
        <v>44196</v>
      </c>
      <c r="F19" s="115">
        <v>44561</v>
      </c>
      <c r="G19" s="115">
        <v>44926</v>
      </c>
      <c r="H19" s="115">
        <v>45291</v>
      </c>
      <c r="I19" s="116">
        <v>45657</v>
      </c>
      <c r="J19" s="12"/>
      <c r="K19" s="12"/>
      <c r="L19" s="12"/>
      <c r="M19" s="12"/>
    </row>
    <row r="20" spans="1:13" ht="16">
      <c r="A20" s="12"/>
      <c r="B20" s="117" t="s">
        <v>28</v>
      </c>
      <c r="C20" s="88"/>
      <c r="D20" s="88"/>
      <c r="E20" s="118">
        <f>Financials!B4/Financials!$B$4</f>
        <v>1</v>
      </c>
      <c r="F20" s="119">
        <f>Financials!C4/Financials!$C$4</f>
        <v>1</v>
      </c>
      <c r="G20" s="119">
        <f>Financials!D4/Financials!$D$4</f>
        <v>1</v>
      </c>
      <c r="H20" s="119">
        <f>Financials!E4/Financials!$E$4</f>
        <v>1</v>
      </c>
      <c r="I20" s="120">
        <f>Financials!F4/Financials!$F$4</f>
        <v>1</v>
      </c>
      <c r="J20" s="12"/>
      <c r="K20" s="12"/>
      <c r="L20" s="12"/>
      <c r="M20" s="12"/>
    </row>
    <row r="21" spans="1:13" ht="16">
      <c r="A21" s="12"/>
      <c r="B21" s="92" t="s">
        <v>29</v>
      </c>
      <c r="E21" s="121">
        <f>Financials!B5/Financials!$B$4</f>
        <v>0.74200540079590671</v>
      </c>
      <c r="F21" s="122">
        <f>Financials!C5/Financials!$C$4</f>
        <v>0.82066581622155466</v>
      </c>
      <c r="G21" s="122">
        <f>Financials!D5/Financials!$D$4</f>
        <v>0.79926824879540959</v>
      </c>
      <c r="H21" s="122">
        <f>Financials!E5/Financials!$E$4</f>
        <v>0.80488181167006445</v>
      </c>
      <c r="I21" s="123">
        <f>Financials!F5/Financials!$F$4</f>
        <v>0.81233084692058877</v>
      </c>
      <c r="J21" s="12"/>
      <c r="K21" s="12"/>
      <c r="L21" s="12"/>
      <c r="M21" s="12"/>
    </row>
    <row r="22" spans="1:13" ht="16">
      <c r="A22" s="12"/>
      <c r="B22" s="92" t="s">
        <v>30</v>
      </c>
      <c r="E22" s="121">
        <f>Financials!B6/Financials!$B$4</f>
        <v>0.71005069168087931</v>
      </c>
      <c r="F22" s="122">
        <f>Financials!C6/Financials!$C$4</f>
        <v>0.79028640796675031</v>
      </c>
      <c r="G22" s="122">
        <f>Financials!D6/Financials!$D$4</f>
        <v>0.76739908431133419</v>
      </c>
      <c r="H22" s="122">
        <f>Financials!E6/Financials!$E$4</f>
        <v>0.76778885889029702</v>
      </c>
      <c r="I22" s="123">
        <f>Financials!F6/Financials!$F$4</f>
        <v>0.77262525579246155</v>
      </c>
      <c r="J22" s="12"/>
      <c r="K22" s="12"/>
      <c r="L22" s="12"/>
      <c r="M22" s="12"/>
    </row>
    <row r="23" spans="1:13" ht="16">
      <c r="A23" s="12"/>
      <c r="B23" s="92" t="s">
        <v>31</v>
      </c>
      <c r="E23" s="121">
        <f>Financials!B7/Financials!$B$4</f>
        <v>3.1954709115027478E-2</v>
      </c>
      <c r="F23" s="122">
        <f>Financials!C7/Financials!$C$4</f>
        <v>3.0379408254804331E-2</v>
      </c>
      <c r="G23" s="122">
        <f>Financials!D7/Financials!$D$4</f>
        <v>3.1869164484075417E-2</v>
      </c>
      <c r="H23" s="122">
        <f>Financials!E7/Financials!$E$4</f>
        <v>3.7092952779767478E-2</v>
      </c>
      <c r="I23" s="123">
        <f>Financials!F7/Financials!$F$4</f>
        <v>3.9705591128127271E-2</v>
      </c>
      <c r="J23" s="12"/>
      <c r="K23" s="12"/>
      <c r="L23" s="12"/>
      <c r="M23" s="12"/>
    </row>
    <row r="24" spans="1:13" ht="16">
      <c r="A24" s="12"/>
      <c r="B24" s="92" t="s">
        <v>32</v>
      </c>
      <c r="E24" s="121">
        <f>Financials!B8/Financials!$B$4</f>
        <v>2.7027667235171499E-2</v>
      </c>
      <c r="F24" s="122">
        <f>Financials!C8/Financials!$C$4</f>
        <v>2.5492778074976338E-2</v>
      </c>
      <c r="G24" s="122">
        <f>Financials!D8/Financials!$D$4</f>
        <v>2.662094887738169E-2</v>
      </c>
      <c r="H24" s="122">
        <f>Financials!E8/Financials!$E$4</f>
        <v>3.0514077910628684E-2</v>
      </c>
      <c r="I24" s="123">
        <f>Financials!F8/Financials!$F$4</f>
        <v>3.2576407683675493E-2</v>
      </c>
      <c r="J24" s="12"/>
      <c r="K24" s="12"/>
      <c r="L24" s="12"/>
      <c r="M24" s="12"/>
    </row>
    <row r="25" spans="1:13" ht="16">
      <c r="A25" s="12"/>
      <c r="B25" s="92" t="s">
        <v>33</v>
      </c>
      <c r="E25" s="121">
        <f>Financials!B9/Financials!$B$4</f>
        <v>4.9270418798559789E-3</v>
      </c>
      <c r="F25" s="122">
        <f>Financials!C9/Financials!$C$4</f>
        <v>4.8866301798279905E-3</v>
      </c>
      <c r="G25" s="122">
        <f>Financials!D9/Financials!$D$4</f>
        <v>5.2482156066937244E-3</v>
      </c>
      <c r="H25" s="122">
        <f>Financials!E9/Financials!$E$4</f>
        <v>6.5788748691387958E-3</v>
      </c>
      <c r="I25" s="123">
        <f>Financials!F9/Financials!$F$4</f>
        <v>7.1291834444517791E-3</v>
      </c>
      <c r="J25" s="12"/>
      <c r="K25" s="12"/>
      <c r="L25" s="12"/>
      <c r="M25" s="12"/>
    </row>
    <row r="26" spans="1:13" ht="16">
      <c r="A26" s="12"/>
      <c r="B26" s="92" t="s">
        <v>34</v>
      </c>
      <c r="E26" s="121">
        <f>Financials!B10/Financials!$B$4</f>
        <v>0.25799459920409323</v>
      </c>
      <c r="F26" s="122">
        <f>Financials!C10/Financials!$C$4</f>
        <v>0.17933418377844534</v>
      </c>
      <c r="G26" s="122">
        <f>Financials!D10/Financials!$D$4</f>
        <v>0.20073175120459044</v>
      </c>
      <c r="H26" s="122">
        <f>Financials!E10/Financials!$E$4</f>
        <v>0.19511818832993552</v>
      </c>
      <c r="I26" s="123">
        <f>Financials!F10/Financials!$F$4</f>
        <v>0.18766915307941118</v>
      </c>
      <c r="J26" s="12"/>
      <c r="K26" s="12"/>
      <c r="L26" s="12"/>
      <c r="M26" s="12"/>
    </row>
    <row r="27" spans="1:13" ht="16">
      <c r="A27" s="12"/>
      <c r="B27" s="92" t="s">
        <v>35</v>
      </c>
      <c r="E27" s="121">
        <f>Financials!B11/Financials!$B$4</f>
        <v>0.16518618533257531</v>
      </c>
      <c r="F27" s="122">
        <f>Financials!C11/Financials!$C$4</f>
        <v>4.4494053742644334E-2</v>
      </c>
      <c r="G27" s="122">
        <f>Financials!D11/Financials!$D$4</f>
        <v>7.1095827418677648E-2</v>
      </c>
      <c r="H27" s="122">
        <f>Financials!E11/Financials!$E$4</f>
        <v>9.1850790677172292E-2</v>
      </c>
      <c r="I27" s="123">
        <f>Financials!F11/Financials!$F$4</f>
        <v>9.5539859616696365E-2</v>
      </c>
      <c r="J27" s="12"/>
      <c r="K27" s="12"/>
      <c r="L27" s="12"/>
      <c r="M27" s="12"/>
    </row>
    <row r="28" spans="1:13" ht="16">
      <c r="A28" s="12"/>
      <c r="B28" s="92" t="s">
        <v>36</v>
      </c>
      <c r="E28" s="121">
        <f>Financials!B12/Financials!$B$4</f>
        <v>0.16518618533257531</v>
      </c>
      <c r="F28" s="122">
        <f>Financials!C12/Financials!$C$4</f>
        <v>4.4494053742644334E-2</v>
      </c>
      <c r="G28" s="122">
        <f>Financials!D12/Financials!$D$4</f>
        <v>7.1095827418677648E-2</v>
      </c>
      <c r="H28" s="122">
        <f>Financials!E12/Financials!$E$4</f>
        <v>9.1850790677172292E-2</v>
      </c>
      <c r="I28" s="123">
        <f>Financials!F12/Financials!$F$4</f>
        <v>9.5539859616696365E-2</v>
      </c>
      <c r="J28" s="12"/>
      <c r="K28" s="12"/>
      <c r="L28" s="12"/>
      <c r="M28" s="12"/>
    </row>
    <row r="29" spans="1:13" ht="16">
      <c r="A29" s="12"/>
      <c r="B29" s="92" t="s">
        <v>37</v>
      </c>
      <c r="E29" s="121">
        <f>Financials!B13/Financials!$B$4</f>
        <v>0</v>
      </c>
      <c r="F29" s="122">
        <f>Financials!C13/Financials!$C$4</f>
        <v>0</v>
      </c>
      <c r="G29" s="122">
        <f>Financials!D13/Financials!$D$4</f>
        <v>0</v>
      </c>
      <c r="H29" s="122">
        <f>Financials!E13/Financials!$E$4</f>
        <v>0</v>
      </c>
      <c r="I29" s="123">
        <f>Financials!F13/Financials!$F$4</f>
        <v>-3.4215679802847274E-3</v>
      </c>
      <c r="J29" s="12"/>
      <c r="K29" s="12"/>
      <c r="L29" s="12"/>
      <c r="M29" s="12"/>
    </row>
    <row r="30" spans="1:13" ht="16">
      <c r="A30" s="12"/>
      <c r="B30" s="92" t="s">
        <v>38</v>
      </c>
      <c r="E30" s="121">
        <f>Financials!B14/Financials!$B$4</f>
        <v>9.2808413871517906E-2</v>
      </c>
      <c r="F30" s="122">
        <f>Financials!C14/Financials!$C$4</f>
        <v>0.134840130035801</v>
      </c>
      <c r="G30" s="122">
        <f>Financials!D14/Financials!$D$4</f>
        <v>0.12963592378591279</v>
      </c>
      <c r="H30" s="122">
        <f>Financials!E14/Financials!$E$4</f>
        <v>0.10326739765276324</v>
      </c>
      <c r="I30" s="123">
        <f>Financials!F14/Financials!$F$4</f>
        <v>9.5550861442999541E-2</v>
      </c>
      <c r="J30" s="12"/>
      <c r="K30" s="12"/>
      <c r="L30" s="12"/>
      <c r="M30" s="12"/>
    </row>
    <row r="31" spans="1:13" ht="16">
      <c r="A31" s="12"/>
      <c r="B31" s="92" t="s">
        <v>39</v>
      </c>
      <c r="E31" s="121">
        <f>Financials!B15/Financials!$B$4</f>
        <v>-5.8958688648853515E-2</v>
      </c>
      <c r="F31" s="122">
        <f>Financials!C15/Financials!$C$4</f>
        <v>4.722027900086416E-2</v>
      </c>
      <c r="G31" s="122">
        <f>Financials!D15/Financials!$D$4</f>
        <v>2.7280724553651759E-2</v>
      </c>
      <c r="H31" s="122">
        <f>Financials!E15/Financials!$E$4</f>
        <v>4.6614138520028655E-3</v>
      </c>
      <c r="I31" s="123">
        <f>Financials!F15/Financials!$F$4</f>
        <v>1.8703104715382755E-4</v>
      </c>
      <c r="J31" s="12"/>
      <c r="K31" s="12"/>
      <c r="L31" s="12"/>
      <c r="M31" s="12"/>
    </row>
    <row r="32" spans="1:13" ht="16">
      <c r="A32" s="12"/>
      <c r="B32" s="92" t="s">
        <v>40</v>
      </c>
      <c r="E32" s="121">
        <f>Financials!B16/Financials!$B$4</f>
        <v>0</v>
      </c>
      <c r="F32" s="122">
        <f>Financials!C16/Financials!$C$4</f>
        <v>0</v>
      </c>
      <c r="G32" s="122">
        <f>Financials!D16/Financials!$D$4</f>
        <v>0</v>
      </c>
      <c r="H32" s="122">
        <f>Financials!E16/Financials!$E$4</f>
        <v>0</v>
      </c>
      <c r="I32" s="123">
        <f>Financials!F16/Financials!$F$4</f>
        <v>0</v>
      </c>
      <c r="J32" s="12"/>
      <c r="K32" s="12"/>
      <c r="L32" s="12"/>
      <c r="M32" s="12"/>
    </row>
    <row r="33" spans="1:13" ht="16">
      <c r="A33" s="12"/>
      <c r="B33" s="92" t="s">
        <v>41</v>
      </c>
      <c r="E33" s="121">
        <f>Financials!B17/Financials!$B$4</f>
        <v>-5.8958688648853515E-2</v>
      </c>
      <c r="F33" s="122">
        <f>Financials!C17/Financials!$C$4</f>
        <v>4.722027900086416E-2</v>
      </c>
      <c r="G33" s="122">
        <f>Financials!D17/Financials!$D$4</f>
        <v>2.7280724553651759E-2</v>
      </c>
      <c r="H33" s="122">
        <f>Financials!E17/Financials!$E$4</f>
        <v>4.6614138520028655E-3</v>
      </c>
      <c r="I33" s="123">
        <f>Financials!F17/Financials!$F$4</f>
        <v>1.8703104715382755E-4</v>
      </c>
      <c r="J33" s="12"/>
      <c r="K33" s="12"/>
      <c r="L33" s="12"/>
      <c r="M33" s="12"/>
    </row>
    <row r="34" spans="1:13" ht="16">
      <c r="A34" s="12"/>
      <c r="B34" s="92" t="s">
        <v>42</v>
      </c>
      <c r="E34" s="121">
        <f>Financials!B18/Financials!$B$4</f>
        <v>8.1011938601478119E-3</v>
      </c>
      <c r="F34" s="122">
        <f>Financials!C18/Financials!$C$4</f>
        <v>7.0264598164684585E-3</v>
      </c>
      <c r="G34" s="122">
        <f>Financials!D18/Financials!$D$4</f>
        <v>6.9376412019913226E-3</v>
      </c>
      <c r="H34" s="122">
        <f>Financials!E18/Financials!$E$4</f>
        <v>8.5404154498870469E-3</v>
      </c>
      <c r="I34" s="123">
        <f>Financials!F18/Financials!$F$4</f>
        <v>9.4725724470262063E-3</v>
      </c>
      <c r="J34" s="12"/>
      <c r="K34" s="12"/>
      <c r="L34" s="12"/>
      <c r="M34" s="12"/>
    </row>
    <row r="35" spans="1:13" ht="16">
      <c r="A35" s="12"/>
      <c r="B35" s="92" t="s">
        <v>43</v>
      </c>
      <c r="E35" s="121">
        <f>Financials!B19/Financials!$B$4</f>
        <v>9.1316088686753845E-3</v>
      </c>
      <c r="F35" s="122">
        <f>Financials!C19/Financials!$C$4</f>
        <v>7.6231430805316653E-3</v>
      </c>
      <c r="G35" s="122">
        <f>Financials!D19/Financials!$D$4</f>
        <v>7.5374372713277486E-3</v>
      </c>
      <c r="H35" s="122">
        <f>Financials!E19/Financials!$E$4</f>
        <v>9.8407625764504927E-3</v>
      </c>
      <c r="I35" s="123">
        <f>Financials!F19/Financials!$F$4</f>
        <v>1.0803793429709331E-2</v>
      </c>
      <c r="J35" s="12"/>
      <c r="K35" s="12"/>
      <c r="L35" s="12"/>
      <c r="M35" s="12"/>
    </row>
    <row r="36" spans="1:13" ht="16">
      <c r="A36" s="12"/>
      <c r="B36" s="92" t="s">
        <v>44</v>
      </c>
      <c r="E36" s="121">
        <f>Financials!B20/Financials!$B$4</f>
        <v>1.0304150085275725E-3</v>
      </c>
      <c r="F36" s="122">
        <f>Financials!C20/Financials!$C$4</f>
        <v>5.9668326406320726E-4</v>
      </c>
      <c r="G36" s="122">
        <f>Financials!D20/Financials!$D$4</f>
        <v>5.9979606933642559E-4</v>
      </c>
      <c r="H36" s="122">
        <f>Financials!E20/Financials!$E$4</f>
        <v>1.3003471265634471E-3</v>
      </c>
      <c r="I36" s="123">
        <f>Financials!F20/Financials!$F$4</f>
        <v>1.3312209826831253E-3</v>
      </c>
      <c r="J36" s="12"/>
      <c r="K36" s="12"/>
      <c r="L36" s="12"/>
      <c r="M36" s="12"/>
    </row>
    <row r="37" spans="1:13" ht="16">
      <c r="A37" s="12"/>
      <c r="B37" s="92" t="s">
        <v>45</v>
      </c>
      <c r="E37" s="121">
        <f>Financials!B21/Financials!$B$4</f>
        <v>3.9084707220011367E-3</v>
      </c>
      <c r="F37" s="122">
        <f>Financials!C21/Financials!$C$4</f>
        <v>4.3105222007324799E-3</v>
      </c>
      <c r="G37" s="122">
        <f>Financials!D21/Financials!$D$4</f>
        <v>1.7793950056980627E-3</v>
      </c>
      <c r="H37" s="122">
        <f>Financials!E21/Financials!$E$4</f>
        <v>4.9148713427737065E-3</v>
      </c>
      <c r="I37" s="123">
        <f>Financials!F21/Financials!$F$4</f>
        <v>4.3897286949633636E-3</v>
      </c>
      <c r="J37" s="12"/>
      <c r="K37" s="12"/>
      <c r="L37" s="12"/>
      <c r="M37" s="12"/>
    </row>
    <row r="38" spans="1:13" ht="16">
      <c r="A38" s="12"/>
      <c r="B38" s="92" t="s">
        <v>46</v>
      </c>
      <c r="E38" s="121">
        <f>Financials!B22/Financials!$B$4</f>
        <v>0</v>
      </c>
      <c r="F38" s="122">
        <f>Financials!C22/Financials!$C$4</f>
        <v>0</v>
      </c>
      <c r="G38" s="122">
        <f>Financials!D22/Financials!$D$4</f>
        <v>0</v>
      </c>
      <c r="H38" s="122">
        <f>Financials!E22/Financials!$E$4</f>
        <v>0</v>
      </c>
      <c r="I38" s="123">
        <f>Financials!F22/Financials!$F$4</f>
        <v>7.8112966752480917E-4</v>
      </c>
      <c r="J38" s="12"/>
      <c r="K38" s="12"/>
      <c r="L38" s="12"/>
      <c r="M38" s="12"/>
    </row>
    <row r="39" spans="1:13" ht="16">
      <c r="A39" s="12"/>
      <c r="B39" s="92" t="s">
        <v>47</v>
      </c>
      <c r="E39" s="121">
        <f>Financials!B23/Financials!$B$4</f>
        <v>0</v>
      </c>
      <c r="F39" s="122">
        <f>Financials!C23/Financials!$C$4</f>
        <v>0</v>
      </c>
      <c r="G39" s="122">
        <f>Financials!D23/Financials!$D$4</f>
        <v>0</v>
      </c>
      <c r="H39" s="122">
        <f>Financials!E23/Financials!$E$4</f>
        <v>0</v>
      </c>
      <c r="I39" s="123">
        <f>Financials!F23/Financials!$F$4</f>
        <v>7.8112966752480917E-4</v>
      </c>
      <c r="J39" s="12"/>
      <c r="K39" s="12"/>
      <c r="L39" s="12"/>
      <c r="M39" s="12"/>
    </row>
    <row r="40" spans="1:13" ht="16">
      <c r="A40" s="12"/>
      <c r="B40" s="92" t="s">
        <v>48</v>
      </c>
      <c r="E40" s="121">
        <f>Financials!B24/Financials!$B$4</f>
        <v>4.1216600341102902E-3</v>
      </c>
      <c r="F40" s="122">
        <f>Financials!C24/Financials!$C$4</f>
        <v>3.9093041438623922E-3</v>
      </c>
      <c r="G40" s="122">
        <f>Financials!D24/Financials!$D$4</f>
        <v>1.7793950056980627E-3</v>
      </c>
      <c r="H40" s="122">
        <f>Financials!E24/Financials!$E$4</f>
        <v>4.7936525428398259E-3</v>
      </c>
      <c r="I40" s="123">
        <f>Financials!F24/Financials!$F$4</f>
        <v>3.5425880696195568E-3</v>
      </c>
      <c r="J40" s="12"/>
      <c r="K40" s="12"/>
      <c r="L40" s="12"/>
      <c r="M40" s="12"/>
    </row>
    <row r="41" spans="1:13" ht="16">
      <c r="A41" s="12"/>
      <c r="B41" s="92" t="s">
        <v>49</v>
      </c>
      <c r="E41" s="121">
        <f>Financials!B25/Financials!$B$4</f>
        <v>2.1318931210915292E-4</v>
      </c>
      <c r="F41" s="122">
        <f>Financials!C25/Financials!$C$4</f>
        <v>-4.0121805687008764E-4</v>
      </c>
      <c r="G41" s="122">
        <f>Financials!D25/Financials!$D$4</f>
        <v>0</v>
      </c>
      <c r="H41" s="122">
        <f>Financials!E25/Financials!$E$4</f>
        <v>-1.2121879993388065E-4</v>
      </c>
      <c r="I41" s="123">
        <f>Financials!F25/Financials!$F$4</f>
        <v>-6.6010957818997957E-5</v>
      </c>
      <c r="J41" s="12"/>
      <c r="K41" s="12"/>
      <c r="L41" s="12"/>
      <c r="M41" s="12"/>
    </row>
    <row r="42" spans="1:13" ht="16">
      <c r="A42" s="12"/>
      <c r="B42" s="92" t="s">
        <v>50</v>
      </c>
      <c r="E42" s="121">
        <f>Financials!B26/Financials!$B$4</f>
        <v>2.1318931210915292E-4</v>
      </c>
      <c r="F42" s="122">
        <f>Financials!C26/Financials!$C$4</f>
        <v>-4.0121805687008764E-4</v>
      </c>
      <c r="G42" s="122">
        <f>Financials!D26/Financials!$D$4</f>
        <v>0</v>
      </c>
      <c r="H42" s="122">
        <f>Financials!E26/Financials!$E$4</f>
        <v>-1.2121879993388065E-4</v>
      </c>
      <c r="I42" s="123">
        <f>Financials!F26/Financials!$F$4</f>
        <v>-6.6010957818997957E-5</v>
      </c>
      <c r="J42" s="12"/>
      <c r="K42" s="12"/>
      <c r="L42" s="12"/>
      <c r="M42" s="12"/>
    </row>
    <row r="43" spans="1:13" ht="16">
      <c r="A43" s="12"/>
      <c r="B43" s="92" t="s">
        <v>51</v>
      </c>
      <c r="E43" s="121">
        <f>Financials!B27/Financials!$B$4</f>
        <v>2.1840060640515444E-2</v>
      </c>
      <c r="F43" s="122">
        <f>Financials!C27/Financials!$C$4</f>
        <v>0.17072342701946422</v>
      </c>
      <c r="G43" s="122">
        <f>Financials!D27/Financials!$D$4</f>
        <v>0.14819961213187516</v>
      </c>
      <c r="H43" s="122">
        <f>Financials!E27/Financials!$E$4</f>
        <v>9.447352471210535E-2</v>
      </c>
      <c r="I43" s="123">
        <f>Financials!F27/Financials!$F$4</f>
        <v>8.1875591348163801E-2</v>
      </c>
      <c r="J43" s="12"/>
      <c r="K43" s="12"/>
      <c r="L43" s="12"/>
      <c r="M43" s="12"/>
    </row>
    <row r="44" spans="1:13" ht="16">
      <c r="A44" s="12"/>
      <c r="B44" s="92" t="s">
        <v>52</v>
      </c>
      <c r="E44" s="121">
        <f>Financials!B28/Financials!$B$4</f>
        <v>5.9337691870380901E-3</v>
      </c>
      <c r="F44" s="122">
        <f>Financials!C28/Financials!$C$4</f>
        <v>3.8115715402658325E-2</v>
      </c>
      <c r="G44" s="122">
        <f>Financials!D28/Financials!$D$4</f>
        <v>3.2758861986924445E-2</v>
      </c>
      <c r="H44" s="122">
        <f>Financials!E28/Financials!$E$4</f>
        <v>2.0552096534244311E-2</v>
      </c>
      <c r="I44" s="123">
        <f>Financials!F28/Financials!$F$4</f>
        <v>1.8263031663256102E-2</v>
      </c>
      <c r="J44" s="12"/>
      <c r="K44" s="12"/>
      <c r="L44" s="12"/>
      <c r="M44" s="12"/>
    </row>
    <row r="45" spans="1:13" ht="16">
      <c r="A45" s="12"/>
      <c r="B45" s="92" t="s">
        <v>53</v>
      </c>
      <c r="E45" s="121">
        <f>Financials!B29/Financials!$B$4</f>
        <v>1.1121375781694144E-2</v>
      </c>
      <c r="F45" s="122">
        <f>Financials!C29/Financials!$C$4</f>
        <v>1.6275050409448173E-2</v>
      </c>
      <c r="G45" s="122">
        <f>Financials!D29/Financials!$D$4</f>
        <v>2.2782254033628567E-2</v>
      </c>
      <c r="H45" s="122">
        <f>Financials!E29/Financials!$E$4</f>
        <v>1.3301008320017632E-2</v>
      </c>
      <c r="I45" s="123">
        <f>Financials!F29/Financials!$F$4</f>
        <v>1.3917310273505401E-2</v>
      </c>
      <c r="J45" s="12"/>
      <c r="K45" s="12"/>
      <c r="L45" s="12"/>
      <c r="M45" s="12"/>
    </row>
    <row r="46" spans="1:13" ht="16">
      <c r="A46" s="12"/>
      <c r="B46" s="92" t="s">
        <v>54</v>
      </c>
      <c r="E46" s="121">
        <f>Financials!B30/Financials!$B$4</f>
        <v>4.9744172825469017E-3</v>
      </c>
      <c r="F46" s="122">
        <f>Financials!C30/Financials!$C$4</f>
        <v>4.9174931072795362E-3</v>
      </c>
      <c r="G46" s="122">
        <f>Financials!D30/Financials!$D$4</f>
        <v>4.6684127396685125E-3</v>
      </c>
      <c r="H46" s="122">
        <f>Financials!E30/Financials!$E$4</f>
        <v>5.0581299245137474E-3</v>
      </c>
      <c r="I46" s="123">
        <f>Financials!F30/Financials!$F$4</f>
        <v>4.5107487842981934E-3</v>
      </c>
      <c r="J46" s="12"/>
      <c r="K46" s="12"/>
      <c r="L46" s="12"/>
      <c r="M46" s="12"/>
    </row>
    <row r="47" spans="1:13" ht="16">
      <c r="A47" s="12"/>
      <c r="B47" s="92" t="s">
        <v>55</v>
      </c>
      <c r="E47" s="121">
        <f>Financials!B31/Financials!$B$4</f>
        <v>-1.0469963994693954E-2</v>
      </c>
      <c r="F47" s="122">
        <f>Financials!C31/Financials!$C$4</f>
        <v>1.6295625694415866E-2</v>
      </c>
      <c r="G47" s="122">
        <f>Financials!D31/Financials!$D$4</f>
        <v>4.3185316992222647E-3</v>
      </c>
      <c r="H47" s="122">
        <f>Financials!E31/Financials!$E$4</f>
        <v>1.8733814535236101E-3</v>
      </c>
      <c r="I47" s="123">
        <f>Financials!F31/Financials!$F$4</f>
        <v>8.8014610425330605E-5</v>
      </c>
      <c r="J47" s="12"/>
      <c r="K47" s="12"/>
      <c r="L47" s="12"/>
      <c r="M47" s="12"/>
    </row>
    <row r="48" spans="1:13" ht="16">
      <c r="A48" s="12"/>
      <c r="B48" s="92" t="s">
        <v>56</v>
      </c>
      <c r="E48" s="121">
        <f>Financials!B32/Financials!$B$4</f>
        <v>3.0794011749099868E-4</v>
      </c>
      <c r="F48" s="122">
        <f>Financials!C32/Financials!$C$4</f>
        <v>6.275461915147525E-4</v>
      </c>
      <c r="G48" s="122">
        <f>Financials!D32/Financials!$D$4</f>
        <v>9.8966351440510228E-4</v>
      </c>
      <c r="H48" s="122">
        <f>Financials!E32/Financials!$E$4</f>
        <v>3.1957683618932174E-4</v>
      </c>
      <c r="I48" s="123">
        <f>Financials!F32/Financials!$F$4</f>
        <v>-2.5304200497282546E-4</v>
      </c>
      <c r="J48" s="12"/>
      <c r="K48" s="12"/>
      <c r="L48" s="12"/>
      <c r="M48" s="12"/>
    </row>
    <row r="49" spans="1:13" ht="16">
      <c r="A49" s="12"/>
      <c r="B49" s="92" t="s">
        <v>57</v>
      </c>
      <c r="E49" s="121">
        <f>Financials!B33/Financials!$B$4</f>
        <v>1.5906291453477356E-2</v>
      </c>
      <c r="F49" s="122">
        <f>Financials!C33/Financials!$C$4</f>
        <v>0.1326077116168059</v>
      </c>
      <c r="G49" s="122">
        <f>Financials!D33/Financials!$D$4</f>
        <v>0.11544075014495071</v>
      </c>
      <c r="H49" s="122">
        <f>Financials!E33/Financials!$E$4</f>
        <v>7.3921428177861043E-2</v>
      </c>
      <c r="I49" s="123">
        <f>Financials!F33/Financials!$F$4</f>
        <v>6.3612559684907699E-2</v>
      </c>
      <c r="J49" s="12"/>
      <c r="K49" s="12"/>
      <c r="L49" s="12"/>
      <c r="M49" s="12"/>
    </row>
    <row r="50" spans="1:13" ht="16">
      <c r="A50" s="12"/>
      <c r="B50" s="49" t="s">
        <v>58</v>
      </c>
      <c r="E50" s="121">
        <f>Financials!B34/Financials!$B$4</f>
        <v>1.5906291453477356E-2</v>
      </c>
      <c r="F50" s="122">
        <f>Financials!C34/Financials!$C$4</f>
        <v>0.1326077116168059</v>
      </c>
      <c r="G50" s="122">
        <f>Financials!D34/Financials!$D$4</f>
        <v>0.11544075014495071</v>
      </c>
      <c r="H50" s="122">
        <f>Financials!E34/Financials!$E$4</f>
        <v>7.3921428177861043E-2</v>
      </c>
      <c r="I50" s="123">
        <f>Financials!F34/Financials!$F$4</f>
        <v>6.3612559684907699E-2</v>
      </c>
      <c r="J50" s="12"/>
      <c r="K50" s="12"/>
      <c r="L50" s="12"/>
      <c r="M50" s="12"/>
    </row>
    <row r="51" spans="1:13" ht="15.75" customHeight="1">
      <c r="B51" s="92" t="s">
        <v>59</v>
      </c>
      <c r="E51" s="121">
        <f>Financials!B35/Financials!$B$4</f>
        <v>1.5906291453477356E-2</v>
      </c>
      <c r="F51" s="122">
        <f>Financials!C35/Financials!$C$4</f>
        <v>0.1326077116168059</v>
      </c>
      <c r="G51" s="122">
        <f>Financials!D35/Financials!$D$4</f>
        <v>0.11544075014495071</v>
      </c>
      <c r="H51" s="122">
        <f>Financials!E35/Financials!$E$4</f>
        <v>7.3921428177861043E-2</v>
      </c>
      <c r="I51" s="123">
        <f>Financials!F35/Financials!$F$4</f>
        <v>6.3612559684907699E-2</v>
      </c>
    </row>
    <row r="52" spans="1:13" ht="16">
      <c r="A52" s="12"/>
      <c r="B52" s="92" t="s">
        <v>60</v>
      </c>
      <c r="E52" s="121">
        <f>Financials!B36/Financials!$B$4</f>
        <v>0</v>
      </c>
      <c r="F52" s="122">
        <f>Financials!C36/Financials!$C$4</f>
        <v>0</v>
      </c>
      <c r="G52" s="122">
        <f>Financials!D36/Financials!$D$4</f>
        <v>0</v>
      </c>
      <c r="H52" s="122">
        <f>Financials!E36/Financials!$E$4</f>
        <v>0</v>
      </c>
      <c r="I52" s="123">
        <f>Financials!F36/Financials!$F$4</f>
        <v>0</v>
      </c>
      <c r="J52" s="12"/>
      <c r="K52" s="12"/>
      <c r="L52" s="12"/>
      <c r="M52" s="12"/>
    </row>
    <row r="53" spans="1:13" ht="16">
      <c r="A53" s="12"/>
      <c r="B53" s="92" t="s">
        <v>61</v>
      </c>
      <c r="E53" s="121">
        <f>Financials!B37/Financials!$B$4</f>
        <v>2.140323574000379E-5</v>
      </c>
      <c r="F53" s="122">
        <f>Financials!C37/Financials!$C$4</f>
        <v>1.5447047446607136E-4</v>
      </c>
      <c r="G53" s="122">
        <f>Financials!D37/Financials!$D$4</f>
        <v>1.3335579902833036E-4</v>
      </c>
      <c r="H53" s="122">
        <f>Financials!E37/Financials!$E$4</f>
        <v>8.9955622899333312E-5</v>
      </c>
      <c r="I53" s="123">
        <f>Financials!F37/Financials!$F$4</f>
        <v>7.790346997601602E-5</v>
      </c>
      <c r="J53" s="12"/>
      <c r="K53" s="12"/>
      <c r="L53" s="12"/>
      <c r="M53" s="12"/>
    </row>
    <row r="54" spans="1:13" ht="16">
      <c r="A54" s="12"/>
      <c r="B54" s="92" t="s">
        <v>62</v>
      </c>
      <c r="E54" s="121">
        <f>Financials!B38/Financials!$B$4</f>
        <v>1.8346124692059883E-5</v>
      </c>
      <c r="F54" s="122">
        <f>Financials!C38/Financials!$C$4</f>
        <v>1.5172523764454138E-4</v>
      </c>
      <c r="G54" s="122">
        <f>Financials!D38/Financials!$D$4</f>
        <v>1.3253793710138554E-4</v>
      </c>
      <c r="H54" s="122">
        <f>Financials!E38/Financials!$E$4</f>
        <v>8.605543005124249E-5</v>
      </c>
      <c r="I54" s="123">
        <f>Financials!F38/Financials!$F$4</f>
        <v>7.4400950557792586E-5</v>
      </c>
      <c r="J54" s="12"/>
      <c r="K54" s="12"/>
      <c r="L54" s="12"/>
      <c r="M54" s="12"/>
    </row>
    <row r="55" spans="1:13" ht="16">
      <c r="A55" s="12"/>
      <c r="B55" s="92" t="s">
        <v>63</v>
      </c>
      <c r="E55" s="121">
        <f>Financials!B39/Financials!$B$4</f>
        <v>1.0268618533257532E-2</v>
      </c>
      <c r="F55" s="122">
        <f>Financials!C39/Financials!$C$4</f>
        <v>8.9913995308835027E-3</v>
      </c>
      <c r="G55" s="122">
        <f>Financials!D39/Financials!$D$4</f>
        <v>8.7070396065337778E-3</v>
      </c>
      <c r="H55" s="122">
        <f>Financials!E39/Financials!$E$4</f>
        <v>9.4660862857457711E-3</v>
      </c>
      <c r="I55" s="123">
        <f>Financials!F39/Financials!$F$4</f>
        <v>9.4065614892072085E-3</v>
      </c>
      <c r="J55" s="12"/>
      <c r="K55" s="12"/>
      <c r="L55" s="12"/>
      <c r="M55" s="12"/>
    </row>
    <row r="56" spans="1:13" ht="16">
      <c r="A56" s="12"/>
      <c r="B56" s="92" t="s">
        <v>64</v>
      </c>
      <c r="E56" s="121">
        <f>Financials!B40/Financials!$B$4</f>
        <v>1.0244930831912072E-2</v>
      </c>
      <c r="F56" s="122">
        <f>Financials!C40/Financials!$C$4</f>
        <v>8.9502489609481085E-3</v>
      </c>
      <c r="G56" s="122">
        <f>Financials!D40/Financials!$D$4</f>
        <v>8.5850810724353716E-3</v>
      </c>
      <c r="H56" s="122">
        <f>Financials!E40/Financials!$E$4</f>
        <v>9.3977629621466736E-3</v>
      </c>
      <c r="I56" s="123">
        <f>Financials!F40/Financials!$F$4</f>
        <v>9.3944594802737244E-3</v>
      </c>
      <c r="J56" s="12"/>
      <c r="K56" s="12"/>
      <c r="L56" s="12"/>
      <c r="M56" s="12"/>
    </row>
    <row r="57" spans="1:13" ht="16">
      <c r="A57" s="12"/>
      <c r="B57" s="92" t="s">
        <v>65</v>
      </c>
      <c r="E57" s="121">
        <f>Financials!B41/Financials!$B$4</f>
        <v>1.8262033352283496E-5</v>
      </c>
      <c r="F57" s="122">
        <f>Financials!C41/Financials!$C$4</f>
        <v>1.5103390806962678E-4</v>
      </c>
      <c r="G57" s="122">
        <f>Financials!D41/Financials!$D$4</f>
        <v>1.3193214307135573E-4</v>
      </c>
      <c r="H57" s="122">
        <f>Financials!E41/Financials!$E$4</f>
        <v>8.5955149044024463E-5</v>
      </c>
      <c r="I57" s="123">
        <f>Financials!F41/Financials!$F$4</f>
        <v>7.4400950557792586E-5</v>
      </c>
      <c r="J57" s="12"/>
      <c r="K57" s="12"/>
      <c r="L57" s="12"/>
      <c r="M57" s="12"/>
    </row>
    <row r="58" spans="1:13" ht="16">
      <c r="A58" s="12"/>
      <c r="B58" s="92" t="s">
        <v>66</v>
      </c>
      <c r="E58" s="121">
        <f>Financials!B42/Financials!$B$4</f>
        <v>1.0315993935948455E-2</v>
      </c>
      <c r="F58" s="122">
        <f>Financials!C42/Financials!$C$4</f>
        <v>9.0325501008188969E-3</v>
      </c>
      <c r="G58" s="122">
        <f>Financials!D42/Financials!$D$4</f>
        <v>8.7470260111562077E-3</v>
      </c>
      <c r="H58" s="122">
        <f>Financials!E42/Financials!$E$4</f>
        <v>9.4771061766488508E-3</v>
      </c>
      <c r="I58" s="123">
        <f>Financials!F42/Financials!$F$4</f>
        <v>9.4175633155103751E-3</v>
      </c>
      <c r="J58" s="12"/>
      <c r="K58" s="12"/>
      <c r="L58" s="12"/>
      <c r="M58" s="12"/>
    </row>
    <row r="59" spans="1:13" ht="16">
      <c r="A59" s="12"/>
      <c r="B59" s="92" t="s">
        <v>64</v>
      </c>
      <c r="E59" s="121">
        <f>Financials!B43/Financials!$B$4</f>
        <v>1.0244930831912072E-2</v>
      </c>
      <c r="F59" s="122">
        <f>Financials!C43/Financials!$C$4</f>
        <v>8.9502489609481085E-3</v>
      </c>
      <c r="G59" s="122">
        <f>Financials!D43/Financials!$D$4</f>
        <v>8.5850810724353716E-3</v>
      </c>
      <c r="H59" s="122">
        <f>Financials!E43/Financials!$E$4</f>
        <v>9.3977629621466736E-3</v>
      </c>
      <c r="I59" s="123">
        <f>Financials!F43/Financials!$F$4</f>
        <v>9.3944594802737244E-3</v>
      </c>
      <c r="J59" s="12"/>
      <c r="K59" s="12"/>
      <c r="L59" s="12"/>
      <c r="M59" s="12"/>
    </row>
    <row r="60" spans="1:13" ht="16">
      <c r="A60" s="12"/>
      <c r="B60" s="92" t="s">
        <v>67</v>
      </c>
      <c r="E60" s="121">
        <f>Financials!B44/Financials!$B$4</f>
        <v>9.5121517907902217E-4</v>
      </c>
      <c r="F60" s="122">
        <f>Financials!C44/Financials!$C$4</f>
        <v>8.1609810295872598E-4</v>
      </c>
      <c r="G60" s="122">
        <f>Financials!D44/Financials!$D$4</f>
        <v>7.9018133834496277E-4</v>
      </c>
      <c r="H60" s="122">
        <f>Financials!E44/Financials!$E$4</f>
        <v>9.4699432475618499E-4</v>
      </c>
      <c r="I60" s="123">
        <f>Financials!F44/Financials!$F$4</f>
        <v>9.4354962923845368E-4</v>
      </c>
      <c r="J60" s="12"/>
      <c r="K60" s="12"/>
      <c r="L60" s="12"/>
      <c r="M60" s="12"/>
    </row>
    <row r="61" spans="1:13" ht="16">
      <c r="A61" s="12"/>
      <c r="B61" s="92" t="s">
        <v>68</v>
      </c>
      <c r="E61" s="121">
        <f>Financials!B45/Financials!$B$4</f>
        <v>4.78491567178321E-5</v>
      </c>
      <c r="F61" s="122">
        <f>Financials!C45/Financials!$C$4</f>
        <v>4.1973581334101476E-5</v>
      </c>
      <c r="G61" s="122">
        <f>Financials!D45/Financials!$D$4</f>
        <v>6.0779335026091127E-5</v>
      </c>
      <c r="H61" s="122">
        <f>Financials!E45/Financials!$E$4</f>
        <v>7.1408893051958791E-5</v>
      </c>
      <c r="I61" s="123">
        <f>Financials!F45/Financials!$F$4</f>
        <v>7.1731907496644436E-5</v>
      </c>
      <c r="J61" s="12"/>
      <c r="K61" s="12"/>
      <c r="L61" s="12"/>
      <c r="M61" s="12"/>
    </row>
    <row r="62" spans="1:13" ht="16">
      <c r="A62" s="12"/>
      <c r="B62" s="92" t="s">
        <v>69</v>
      </c>
      <c r="E62" s="121">
        <f>Financials!B46/Financials!$B$4</f>
        <v>3.1032594040174347E-3</v>
      </c>
      <c r="F62" s="122">
        <f>Financials!C46/Financials!$C$4</f>
        <v>2.8590215423233609E-4</v>
      </c>
      <c r="G62" s="122">
        <f>Financials!D46/Financials!$D$4</f>
        <v>4.605297498850391E-4</v>
      </c>
      <c r="H62" s="122">
        <f>Financials!E46/Financials!$E$4</f>
        <v>9.1549862802358252E-4</v>
      </c>
      <c r="I62" s="123">
        <f>Financials!F46/Financials!$F$4</f>
        <v>1.0607149206768324E-3</v>
      </c>
      <c r="J62" s="12"/>
      <c r="K62" s="12"/>
      <c r="L62" s="12"/>
      <c r="M62" s="12"/>
    </row>
    <row r="63" spans="1:13" ht="16">
      <c r="A63" s="12"/>
      <c r="B63" s="92" t="s">
        <v>70</v>
      </c>
      <c r="E63" s="121">
        <f>Financials!B47/Financials!$B$4</f>
        <v>0</v>
      </c>
      <c r="F63" s="122">
        <f>Financials!C47/Financials!$C$4</f>
        <v>0</v>
      </c>
      <c r="G63" s="122">
        <f>Financials!D47/Financials!$D$4</f>
        <v>0</v>
      </c>
      <c r="H63" s="122">
        <f>Financials!E47/Financials!$E$4</f>
        <v>0</v>
      </c>
      <c r="I63" s="123">
        <f>Financials!F47/Financials!$F$4</f>
        <v>0</v>
      </c>
      <c r="J63" s="12"/>
      <c r="K63" s="12"/>
      <c r="L63" s="12"/>
      <c r="M63" s="12"/>
    </row>
    <row r="64" spans="1:13" ht="16">
      <c r="A64" s="12"/>
      <c r="B64" s="92" t="s">
        <v>70</v>
      </c>
      <c r="E64" s="121">
        <f>Financials!B48/Financials!$B$4</f>
        <v>0.12476312298654539</v>
      </c>
      <c r="F64" s="122">
        <f>Financials!C48/Financials!$C$4</f>
        <v>0.16521953829060532</v>
      </c>
      <c r="G64" s="122">
        <f>Financials!D48/Financials!$D$4</f>
        <v>0.16150508826998822</v>
      </c>
      <c r="H64" s="122">
        <f>Financials!E48/Financials!$E$4</f>
        <v>0.14036035043253073</v>
      </c>
      <c r="I64" s="123">
        <f>Financials!F48/Financials!$F$4</f>
        <v>0.13525645257112681</v>
      </c>
      <c r="J64" s="12"/>
      <c r="K64" s="12"/>
      <c r="L64" s="12"/>
      <c r="M64" s="12"/>
    </row>
    <row r="65" spans="1:14" ht="16">
      <c r="A65" s="12"/>
      <c r="B65" s="92" t="s">
        <v>71</v>
      </c>
      <c r="E65" s="121">
        <f>Financials!B49/Financials!$B$4</f>
        <v>9.2808413871517906E-2</v>
      </c>
      <c r="F65" s="122">
        <f>Financials!C49/Financials!$C$4</f>
        <v>0.134840130035801</v>
      </c>
      <c r="G65" s="122">
        <f>Financials!D49/Financials!$D$4</f>
        <v>0.12963592378591279</v>
      </c>
      <c r="H65" s="122">
        <f>Financials!E49/Financials!$E$4</f>
        <v>0.10326739765276324</v>
      </c>
      <c r="I65" s="123">
        <f>Financials!F49/Financials!$F$4</f>
        <v>9.5550861442999541E-2</v>
      </c>
      <c r="J65" s="12"/>
      <c r="K65" s="12"/>
      <c r="L65" s="12"/>
      <c r="M65" s="12"/>
    </row>
    <row r="66" spans="1:14" ht="16">
      <c r="A66" s="12"/>
      <c r="B66" s="124" t="s">
        <v>31</v>
      </c>
      <c r="C66" s="125"/>
      <c r="D66" s="125"/>
      <c r="E66" s="126">
        <f>Financials!B50/Financials!$B$4</f>
        <v>3.1954709115027478E-2</v>
      </c>
      <c r="F66" s="127">
        <f>Financials!C50/Financials!$C$4</f>
        <v>3.0379408254804331E-2</v>
      </c>
      <c r="G66" s="127">
        <f>Financials!D50/Financials!$D$4</f>
        <v>3.1869164484075417E-2</v>
      </c>
      <c r="H66" s="127">
        <f>Financials!E50/Financials!$E$4</f>
        <v>3.7092952779767478E-2</v>
      </c>
      <c r="I66" s="128">
        <f>Financials!F50/Financials!$F$4</f>
        <v>3.9705591128127271E-2</v>
      </c>
      <c r="J66" s="12"/>
      <c r="K66" s="12"/>
      <c r="L66" s="12"/>
      <c r="M66" s="12"/>
    </row>
    <row r="67" spans="1:14" ht="16">
      <c r="A67" s="12"/>
      <c r="B67" s="5"/>
      <c r="E67" s="122"/>
      <c r="F67" s="122"/>
      <c r="G67" s="122"/>
      <c r="H67" s="122"/>
      <c r="I67" s="122"/>
      <c r="J67" s="12"/>
      <c r="K67" s="12"/>
      <c r="L67" s="12"/>
      <c r="M67" s="12"/>
    </row>
    <row r="68" spans="1:14" ht="16">
      <c r="A68" s="12"/>
      <c r="B68" s="5"/>
      <c r="E68" s="122"/>
      <c r="F68" s="122"/>
      <c r="G68" s="122"/>
      <c r="H68" s="122"/>
      <c r="I68" s="122"/>
      <c r="J68" s="12"/>
      <c r="K68" s="12"/>
      <c r="L68" s="12"/>
      <c r="M68" s="12"/>
    </row>
    <row r="69" spans="1:14" ht="16">
      <c r="A69" s="12"/>
      <c r="B69" s="5"/>
      <c r="E69" s="122"/>
      <c r="F69" s="122"/>
      <c r="G69" s="122"/>
      <c r="H69" s="122"/>
      <c r="I69" s="122"/>
      <c r="J69" s="12"/>
      <c r="K69" s="12"/>
      <c r="L69" s="12"/>
      <c r="M69" s="12"/>
    </row>
    <row r="70" spans="1:14" ht="16">
      <c r="A70" s="12"/>
      <c r="B70" s="5"/>
      <c r="E70" s="122"/>
      <c r="F70" s="122"/>
      <c r="G70" s="122"/>
      <c r="H70" s="122"/>
      <c r="I70" s="122"/>
      <c r="J70" s="12"/>
      <c r="K70" s="12"/>
      <c r="L70" s="12"/>
      <c r="M70" s="12"/>
    </row>
    <row r="71" spans="1:14" ht="16">
      <c r="A71" s="12"/>
      <c r="B71" s="5"/>
      <c r="E71" s="122"/>
      <c r="F71" s="122"/>
      <c r="G71" s="122"/>
      <c r="H71" s="122"/>
      <c r="I71" s="122"/>
      <c r="J71" s="12"/>
      <c r="K71" s="12"/>
      <c r="L71" s="12"/>
      <c r="M71" s="12"/>
    </row>
    <row r="72" spans="1:14" ht="16">
      <c r="A72" s="12"/>
      <c r="B72" s="113"/>
      <c r="F72" s="12"/>
      <c r="G72" s="12"/>
      <c r="H72" s="12"/>
      <c r="I72" s="12"/>
      <c r="J72" s="12"/>
      <c r="K72" s="12"/>
      <c r="L72" s="12"/>
      <c r="M72" s="12"/>
    </row>
    <row r="73" spans="1:14" ht="16">
      <c r="B73" s="48" t="s">
        <v>72</v>
      </c>
      <c r="C73" s="13"/>
      <c r="D73" s="13"/>
      <c r="E73" s="13"/>
      <c r="F73" s="13"/>
      <c r="G73" s="13"/>
      <c r="H73" s="13"/>
      <c r="I73" s="13"/>
      <c r="J73" s="13"/>
      <c r="K73" s="13"/>
      <c r="L73" s="13"/>
      <c r="M73" s="13"/>
    </row>
    <row r="74" spans="1:14" ht="16">
      <c r="B74" s="129"/>
      <c r="C74" s="13"/>
      <c r="D74" s="13"/>
      <c r="E74" s="13"/>
      <c r="F74" s="13"/>
      <c r="G74" s="13"/>
      <c r="H74" s="13"/>
      <c r="I74" s="13"/>
      <c r="J74" s="13"/>
      <c r="K74" s="13"/>
      <c r="L74" s="13"/>
      <c r="M74" s="13"/>
    </row>
    <row r="75" spans="1:14" ht="16">
      <c r="B75" s="130"/>
      <c r="E75" s="131">
        <v>44196</v>
      </c>
      <c r="F75" s="132">
        <v>44561</v>
      </c>
      <c r="G75" s="132">
        <v>44926</v>
      </c>
      <c r="H75" s="132">
        <v>45291</v>
      </c>
      <c r="I75" s="133">
        <v>45657</v>
      </c>
      <c r="J75" s="13"/>
      <c r="K75" s="13"/>
      <c r="L75" s="13"/>
      <c r="M75" s="13"/>
    </row>
    <row r="76" spans="1:14" ht="16">
      <c r="B76" s="87" t="s">
        <v>73</v>
      </c>
      <c r="C76" s="88"/>
      <c r="D76" s="88"/>
      <c r="E76" s="118">
        <f>Financials!B55/Financials!$B$88</f>
        <v>0.10120497372131777</v>
      </c>
      <c r="F76" s="119">
        <f>Financials!C55/Financials!$C$88</f>
        <v>0.15262589150637562</v>
      </c>
      <c r="G76" s="119">
        <f>Financials!D55/Financials!$D$88</f>
        <v>0.10678533265845566</v>
      </c>
      <c r="H76" s="119">
        <f>Financials!E55/Financials!$E$88</f>
        <v>8.5693721156695879E-2</v>
      </c>
      <c r="I76" s="120">
        <f>Financials!F55/Financials!$F$88</f>
        <v>9.0166975881261602E-2</v>
      </c>
      <c r="J76" s="13"/>
      <c r="K76" s="13"/>
      <c r="L76" s="13"/>
      <c r="M76" s="13"/>
      <c r="N76" s="63" t="s">
        <v>74</v>
      </c>
    </row>
    <row r="77" spans="1:14" ht="16" outlineLevel="1">
      <c r="B77" s="92" t="s">
        <v>75</v>
      </c>
      <c r="E77" s="121">
        <f>Financials!B56/Financials!$B$88</f>
        <v>9.4699397513139341E-2</v>
      </c>
      <c r="F77" s="122">
        <f>Financials!C56/Financials!$C$88</f>
        <v>0.14775592536560767</v>
      </c>
      <c r="G77" s="122">
        <f>Financials!D56/Financials!$D$88</f>
        <v>7.8763849052359267E-2</v>
      </c>
      <c r="H77" s="122">
        <f>Financials!E56/Financials!$E$88</f>
        <v>4.5246058963828557E-2</v>
      </c>
      <c r="I77" s="123">
        <f>Financials!F56/Financials!$F$88</f>
        <v>8.7227058655630088E-2</v>
      </c>
      <c r="J77" s="13"/>
      <c r="K77" s="13"/>
      <c r="L77" s="13"/>
      <c r="M77" s="13"/>
    </row>
    <row r="78" spans="1:14" ht="16" outlineLevel="1">
      <c r="B78" s="92" t="s">
        <v>76</v>
      </c>
      <c r="E78" s="121">
        <f>Financials!B57/Financials!$B$88</f>
        <v>6.5055762081784388E-3</v>
      </c>
      <c r="F78" s="122">
        <f>Financials!C57/Financials!$C$88</f>
        <v>4.8699661407679562E-3</v>
      </c>
      <c r="G78" s="122">
        <f>Financials!D57/Financials!$D$88</f>
        <v>2.8021483606096395E-2</v>
      </c>
      <c r="H78" s="122">
        <f>Financials!E57/Financials!$E$88</f>
        <v>4.0447662192867322E-2</v>
      </c>
      <c r="I78" s="123">
        <f>Financials!F57/Financials!$F$88</f>
        <v>2.9399172256315115E-3</v>
      </c>
      <c r="J78" s="13"/>
      <c r="K78" s="13"/>
      <c r="L78" s="13"/>
      <c r="M78" s="13"/>
    </row>
    <row r="79" spans="1:14" ht="16" outlineLevel="1">
      <c r="B79" s="92" t="s">
        <v>77</v>
      </c>
      <c r="E79" s="121">
        <f>Financials!B58/Financials!$B$88</f>
        <v>0.17672413793103448</v>
      </c>
      <c r="F79" s="122">
        <f>Financials!C58/Financials!$C$88</f>
        <v>0.18507312153303077</v>
      </c>
      <c r="G79" s="122">
        <f>Financials!D58/Financials!$D$88</f>
        <v>0.18124683651088241</v>
      </c>
      <c r="H79" s="122">
        <f>Financials!E58/Financials!$E$88</f>
        <v>0.16163540652299702</v>
      </c>
      <c r="I79" s="123">
        <f>Financials!F58/Financials!$F$88</f>
        <v>0.15952618809761668</v>
      </c>
      <c r="J79" s="13"/>
      <c r="K79" s="13"/>
      <c r="L79" s="13"/>
      <c r="M79" s="13"/>
    </row>
    <row r="80" spans="1:14" ht="16" outlineLevel="1">
      <c r="B80" s="92" t="s">
        <v>78</v>
      </c>
      <c r="E80" s="121">
        <f>Financials!B59/Financials!$B$88</f>
        <v>0.17672413793103448</v>
      </c>
      <c r="F80" s="122">
        <f>Financials!C59/Financials!$C$88</f>
        <v>0.18507312153303077</v>
      </c>
      <c r="G80" s="122">
        <f>Financials!D59/Financials!$D$88</f>
        <v>0.18124683651088241</v>
      </c>
      <c r="H80" s="122">
        <f>Financials!E59/Financials!$E$88</f>
        <v>0.16163540652299702</v>
      </c>
      <c r="I80" s="123">
        <f>Financials!F59/Financials!$F$88</f>
        <v>0.15952618809761668</v>
      </c>
      <c r="J80" s="13"/>
      <c r="K80" s="13"/>
      <c r="L80" s="13"/>
      <c r="M80" s="13"/>
    </row>
    <row r="81" spans="2:13" ht="16" outlineLevel="1">
      <c r="B81" s="92" t="s">
        <v>79</v>
      </c>
      <c r="E81" s="121">
        <f>Financials!B60/Financials!$B$88</f>
        <v>0.17893539289834637</v>
      </c>
      <c r="F81" s="122">
        <f>Financials!C60/Financials!$C$88</f>
        <v>0.18691736906562928</v>
      </c>
      <c r="G81" s="122">
        <f>Financials!D60/Financials!$D$88</f>
        <v>0.1832995894494123</v>
      </c>
      <c r="H81" s="122">
        <f>Financials!E60/Financials!$E$88</f>
        <v>0.16341363591458855</v>
      </c>
      <c r="I81" s="123">
        <f>Financials!F60/Financials!$F$88</f>
        <v>0.16146710432424718</v>
      </c>
      <c r="J81" s="13"/>
      <c r="K81" s="13"/>
      <c r="L81" s="13"/>
      <c r="M81" s="13"/>
    </row>
    <row r="82" spans="2:13" ht="16" outlineLevel="1">
      <c r="B82" s="92" t="s">
        <v>80</v>
      </c>
      <c r="E82" s="121">
        <f>Financials!B61/Financials!$B$88</f>
        <v>-2.2112549673118831E-3</v>
      </c>
      <c r="F82" s="122">
        <f>Financials!C61/Financials!$C$88</f>
        <v>-1.8442475325985159E-3</v>
      </c>
      <c r="G82" s="122">
        <f>Financials!D61/Financials!$D$88</f>
        <v>-2.0527529385298915E-3</v>
      </c>
      <c r="H82" s="122">
        <f>Financials!E61/Financials!$E$88</f>
        <v>-1.7782293915915154E-3</v>
      </c>
      <c r="I82" s="123">
        <f>Financials!F61/Financials!$F$88</f>
        <v>-1.9409162266305123E-3</v>
      </c>
      <c r="J82" s="13"/>
      <c r="K82" s="13"/>
      <c r="L82" s="13"/>
      <c r="M82" s="13"/>
    </row>
    <row r="83" spans="2:13" ht="16" outlineLevel="1">
      <c r="B83" s="92" t="s">
        <v>81</v>
      </c>
      <c r="E83" s="121">
        <f>Financials!B62/Financials!$B$88</f>
        <v>0</v>
      </c>
      <c r="F83" s="122">
        <f>Financials!C62/Financials!$C$88</f>
        <v>0</v>
      </c>
      <c r="G83" s="122">
        <f>Financials!D62/Financials!$D$88</f>
        <v>0</v>
      </c>
      <c r="H83" s="122">
        <f>Financials!E62/Financials!$E$88</f>
        <v>0</v>
      </c>
      <c r="I83" s="123">
        <f>Financials!F62/Financials!$F$88</f>
        <v>0</v>
      </c>
      <c r="J83" s="13"/>
      <c r="K83" s="13"/>
      <c r="L83" s="13"/>
      <c r="M83" s="13"/>
    </row>
    <row r="84" spans="2:13" ht="16" outlineLevel="1">
      <c r="B84" s="92" t="s">
        <v>82</v>
      </c>
      <c r="E84" s="121">
        <f>Financials!B63/Financials!$B$88</f>
        <v>9.934623766183823E-3</v>
      </c>
      <c r="F84" s="122">
        <f>Financials!C63/Financials!$C$88</f>
        <v>1.0330667819321375E-2</v>
      </c>
      <c r="G84" s="122">
        <f>Financials!D63/Financials!$D$88</f>
        <v>1.2499297002418312E-2</v>
      </c>
      <c r="H84" s="122">
        <f>Financials!E63/Financials!$E$88</f>
        <v>1.3195591120143388E-2</v>
      </c>
      <c r="I84" s="123">
        <f>Financials!F63/Financials!$F$88</f>
        <v>1.1788211788211789E-2</v>
      </c>
      <c r="J84" s="13"/>
      <c r="K84" s="13"/>
      <c r="L84" s="13"/>
      <c r="M84" s="13"/>
    </row>
    <row r="85" spans="2:13" ht="16" outlineLevel="1">
      <c r="B85" s="92" t="s">
        <v>83</v>
      </c>
      <c r="E85" s="121">
        <f>Financials!B64/Financials!$B$88</f>
        <v>9.934623766183823E-3</v>
      </c>
      <c r="F85" s="122">
        <f>Financials!C64/Financials!$C$88</f>
        <v>1.0330667819321375E-2</v>
      </c>
      <c r="G85" s="122">
        <f>Financials!D64/Financials!$D$88</f>
        <v>0</v>
      </c>
      <c r="H85" s="122">
        <f>Financials!E64/Financials!$E$88</f>
        <v>0</v>
      </c>
      <c r="I85" s="123">
        <f>Financials!F64/Financials!$F$88</f>
        <v>0</v>
      </c>
      <c r="J85" s="13"/>
      <c r="K85" s="13"/>
      <c r="L85" s="13"/>
      <c r="M85" s="13"/>
    </row>
    <row r="86" spans="2:13" ht="16" outlineLevel="1">
      <c r="B86" s="92" t="s">
        <v>84</v>
      </c>
      <c r="E86" s="121">
        <f>Financials!B65/Financials!$B$88</f>
        <v>3.6069093705935133E-2</v>
      </c>
      <c r="F86" s="122">
        <f>Financials!C65/Financials!$C$88</f>
        <v>1.122397521792378E-2</v>
      </c>
      <c r="G86" s="122">
        <f>Financials!D65/Financials!$D$88</f>
        <v>1.1838479275631291E-2</v>
      </c>
      <c r="H86" s="122">
        <f>Financials!E65/Financials!$E$88</f>
        <v>1.3449623890370747E-2</v>
      </c>
      <c r="I86" s="123">
        <f>Financials!F65/Financials!$F$88</f>
        <v>1.4100185528756958E-2</v>
      </c>
      <c r="J86" s="13"/>
      <c r="K86" s="13"/>
      <c r="L86" s="13"/>
      <c r="M86" s="13"/>
    </row>
    <row r="87" spans="2:13" ht="16" outlineLevel="1">
      <c r="B87" s="92" t="s">
        <v>85</v>
      </c>
      <c r="E87" s="121">
        <f>Financials!B66/Financials!$B$88</f>
        <v>3.6069093705935133E-2</v>
      </c>
      <c r="F87" s="122">
        <f>Financials!C66/Financials!$C$88</f>
        <v>1.122397521792378E-2</v>
      </c>
      <c r="G87" s="122">
        <f>Financials!D66/Financials!$D$88</f>
        <v>1.1838479275631291E-2</v>
      </c>
      <c r="H87" s="122">
        <f>Financials!E66/Financials!$E$88</f>
        <v>1.3449623890370747E-2</v>
      </c>
      <c r="I87" s="123">
        <f>Financials!F66/Financials!$F$88</f>
        <v>1.4100185528756958E-2</v>
      </c>
      <c r="J87" s="13"/>
      <c r="K87" s="13"/>
      <c r="L87" s="13"/>
      <c r="M87" s="13"/>
    </row>
    <row r="88" spans="2:13" ht="16" outlineLevel="1">
      <c r="B88" s="92" t="s">
        <v>86</v>
      </c>
      <c r="E88" s="121">
        <f>Financials!B67/Financials!$B$88</f>
        <v>0.32393282912447124</v>
      </c>
      <c r="F88" s="122">
        <f>Financials!C67/Financials!$C$88</f>
        <v>0.35925365607665155</v>
      </c>
      <c r="G88" s="122">
        <f>Financials!D67/Financials!$D$88</f>
        <v>0.31236994544738766</v>
      </c>
      <c r="H88" s="122">
        <f>Financials!E67/Financials!$E$88</f>
        <v>0.27397434269020704</v>
      </c>
      <c r="I88" s="123">
        <f>Financials!F67/Financials!$F$88</f>
        <v>0.27558156129584699</v>
      </c>
      <c r="J88" s="13"/>
      <c r="K88" s="13"/>
      <c r="L88" s="13"/>
      <c r="M88" s="13"/>
    </row>
    <row r="89" spans="2:13" ht="16" outlineLevel="1">
      <c r="B89" s="92" t="s">
        <v>87</v>
      </c>
      <c r="E89" s="121">
        <f>Financials!B68/Financials!$B$88</f>
        <v>0.56606524804512237</v>
      </c>
      <c r="F89" s="122">
        <f>Financials!C68/Financials!$C$88</f>
        <v>0.53363590519415027</v>
      </c>
      <c r="G89" s="122">
        <f>Financials!D68/Financials!$D$88</f>
        <v>0.54094257915752775</v>
      </c>
      <c r="H89" s="122">
        <f>Financials!E68/Financials!$E$88</f>
        <v>0.58220077056606967</v>
      </c>
      <c r="I89" s="123">
        <f>Financials!F68/Financials!$F$88</f>
        <v>0.58981018981018984</v>
      </c>
      <c r="J89" s="13"/>
      <c r="K89" s="13"/>
      <c r="L89" s="13"/>
      <c r="M89" s="13"/>
    </row>
    <row r="90" spans="2:13" ht="16" outlineLevel="1">
      <c r="B90" s="92" t="s">
        <v>88</v>
      </c>
      <c r="E90" s="121">
        <f>Financials!B69/Financials!$B$88</f>
        <v>1.044161004999359</v>
      </c>
      <c r="F90" s="122">
        <f>Financials!C69/Financials!$C$88</f>
        <v>0.98510193790072764</v>
      </c>
      <c r="G90" s="122">
        <f>Financials!D69/Financials!$D$88</f>
        <v>1.0008576570496597</v>
      </c>
      <c r="H90" s="122">
        <f>Financials!E69/Financials!$E$88</f>
        <v>1.0700848187193925</v>
      </c>
      <c r="I90" s="123">
        <f>Financials!F69/Financials!$F$88</f>
        <v>1.1052518909661766</v>
      </c>
      <c r="J90" s="13"/>
      <c r="K90" s="13"/>
      <c r="L90" s="13"/>
      <c r="M90" s="13"/>
    </row>
    <row r="91" spans="2:13" ht="16" outlineLevel="1">
      <c r="B91" s="92" t="s">
        <v>89</v>
      </c>
      <c r="E91" s="121">
        <f>Financials!B70/Financials!$B$88</f>
        <v>0.16578002820151264</v>
      </c>
      <c r="F91" s="122">
        <f>Financials!C70/Financials!$C$88</f>
        <v>0.15578128376918091</v>
      </c>
      <c r="G91" s="122">
        <f>Financials!D70/Financials!$D$88</f>
        <v>0.15605140318317304</v>
      </c>
      <c r="H91" s="122">
        <f>Financials!E70/Financials!$E$88</f>
        <v>0.16224226258520683</v>
      </c>
      <c r="I91" s="123">
        <f>Financials!F70/Financials!$F$88</f>
        <v>0.17575281860996148</v>
      </c>
      <c r="J91" s="13"/>
      <c r="K91" s="13"/>
      <c r="L91" s="13"/>
      <c r="M91" s="13"/>
    </row>
    <row r="92" spans="2:13" ht="16" outlineLevel="1">
      <c r="B92" s="92" t="s">
        <v>90</v>
      </c>
      <c r="E92" s="121">
        <f>Financials!B71/Financials!$B$88</f>
        <v>3.288039994872452E-2</v>
      </c>
      <c r="F92" s="122">
        <f>Financials!C71/Financials!$C$88</f>
        <v>3.0833513435631437E-2</v>
      </c>
      <c r="G92" s="122">
        <f>Financials!D71/Financials!$D$88</f>
        <v>3.0088296496260054E-2</v>
      </c>
      <c r="H92" s="122">
        <f>Financials!E71/Financials!$E$88</f>
        <v>3.0173447930338569E-2</v>
      </c>
      <c r="I92" s="123">
        <f>Financials!F71/Financials!$F$88</f>
        <v>3.0027115741401454E-2</v>
      </c>
      <c r="J92" s="13"/>
      <c r="K92" s="13"/>
      <c r="L92" s="13"/>
      <c r="M92" s="13"/>
    </row>
    <row r="93" spans="2:13" ht="16" outlineLevel="1">
      <c r="B93" s="92" t="s">
        <v>91</v>
      </c>
      <c r="E93" s="121">
        <f>Financials!B72/Financials!$B$88</f>
        <v>0.27736828611716446</v>
      </c>
      <c r="F93" s="122">
        <f>Financials!C72/Financials!$C$88</f>
        <v>0.26580217563576114</v>
      </c>
      <c r="G93" s="122">
        <f>Financials!D72/Financials!$D$88</f>
        <v>0.22699791912715819</v>
      </c>
      <c r="H93" s="122">
        <f>Financials!E72/Financials!$E$88</f>
        <v>0.24446420254879547</v>
      </c>
      <c r="I93" s="123">
        <f>Financials!F72/Financials!$F$88</f>
        <v>0.26395033537890683</v>
      </c>
      <c r="J93" s="13"/>
      <c r="K93" s="13"/>
      <c r="L93" s="13"/>
      <c r="M93" s="13"/>
    </row>
    <row r="94" spans="2:13" ht="16" outlineLevel="1">
      <c r="B94" s="92" t="s">
        <v>92</v>
      </c>
      <c r="E94" s="121">
        <f>Financials!B73/Financials!$B$88</f>
        <v>3.2816305601845917E-2</v>
      </c>
      <c r="F94" s="122">
        <f>Financials!C73/Financials!$C$88</f>
        <v>2.0430804697067935E-2</v>
      </c>
      <c r="G94" s="122">
        <f>Financials!D73/Financials!$D$88</f>
        <v>3.3870423485743206E-2</v>
      </c>
      <c r="H94" s="122">
        <f>Financials!E73/Financials!$E$88</f>
        <v>4.582468916267976E-2</v>
      </c>
      <c r="I94" s="123">
        <f>Financials!F73/Financials!$F$88</f>
        <v>2.8071928071928071E-2</v>
      </c>
      <c r="J94" s="13"/>
      <c r="K94" s="13"/>
      <c r="L94" s="13"/>
      <c r="M94" s="13"/>
    </row>
    <row r="95" spans="2:13" ht="16" outlineLevel="1">
      <c r="B95" s="92" t="s">
        <v>93</v>
      </c>
      <c r="E95" s="121">
        <f>Financials!B74/Financials!$B$88</f>
        <v>0</v>
      </c>
      <c r="F95" s="122">
        <f>Financials!C74/Financials!$C$88</f>
        <v>0</v>
      </c>
      <c r="G95" s="122">
        <f>Financials!D74/Financials!$D$88</f>
        <v>3.3898543389010743E-2</v>
      </c>
      <c r="H95" s="122">
        <f>Financials!E74/Financials!$E$88</f>
        <v>3.7483946540214801E-2</v>
      </c>
      <c r="I95" s="123">
        <f>Financials!F74/Financials!$F$88</f>
        <v>3.9032396175253316E-2</v>
      </c>
      <c r="J95" s="13"/>
      <c r="K95" s="13"/>
      <c r="L95" s="13"/>
      <c r="M95" s="13"/>
    </row>
    <row r="96" spans="2:13" ht="16" outlineLevel="1">
      <c r="B96" s="92" t="s">
        <v>94</v>
      </c>
      <c r="E96" s="121">
        <f>Financials!B75/Financials!$B$88</f>
        <v>0.48607550314062298</v>
      </c>
      <c r="F96" s="122">
        <f>Financials!C75/Financials!$C$88</f>
        <v>0.46093220949499314</v>
      </c>
      <c r="G96" s="122">
        <f>Financials!D75/Financials!$D$88</f>
        <v>0.46715595298352175</v>
      </c>
      <c r="H96" s="122">
        <f>Financials!E75/Financials!$E$88</f>
        <v>0.48909776027774249</v>
      </c>
      <c r="I96" s="123">
        <f>Financials!F75/Financials!$F$88</f>
        <v>0.50920508063365211</v>
      </c>
      <c r="J96" s="13"/>
      <c r="K96" s="13"/>
      <c r="L96" s="13"/>
      <c r="M96" s="13"/>
    </row>
    <row r="97" spans="2:13" ht="16" outlineLevel="1">
      <c r="B97" s="92" t="s">
        <v>95</v>
      </c>
      <c r="E97" s="121">
        <f>Financials!B76/Financials!$B$88</f>
        <v>4.9240481989488528E-2</v>
      </c>
      <c r="F97" s="122">
        <f>Financials!C76/Financials!$C$88</f>
        <v>5.1321950868093075E-2</v>
      </c>
      <c r="G97" s="122">
        <f>Financials!D76/Financials!$D$88</f>
        <v>5.2795118384792755E-2</v>
      </c>
      <c r="H97" s="122">
        <f>Financials!E76/Financials!$E$88</f>
        <v>6.0798509674414664E-2</v>
      </c>
      <c r="I97" s="123">
        <f>Financials!F76/Financials!$F$88</f>
        <v>5.9212216355073496E-2</v>
      </c>
      <c r="J97" s="13"/>
      <c r="K97" s="13"/>
      <c r="L97" s="13"/>
      <c r="M97" s="13"/>
    </row>
    <row r="98" spans="2:13" ht="16" outlineLevel="1">
      <c r="B98" s="92" t="s">
        <v>96</v>
      </c>
      <c r="E98" s="121">
        <f>Financials!B77/Financials!$B$88</f>
        <v>0.47809575695423662</v>
      </c>
      <c r="F98" s="122">
        <f>Financials!C77/Financials!$C$88</f>
        <v>0.45146603270657731</v>
      </c>
      <c r="G98" s="122">
        <f>Financials!D77/Financials!$D$88</f>
        <v>0.45991507789213204</v>
      </c>
      <c r="H98" s="122">
        <f>Financials!E77/Financials!$E$88</f>
        <v>0.48788404815332287</v>
      </c>
      <c r="I98" s="123">
        <f>Financials!F77/Financials!$F$88</f>
        <v>0.51544170115598686</v>
      </c>
      <c r="J98" s="13"/>
      <c r="K98" s="13"/>
      <c r="L98" s="13"/>
      <c r="M98" s="13"/>
    </row>
    <row r="99" spans="2:13" ht="16" outlineLevel="1">
      <c r="B99" s="92" t="s">
        <v>97</v>
      </c>
      <c r="E99" s="121">
        <f>Financials!B78/Financials!$B$88</f>
        <v>4.0058966799128319E-4</v>
      </c>
      <c r="F99" s="122">
        <f>Financials!C78/Financials!$C$88</f>
        <v>3.7461278005907357E-4</v>
      </c>
      <c r="G99" s="122">
        <f>Financials!D78/Financials!$D$88</f>
        <v>7.8032731567403407E-3</v>
      </c>
      <c r="H99" s="122">
        <f>Financials!E78/Financials!$E$88</f>
        <v>5.9838830320222422E-3</v>
      </c>
      <c r="I99" s="123">
        <f>Financials!F78/Financials!$F$88</f>
        <v>7.1214499785928354E-3</v>
      </c>
      <c r="J99" s="13"/>
      <c r="K99" s="13"/>
      <c r="L99" s="13"/>
      <c r="M99" s="13"/>
    </row>
    <row r="100" spans="2:13" ht="16" outlineLevel="1">
      <c r="B100" s="92" t="s">
        <v>98</v>
      </c>
      <c r="E100" s="121">
        <f>Financials!B79/Financials!$B$88</f>
        <v>0</v>
      </c>
      <c r="F100" s="122">
        <f>Financials!C79/Financials!$C$88</f>
        <v>0</v>
      </c>
      <c r="G100" s="122">
        <f>Financials!D79/Financials!$D$88</f>
        <v>3.5993476182441934E-3</v>
      </c>
      <c r="H100" s="122">
        <f>Financials!E79/Financials!$E$88</f>
        <v>4.1633148453928334E-3</v>
      </c>
      <c r="I100" s="123">
        <f>Financials!F79/Financials!$F$88</f>
        <v>4.3385186242329097E-3</v>
      </c>
      <c r="J100" s="13"/>
      <c r="K100" s="13"/>
      <c r="L100" s="13"/>
      <c r="M100" s="13"/>
    </row>
    <row r="101" spans="2:13" ht="16" outlineLevel="1">
      <c r="B101" s="92" t="s">
        <v>99</v>
      </c>
      <c r="E101" s="121">
        <f>Financials!B80/Financials!$B$88</f>
        <v>4.0058966799128319E-4</v>
      </c>
      <c r="F101" s="122">
        <f>Financials!C80/Financials!$C$88</f>
        <v>3.7461278005907357E-4</v>
      </c>
      <c r="G101" s="122">
        <f>Financials!D80/Financials!$D$88</f>
        <v>4.2039255384961477E-3</v>
      </c>
      <c r="H101" s="122">
        <f>Financials!E80/Financials!$E$88</f>
        <v>1.8205681866294086E-3</v>
      </c>
      <c r="I101" s="123">
        <f>Financials!F80/Financials!$F$88</f>
        <v>2.7829313543599257E-3</v>
      </c>
      <c r="J101" s="13"/>
      <c r="K101" s="13"/>
      <c r="L101" s="13"/>
      <c r="M101" s="13"/>
    </row>
    <row r="102" spans="2:13" ht="16" outlineLevel="1">
      <c r="B102" s="92" t="s">
        <v>100</v>
      </c>
      <c r="E102" s="121">
        <f>Financials!B81/Financials!$B$88</f>
        <v>9.038905268555314E-2</v>
      </c>
      <c r="F102" s="122">
        <f>Financials!C81/Financials!$C$88</f>
        <v>8.9013759815575244E-2</v>
      </c>
      <c r="G102" s="122">
        <f>Financials!D81/Financials!$D$88</f>
        <v>9.868680051740622E-2</v>
      </c>
      <c r="H102" s="122">
        <f>Financials!E81/Financials!$E$88</f>
        <v>0.11540144234161763</v>
      </c>
      <c r="I102" s="123">
        <f>Financials!F81/Financials!$F$88</f>
        <v>0.1050949050949051</v>
      </c>
      <c r="J102" s="13"/>
      <c r="K102" s="13"/>
      <c r="L102" s="13"/>
      <c r="M102" s="13"/>
    </row>
    <row r="103" spans="2:13" ht="16" outlineLevel="1">
      <c r="B103" s="92" t="s">
        <v>101</v>
      </c>
      <c r="E103" s="121">
        <f>Financials!B82/Financials!$B$88</f>
        <v>5.3951416485066017E-2</v>
      </c>
      <c r="F103" s="122">
        <f>Financials!C82/Financials!$C$88</f>
        <v>5.3195014768388442E-2</v>
      </c>
      <c r="G103" s="122">
        <f>Financials!D82/Financials!$D$88</f>
        <v>5.9375175749395423E-2</v>
      </c>
      <c r="H103" s="122">
        <f>Financials!E82/Financials!$E$88</f>
        <v>6.875820314153859E-2</v>
      </c>
      <c r="I103" s="123">
        <f>Financials!F82/Financials!$F$88</f>
        <v>6.1367204224347084E-2</v>
      </c>
      <c r="J103" s="13"/>
      <c r="K103" s="13"/>
      <c r="L103" s="13"/>
      <c r="M103" s="13"/>
    </row>
    <row r="104" spans="2:13" ht="16" outlineLevel="1">
      <c r="B104" s="92" t="s">
        <v>102</v>
      </c>
      <c r="E104" s="121">
        <f>Financials!B83/Financials!$B$88</f>
        <v>3.6437636200487115E-2</v>
      </c>
      <c r="F104" s="122">
        <f>Financials!C83/Financials!$C$88</f>
        <v>3.5818745047186802E-2</v>
      </c>
      <c r="G104" s="122">
        <f>Financials!D83/Financials!$D$88</f>
        <v>3.9311624768010797E-2</v>
      </c>
      <c r="H104" s="122">
        <f>Financials!E83/Financials!$E$88</f>
        <v>4.6643239200079033E-2</v>
      </c>
      <c r="I104" s="123">
        <f>Financials!F83/Financials!$F$88</f>
        <v>4.3727700870558016E-2</v>
      </c>
      <c r="J104" s="13"/>
      <c r="K104" s="13"/>
      <c r="L104" s="13"/>
      <c r="M104" s="13"/>
    </row>
    <row r="105" spans="2:13" ht="16" outlineLevel="1">
      <c r="B105" s="92" t="s">
        <v>103</v>
      </c>
      <c r="E105" s="121">
        <f>Financials!B84/Financials!$B$88</f>
        <v>8.4444302012562488E-3</v>
      </c>
      <c r="F105" s="122">
        <f>Financials!C84/Financials!$C$88</f>
        <v>2.5358403573229596E-3</v>
      </c>
      <c r="G105" s="122">
        <f>Financials!D84/Financials!$D$88</f>
        <v>1.9543332770935269E-3</v>
      </c>
      <c r="H105" s="122">
        <f>Financials!E84/Financials!$E$88</f>
        <v>1.7782293915915154E-3</v>
      </c>
      <c r="I105" s="123">
        <f>Financials!F84/Financials!$F$88</f>
        <v>1.5984015984015984E-3</v>
      </c>
      <c r="J105" s="13"/>
      <c r="K105" s="13"/>
      <c r="L105" s="13"/>
      <c r="M105" s="13"/>
    </row>
    <row r="106" spans="2:13" ht="16" outlineLevel="1">
      <c r="B106" s="92" t="s">
        <v>104</v>
      </c>
      <c r="E106" s="121">
        <f>Financials!B85/Financials!$B$88</f>
        <v>1.0767850275605692E-2</v>
      </c>
      <c r="F106" s="122">
        <f>Financials!C85/Financials!$C$88</f>
        <v>1.5186225776240904E-2</v>
      </c>
      <c r="G106" s="122">
        <f>Financials!D85/Financials!$D$88</f>
        <v>3.8243068443844556E-2</v>
      </c>
      <c r="H106" s="122">
        <f>Financials!E85/Financials!$E$88</f>
        <v>2.0661331978491893E-2</v>
      </c>
      <c r="I106" s="123">
        <f>Financials!F85/Financials!$F$88</f>
        <v>2.0793492222063649E-2</v>
      </c>
      <c r="J106" s="13"/>
      <c r="K106" s="13"/>
      <c r="L106" s="13"/>
      <c r="M106" s="13"/>
    </row>
    <row r="107" spans="2:13" ht="16" outlineLevel="1">
      <c r="B107" s="92" t="s">
        <v>105</v>
      </c>
      <c r="E107" s="121">
        <f>Financials!B86/Financials!$B$88</f>
        <v>0</v>
      </c>
      <c r="F107" s="122">
        <f>Financials!C86/Financials!$C$88</f>
        <v>0</v>
      </c>
      <c r="G107" s="122">
        <f>Financials!D86/Financials!$D$88</f>
        <v>2.5645351779989878E-2</v>
      </c>
      <c r="H107" s="122">
        <f>Financials!E86/Financials!$E$88</f>
        <v>7.1975951564418475E-3</v>
      </c>
      <c r="I107" s="123">
        <f>Financials!F86/Financials!$F$88</f>
        <v>6.8502925645782791E-3</v>
      </c>
      <c r="J107" s="13"/>
      <c r="K107" s="13"/>
      <c r="L107" s="13"/>
      <c r="M107" s="13"/>
    </row>
    <row r="108" spans="2:13" ht="16" outlineLevel="1">
      <c r="B108" s="92" t="s">
        <v>106</v>
      </c>
      <c r="E108" s="121">
        <f>Financials!B87/Financials!$B$88</f>
        <v>1.0767850275605692E-2</v>
      </c>
      <c r="F108" s="122">
        <f>Financials!C87/Financials!$C$88</f>
        <v>1.5186225776240904E-2</v>
      </c>
      <c r="G108" s="122">
        <f>Financials!D87/Financials!$D$88</f>
        <v>1.2597716663854676E-2</v>
      </c>
      <c r="H108" s="122">
        <f>Financials!E87/Financials!$E$88</f>
        <v>1.3463736822050045E-2</v>
      </c>
      <c r="I108" s="123">
        <f>Financials!F87/Financials!$F$88</f>
        <v>1.3943199657485372E-2</v>
      </c>
      <c r="J108" s="13"/>
      <c r="K108" s="13"/>
      <c r="L108" s="13"/>
      <c r="M108" s="13"/>
    </row>
    <row r="109" spans="2:13" ht="16" outlineLevel="1">
      <c r="B109" s="49" t="s">
        <v>107</v>
      </c>
      <c r="E109" s="121">
        <f>Financials!B88/Financials!$B$88</f>
        <v>1</v>
      </c>
      <c r="F109" s="122">
        <f>Financials!C88/Financials!$C$88</f>
        <v>1</v>
      </c>
      <c r="G109" s="122">
        <f>Financials!D88/Financials!$D$88</f>
        <v>1</v>
      </c>
      <c r="H109" s="122">
        <f>Financials!E88/Financials!$E$88</f>
        <v>1</v>
      </c>
      <c r="I109" s="123">
        <f>Financials!F88/Financials!$F$88</f>
        <v>1</v>
      </c>
      <c r="J109" s="13"/>
      <c r="K109" s="13"/>
      <c r="L109" s="13"/>
      <c r="M109" s="13"/>
    </row>
    <row r="110" spans="2:13" ht="16" outlineLevel="1">
      <c r="B110" s="92" t="s">
        <v>108</v>
      </c>
      <c r="E110" s="121">
        <f>Financials!B89/Financials!$B$88</f>
        <v>5.1003076528650174E-2</v>
      </c>
      <c r="F110" s="122">
        <f>Financials!C89/Financials!$C$88</f>
        <v>3.9060586413082632E-2</v>
      </c>
      <c r="G110" s="122">
        <f>Financials!D89/Financials!$D$88</f>
        <v>4.1645576739216018E-2</v>
      </c>
      <c r="H110" s="122">
        <f>Financials!E89/Financials!$E$88</f>
        <v>5.7256163822910933E-2</v>
      </c>
      <c r="I110" s="123">
        <f>Financials!F89/Financials!$F$88</f>
        <v>3.6691879549022408E-2</v>
      </c>
      <c r="J110" s="13"/>
      <c r="K110" s="13"/>
      <c r="L110" s="13"/>
      <c r="M110" s="13"/>
    </row>
    <row r="111" spans="2:13" ht="16" outlineLevel="1">
      <c r="B111" s="92" t="s">
        <v>109</v>
      </c>
      <c r="E111" s="121">
        <f>Financials!B90/Financials!$B$88</f>
        <v>0.10343225227534932</v>
      </c>
      <c r="F111" s="122">
        <f>Financials!C90/Financials!$C$88</f>
        <v>0.10839276709170809</v>
      </c>
      <c r="G111" s="122">
        <f>Financials!D90/Financials!$D$88</f>
        <v>0.10561835667285305</v>
      </c>
      <c r="H111" s="122">
        <f>Financials!E90/Financials!$E$88</f>
        <v>8.9475986846747679E-2</v>
      </c>
      <c r="I111" s="123">
        <f>Financials!F90/Financials!$F$88</f>
        <v>8.9938632795775658E-2</v>
      </c>
      <c r="J111" s="13"/>
      <c r="K111" s="13"/>
      <c r="L111" s="13"/>
      <c r="M111" s="13"/>
    </row>
    <row r="112" spans="2:13" ht="16" outlineLevel="1">
      <c r="B112" s="92" t="s">
        <v>110</v>
      </c>
      <c r="E112" s="121">
        <f>Financials!B91/Financials!$B$88</f>
        <v>0.11822202281758749</v>
      </c>
      <c r="F112" s="122">
        <f>Financials!C91/Financials!$C$88</f>
        <v>0.10568402852820402</v>
      </c>
      <c r="G112" s="122">
        <f>Financials!D91/Financials!$D$88</f>
        <v>0.10778358922445307</v>
      </c>
      <c r="H112" s="122">
        <f>Financials!E91/Financials!$E$88</f>
        <v>0.10272802969360825</v>
      </c>
      <c r="I112" s="123">
        <f>Financials!F91/Financials!$F$88</f>
        <v>0.10800627943485086</v>
      </c>
      <c r="J112" s="13"/>
      <c r="K112" s="13"/>
      <c r="L112" s="13"/>
      <c r="M112" s="13"/>
    </row>
    <row r="113" spans="2:13" ht="16" outlineLevel="1">
      <c r="B113" s="92" t="s">
        <v>111</v>
      </c>
      <c r="E113" s="121">
        <f>Financials!B92/Financials!$B$88</f>
        <v>7.2042045891552359E-2</v>
      </c>
      <c r="F113" s="122">
        <f>Financials!C92/Financials!$C$88</f>
        <v>6.9980548951804625E-2</v>
      </c>
      <c r="G113" s="122">
        <f>Financials!D92/Financials!$D$88</f>
        <v>7.2689949946572185E-2</v>
      </c>
      <c r="H113" s="122">
        <f>Financials!E92/Financials!$E$88</f>
        <v>6.6373117687737279E-2</v>
      </c>
      <c r="I113" s="123">
        <f>Financials!F92/Financials!$F$88</f>
        <v>7.1999429142286284E-2</v>
      </c>
      <c r="J113" s="13"/>
      <c r="K113" s="13"/>
      <c r="L113" s="13"/>
      <c r="M113" s="13"/>
    </row>
    <row r="114" spans="2:13" ht="16" outlineLevel="1">
      <c r="B114" s="92" t="s">
        <v>112</v>
      </c>
      <c r="E114" s="121">
        <f>Financials!B93/Financials!$B$88</f>
        <v>4.6179976926035121E-2</v>
      </c>
      <c r="F114" s="122">
        <f>Financials!C93/Financials!$C$88</f>
        <v>3.5703479576399397E-2</v>
      </c>
      <c r="G114" s="122">
        <f>Financials!D93/Financials!$D$88</f>
        <v>3.5093639277880881E-2</v>
      </c>
      <c r="H114" s="122">
        <f>Financials!E93/Financials!$E$88</f>
        <v>3.635491200587098E-2</v>
      </c>
      <c r="I114" s="123">
        <f>Financials!F93/Financials!$F$88</f>
        <v>3.6006850292564577E-2</v>
      </c>
      <c r="J114" s="13"/>
      <c r="K114" s="13"/>
      <c r="L114" s="13"/>
      <c r="M114" s="13"/>
    </row>
    <row r="115" spans="2:13" ht="16" outlineLevel="1">
      <c r="B115" s="92" t="s">
        <v>113</v>
      </c>
      <c r="E115" s="121">
        <f>Financials!B94/Financials!$B$88</f>
        <v>0.272657351621587</v>
      </c>
      <c r="F115" s="122">
        <f>Financials!C94/Financials!$C$88</f>
        <v>0.25313738203299474</v>
      </c>
      <c r="G115" s="122">
        <f>Financials!D94/Financials!$D$88</f>
        <v>0.25504752263652214</v>
      </c>
      <c r="H115" s="122">
        <f>Financials!E94/Financials!$E$88</f>
        <v>0.24946018036326686</v>
      </c>
      <c r="I115" s="123">
        <f>Financials!F94/Financials!$F$88</f>
        <v>0.23463679177964891</v>
      </c>
      <c r="J115" s="13"/>
      <c r="K115" s="13"/>
      <c r="L115" s="13"/>
      <c r="M115" s="13"/>
    </row>
    <row r="116" spans="2:13" ht="16" outlineLevel="1">
      <c r="B116" s="92" t="s">
        <v>114</v>
      </c>
      <c r="E116" s="121">
        <f>Financials!B95/Financials!$B$88</f>
        <v>0.39371554928855274</v>
      </c>
      <c r="F116" s="122">
        <f>Financials!C95/Financials!$C$88</f>
        <v>0.3287515308695339</v>
      </c>
      <c r="G116" s="122">
        <f>Financials!D95/Financials!$D$88</f>
        <v>0.289058545638603</v>
      </c>
      <c r="H116" s="122">
        <f>Financials!E95/Financials!$E$88</f>
        <v>0.31996838703303837</v>
      </c>
      <c r="I116" s="123">
        <f>Financials!F95/Financials!$F$88</f>
        <v>0.3293991722563151</v>
      </c>
      <c r="J116" s="13"/>
      <c r="K116" s="13"/>
      <c r="L116" s="13"/>
      <c r="M116" s="13"/>
    </row>
    <row r="117" spans="2:13" ht="16" outlineLevel="1">
      <c r="B117" s="92" t="s">
        <v>115</v>
      </c>
      <c r="E117" s="121">
        <f>Financials!B96/Financials!$B$88</f>
        <v>0.3484328932188181</v>
      </c>
      <c r="F117" s="122">
        <f>Financials!C96/Financials!$C$88</f>
        <v>0.2810316259635473</v>
      </c>
      <c r="G117" s="122">
        <f>Financials!D96/Financials!$D$88</f>
        <v>0.23934255666160509</v>
      </c>
      <c r="H117" s="122">
        <f>Financials!E96/Financials!$E$88</f>
        <v>0.26176665678761452</v>
      </c>
      <c r="I117" s="123">
        <f>Financials!F96/Financials!$F$88</f>
        <v>0.27251320108462967</v>
      </c>
      <c r="J117" s="13"/>
      <c r="K117" s="13"/>
      <c r="L117" s="13"/>
      <c r="M117" s="13"/>
    </row>
    <row r="118" spans="2:13" ht="16" outlineLevel="1">
      <c r="B118" s="92" t="s">
        <v>116</v>
      </c>
      <c r="E118" s="121">
        <f>Financials!B97/Financials!$B$88</f>
        <v>4.5282656069734646E-2</v>
      </c>
      <c r="F118" s="122">
        <f>Financials!C97/Financials!$C$88</f>
        <v>4.7719904905986599E-2</v>
      </c>
      <c r="G118" s="122">
        <f>Financials!D97/Financials!$D$88</f>
        <v>4.9715988976997916E-2</v>
      </c>
      <c r="H118" s="122">
        <f>Financials!E97/Financials!$E$88</f>
        <v>5.8201730245423883E-2</v>
      </c>
      <c r="I118" s="123">
        <f>Financials!F97/Financials!$F$88</f>
        <v>5.6885971171685458E-2</v>
      </c>
      <c r="J118" s="13"/>
      <c r="K118" s="13"/>
      <c r="L118" s="13"/>
      <c r="M118" s="13"/>
    </row>
    <row r="119" spans="2:13" ht="16" outlineLevel="1">
      <c r="B119" s="92" t="s">
        <v>117</v>
      </c>
      <c r="E119" s="121">
        <f>Financials!B98/Financials!$B$88</f>
        <v>0.26685681322907318</v>
      </c>
      <c r="F119" s="122">
        <f>Financials!C98/Financials!$C$88</f>
        <v>0.12790144802247677</v>
      </c>
      <c r="G119" s="122">
        <f>Financials!D98/Financials!$D$88</f>
        <v>7.9129407794837181E-2</v>
      </c>
      <c r="H119" s="122">
        <f>Financials!E98/Financials!$E$88</f>
        <v>9.8395359668063842E-2</v>
      </c>
      <c r="I119" s="123">
        <f>Financials!F98/Financials!$F$88</f>
        <v>0.10936206650492365</v>
      </c>
      <c r="J119" s="13"/>
      <c r="K119" s="13"/>
      <c r="L119" s="13"/>
      <c r="M119" s="13"/>
    </row>
    <row r="120" spans="2:13" ht="16" outlineLevel="1">
      <c r="B120" s="92" t="s">
        <v>118</v>
      </c>
      <c r="E120" s="121">
        <f>Financials!B99/Financials!$B$88</f>
        <v>7.8195103191898482E-3</v>
      </c>
      <c r="F120" s="122">
        <f>Financials!C99/Financials!$C$88</f>
        <v>4.5025574526330957E-2</v>
      </c>
      <c r="G120" s="122">
        <f>Financials!D99/Financials!$D$88</f>
        <v>6.048591192846297E-2</v>
      </c>
      <c r="H120" s="122">
        <f>Financials!E99/Financials!$E$88</f>
        <v>5.3233978294311077E-2</v>
      </c>
      <c r="I120" s="123">
        <f>Financials!F99/Financials!$F$88</f>
        <v>5.1305837020122737E-2</v>
      </c>
      <c r="J120" s="13"/>
      <c r="K120" s="13"/>
      <c r="L120" s="13"/>
      <c r="M120" s="13"/>
    </row>
    <row r="121" spans="2:13" ht="16" outlineLevel="1">
      <c r="B121" s="92" t="s">
        <v>119</v>
      </c>
      <c r="E121" s="121">
        <f>Financials!B100/Financials!$B$88</f>
        <v>4.8230996026150497E-2</v>
      </c>
      <c r="F121" s="122">
        <f>Financials!C100/Financials!$C$88</f>
        <v>3.959368921547439E-2</v>
      </c>
      <c r="G121" s="122">
        <f>Financials!D100/Financials!$D$88</f>
        <v>3.7849389798099098E-2</v>
      </c>
      <c r="H121" s="122">
        <f>Financials!E100/Financials!$E$88</f>
        <v>3.4590795545958765E-2</v>
      </c>
      <c r="I121" s="123">
        <f>Financials!F100/Financials!$F$88</f>
        <v>3.6349364920793492E-2</v>
      </c>
      <c r="J121" s="13"/>
      <c r="K121" s="13"/>
      <c r="L121" s="13"/>
      <c r="M121" s="13"/>
    </row>
    <row r="122" spans="2:13" ht="16" outlineLevel="1">
      <c r="B122" s="92" t="s">
        <v>120</v>
      </c>
      <c r="E122" s="121">
        <f>Financials!B101/Financials!$B$88</f>
        <v>4.7814382771439561E-2</v>
      </c>
      <c r="F122" s="122">
        <f>Financials!C101/Financials!$C$88</f>
        <v>3.9233484619263743E-2</v>
      </c>
      <c r="G122" s="122">
        <f>Financials!D101/Financials!$D$88</f>
        <v>3.748383105562117E-2</v>
      </c>
      <c r="H122" s="122">
        <f>Financials!E101/Financials!$E$88</f>
        <v>3.4237972253976318E-2</v>
      </c>
      <c r="I122" s="123">
        <f>Financials!F101/Financials!$F$88</f>
        <v>3.5964035964035967E-2</v>
      </c>
      <c r="J122" s="13"/>
      <c r="K122" s="13"/>
      <c r="L122" s="13"/>
      <c r="M122" s="13"/>
    </row>
    <row r="123" spans="2:13" ht="16" outlineLevel="1">
      <c r="B123" s="92" t="s">
        <v>121</v>
      </c>
      <c r="E123" s="121">
        <f>Financials!B102/Financials!$B$88</f>
        <v>4.166132547109345E-4</v>
      </c>
      <c r="F123" s="122">
        <f>Financials!C102/Financials!$C$88</f>
        <v>3.6020459621064767E-4</v>
      </c>
      <c r="G123" s="122">
        <f>Financials!D102/Financials!$D$88</f>
        <v>3.6555874247792586E-4</v>
      </c>
      <c r="H123" s="122">
        <f>Financials!E102/Financials!$E$88</f>
        <v>3.5282329198244353E-4</v>
      </c>
      <c r="I123" s="123">
        <f>Financials!F102/Financials!$F$88</f>
        <v>3.8532895675752818E-4</v>
      </c>
      <c r="J123" s="13"/>
      <c r="K123" s="13"/>
      <c r="L123" s="13"/>
      <c r="M123" s="13"/>
    </row>
    <row r="124" spans="2:13" ht="16" outlineLevel="1">
      <c r="B124" s="92" t="s">
        <v>122</v>
      </c>
      <c r="E124" s="121">
        <f>Financials!B103/Financials!$B$88</f>
        <v>0.98928022048455322</v>
      </c>
      <c r="F124" s="122">
        <f>Financials!C103/Financials!$C$88</f>
        <v>0.79440962466681075</v>
      </c>
      <c r="G124" s="122">
        <f>Financials!D103/Financials!$D$88</f>
        <v>0.72157077779652434</v>
      </c>
      <c r="H124" s="122">
        <f>Financials!E103/Financials!$E$88</f>
        <v>0.75564870090463887</v>
      </c>
      <c r="I124" s="123">
        <f>Financials!F103/Financials!$F$88</f>
        <v>0.7610532324818039</v>
      </c>
      <c r="J124" s="13"/>
      <c r="K124" s="13"/>
      <c r="L124" s="13"/>
      <c r="M124" s="13"/>
    </row>
    <row r="125" spans="2:13" ht="16" outlineLevel="1">
      <c r="B125" s="92" t="s">
        <v>123</v>
      </c>
      <c r="E125" s="121">
        <f>Financials!B104/Financials!$B$88</f>
        <v>1.0527496474810922E-2</v>
      </c>
      <c r="F125" s="122">
        <f>Financials!C104/Financials!$C$88</f>
        <v>0.20535984439161445</v>
      </c>
      <c r="G125" s="122">
        <f>Financials!D104/Financials!$D$88</f>
        <v>0.27819020302570158</v>
      </c>
      <c r="H125" s="122">
        <f>Financials!E104/Financials!$E$88</f>
        <v>0.2442383956419267</v>
      </c>
      <c r="I125" s="123">
        <f>Financials!F104/Financials!$F$88</f>
        <v>0.23858998144712432</v>
      </c>
      <c r="J125" s="13"/>
      <c r="K125" s="13"/>
      <c r="L125" s="13"/>
      <c r="M125" s="13"/>
    </row>
    <row r="126" spans="2:13" ht="16" outlineLevel="1">
      <c r="B126" s="92" t="s">
        <v>124</v>
      </c>
      <c r="E126" s="121">
        <f>Financials!B105/Financials!$B$88</f>
        <v>1.4421228047686193E-4</v>
      </c>
      <c r="F126" s="122">
        <f>Financials!C105/Financials!$C$88</f>
        <v>1.2967365463583316E-4</v>
      </c>
      <c r="G126" s="122">
        <f>Financials!D105/Financials!$D$88</f>
        <v>1.2653956470389742E-4</v>
      </c>
      <c r="H126" s="122">
        <f>Financials!E105/Financials!$E$88</f>
        <v>1.2701638511367967E-4</v>
      </c>
      <c r="I126" s="123">
        <f>Financials!F105/Financials!$F$88</f>
        <v>1.2844298558584272E-4</v>
      </c>
      <c r="J126" s="13"/>
      <c r="K126" s="13"/>
      <c r="L126" s="13"/>
      <c r="M126" s="13"/>
    </row>
    <row r="127" spans="2:13" ht="16" outlineLevel="1">
      <c r="B127" s="92" t="s">
        <v>125</v>
      </c>
      <c r="E127" s="121">
        <f>Financials!B106/Financials!$B$88</f>
        <v>1.3860402512498397E-2</v>
      </c>
      <c r="F127" s="122">
        <f>Financials!C106/Financials!$C$88</f>
        <v>1.9350190908435993E-2</v>
      </c>
      <c r="G127" s="122">
        <f>Financials!D106/Financials!$D$88</f>
        <v>0</v>
      </c>
      <c r="H127" s="122">
        <f>Financials!E106/Financials!$E$88</f>
        <v>0</v>
      </c>
      <c r="I127" s="123">
        <f>Financials!F106/Financials!$F$88</f>
        <v>1.9409162266305123E-3</v>
      </c>
      <c r="J127" s="13"/>
      <c r="K127" s="13"/>
      <c r="L127" s="13"/>
      <c r="M127" s="13"/>
    </row>
    <row r="128" spans="2:13" ht="16" outlineLevel="1">
      <c r="B128" s="92" t="s">
        <v>126</v>
      </c>
      <c r="E128" s="121">
        <f>Financials!B107/Financials!$B$88</f>
        <v>0.11049865401871554</v>
      </c>
      <c r="F128" s="122">
        <f>Financials!C107/Financials!$C$88</f>
        <v>0.23311000648368274</v>
      </c>
      <c r="G128" s="122">
        <f>Financials!D107/Financials!$D$88</f>
        <v>0.29984252854170179</v>
      </c>
      <c r="H128" s="122">
        <f>Financials!E107/Financials!$E$88</f>
        <v>0.29714777650761393</v>
      </c>
      <c r="I128" s="123">
        <f>Financials!F107/Financials!$F$88</f>
        <v>0.29801626944484089</v>
      </c>
      <c r="J128" s="13"/>
      <c r="K128" s="13"/>
      <c r="L128" s="13"/>
      <c r="M128" s="13"/>
    </row>
    <row r="129" spans="1:13" ht="16" outlineLevel="1">
      <c r="B129" s="92" t="s">
        <v>127</v>
      </c>
      <c r="E129" s="121">
        <f>Financials!B108/Financials!$B$88</f>
        <v>-1.5719138571977952E-2</v>
      </c>
      <c r="F129" s="122">
        <f>Financials!C108/Financials!$C$88</f>
        <v>-1.6742309631870903E-2</v>
      </c>
      <c r="G129" s="122">
        <f>Financials!D108/Financials!$D$88</f>
        <v>-2.0330690062426184E-2</v>
      </c>
      <c r="H129" s="122">
        <f>Financials!E108/Financials!$E$88</f>
        <v>-1.761293873576358E-2</v>
      </c>
      <c r="I129" s="123">
        <f>Financials!F108/Financials!$F$88</f>
        <v>-2.2634508348794064E-2</v>
      </c>
      <c r="J129" s="13"/>
      <c r="K129" s="13"/>
      <c r="L129" s="13"/>
      <c r="M129" s="13"/>
    </row>
    <row r="130" spans="1:13" ht="16" outlineLevel="1">
      <c r="B130" s="92" t="s">
        <v>128</v>
      </c>
      <c r="E130" s="121">
        <f>Financials!B109/Financials!$B$88</f>
        <v>9.6141520317907954E-5</v>
      </c>
      <c r="F130" s="122">
        <f>Financials!C109/Financials!$C$88</f>
        <v>-1.4408183848425905E-5</v>
      </c>
      <c r="G130" s="122">
        <f>Financials!D109/Financials!$D$88</f>
        <v>-1.5465946797143019E-4</v>
      </c>
      <c r="H130" s="122">
        <f>Financials!E109/Financials!$E$88</f>
        <v>-2.822586335859548E-5</v>
      </c>
      <c r="I130" s="123">
        <f>Financials!F109/Financials!$F$88</f>
        <v>-1.4271442842871414E-5</v>
      </c>
      <c r="J130" s="13"/>
      <c r="K130" s="13"/>
      <c r="L130" s="13"/>
      <c r="M130" s="13"/>
    </row>
    <row r="131" spans="1:13" ht="16" outlineLevel="1">
      <c r="B131" s="92" t="s">
        <v>129</v>
      </c>
      <c r="E131" s="121">
        <f>Financials!B110/Financials!$B$88</f>
        <v>-9.8032303550826816E-2</v>
      </c>
      <c r="F131" s="122">
        <f>Financials!C110/Financials!$C$88</f>
        <v>-3.0242777897845977E-2</v>
      </c>
      <c r="G131" s="122">
        <f>Financials!D110/Financials!$D$88</f>
        <v>-1.110736179067544E-3</v>
      </c>
      <c r="H131" s="122">
        <f>Financials!E110/Financials!$E$88</f>
        <v>-3.5268216266565053E-2</v>
      </c>
      <c r="I131" s="123">
        <f>Financials!F110/Financials!$F$88</f>
        <v>-3.8746967318395893E-2</v>
      </c>
      <c r="J131" s="13"/>
      <c r="K131" s="13"/>
      <c r="L131" s="13"/>
      <c r="M131" s="13"/>
    </row>
    <row r="132" spans="1:13" ht="16" outlineLevel="1">
      <c r="B132" s="92" t="s">
        <v>130</v>
      </c>
      <c r="E132" s="121">
        <f>Financials!B111/Financials!$B$88</f>
        <v>-3.2047173439302655E-4</v>
      </c>
      <c r="F132" s="122">
        <f>Financials!C111/Financials!$C$88</f>
        <v>-2.3053094157481449E-4</v>
      </c>
      <c r="G132" s="122">
        <f>Financials!D111/Financials!$D$88</f>
        <v>-1.8277937123896293E-4</v>
      </c>
      <c r="H132" s="122">
        <f>Financials!E111/Financials!$E$88</f>
        <v>-1.2701638511367967E-4</v>
      </c>
      <c r="I132" s="123">
        <f>Financials!F111/Financials!$F$88</f>
        <v>-9.99000999000999E-5</v>
      </c>
      <c r="J132" s="13"/>
      <c r="K132" s="13"/>
      <c r="L132" s="13"/>
      <c r="M132" s="13"/>
    </row>
    <row r="133" spans="1:13" ht="16" outlineLevel="1">
      <c r="B133" s="92" t="s">
        <v>131</v>
      </c>
      <c r="E133" s="121">
        <f>Financials!B112/Financials!$B$88</f>
        <v>1.0527496474810922E-2</v>
      </c>
      <c r="F133" s="122">
        <f>Financials!C112/Financials!$C$88</f>
        <v>0.20535984439161445</v>
      </c>
      <c r="G133" s="122">
        <f>Financials!D112/Financials!$D$88</f>
        <v>0.27819020302570158</v>
      </c>
      <c r="H133" s="122">
        <f>Financials!E112/Financials!$E$88</f>
        <v>0.2442383956419267</v>
      </c>
      <c r="I133" s="123">
        <f>Financials!F112/Financials!$F$88</f>
        <v>0.23858998144712432</v>
      </c>
      <c r="J133" s="13"/>
      <c r="K133" s="13"/>
      <c r="L133" s="13"/>
      <c r="M133" s="13"/>
    </row>
    <row r="134" spans="1:13" ht="16" outlineLevel="1">
      <c r="B134" s="92" t="s">
        <v>132</v>
      </c>
      <c r="E134" s="121">
        <f>Financials!B113/Financials!$B$88</f>
        <v>1.9228304063581591E-4</v>
      </c>
      <c r="F134" s="122">
        <f>Financials!C113/Financials!$C$88</f>
        <v>2.3053094157481449E-4</v>
      </c>
      <c r="G134" s="122">
        <f>Financials!D113/Financials!$D$88</f>
        <v>2.3901917777402845E-4</v>
      </c>
      <c r="H134" s="122">
        <f>Financials!E113/Financials!$E$88</f>
        <v>1.1290345343438192E-4</v>
      </c>
      <c r="I134" s="123">
        <f>Financials!F113/Financials!$F$88</f>
        <v>3.5678607107178533E-4</v>
      </c>
      <c r="J134" s="13"/>
      <c r="K134" s="13"/>
      <c r="L134" s="13"/>
      <c r="M134" s="13"/>
    </row>
    <row r="135" spans="1:13" ht="16" outlineLevel="1">
      <c r="B135" s="92" t="s">
        <v>133</v>
      </c>
      <c r="E135" s="121">
        <f>Financials!B114/Financials!$B$88</f>
        <v>1.0719779515446738E-2</v>
      </c>
      <c r="F135" s="122">
        <f>Financials!C114/Financials!$C$88</f>
        <v>0.20559037533318925</v>
      </c>
      <c r="G135" s="122">
        <f>Financials!D114/Financials!$D$88</f>
        <v>0.2784292222034756</v>
      </c>
      <c r="H135" s="122">
        <f>Financials!E114/Financials!$E$88</f>
        <v>0.24435129909536107</v>
      </c>
      <c r="I135" s="123">
        <f>Financials!F114/Financials!$F$88</f>
        <v>0.2389467675181961</v>
      </c>
      <c r="J135" s="13"/>
      <c r="K135" s="13"/>
      <c r="L135" s="13"/>
      <c r="M135" s="13"/>
    </row>
    <row r="136" spans="1:13" ht="16" outlineLevel="1">
      <c r="B136" s="124" t="s">
        <v>134</v>
      </c>
      <c r="C136" s="125"/>
      <c r="D136" s="125"/>
      <c r="E136" s="126">
        <f>Financials!B115/Financials!$B$88</f>
        <v>1</v>
      </c>
      <c r="F136" s="127">
        <f>Financials!C115/Financials!$C$88</f>
        <v>1</v>
      </c>
      <c r="G136" s="127">
        <f>Financials!D115/Financials!$D$88</f>
        <v>1</v>
      </c>
      <c r="H136" s="127">
        <f>Financials!E115/Financials!$E$88</f>
        <v>1</v>
      </c>
      <c r="I136" s="128">
        <f>Financials!F115/Financials!$F$88</f>
        <v>1</v>
      </c>
      <c r="J136" s="13"/>
      <c r="K136" s="13"/>
      <c r="L136" s="13"/>
      <c r="M136" s="13"/>
    </row>
    <row r="137" spans="1:13" ht="16" outlineLevel="1">
      <c r="B137" s="130"/>
      <c r="C137" s="13"/>
      <c r="D137" s="13"/>
      <c r="E137" s="13"/>
      <c r="F137" s="13"/>
      <c r="G137" s="13"/>
      <c r="H137" s="13"/>
      <c r="I137" s="13"/>
      <c r="J137" s="13"/>
      <c r="K137" s="13"/>
      <c r="L137" s="13"/>
      <c r="M137" s="13"/>
    </row>
    <row r="138" spans="1:13" ht="16" outlineLevel="1">
      <c r="A138" s="5">
        <v>4</v>
      </c>
      <c r="B138" s="52" t="s">
        <v>135</v>
      </c>
      <c r="C138" s="13"/>
      <c r="D138" s="13"/>
      <c r="E138" s="13"/>
      <c r="F138" s="13"/>
      <c r="G138" s="13"/>
      <c r="H138" s="13"/>
      <c r="I138" s="13"/>
      <c r="J138" s="13"/>
      <c r="K138" s="13"/>
      <c r="L138" s="13"/>
      <c r="M138" s="13"/>
    </row>
    <row r="139" spans="1:13" ht="16" outlineLevel="1">
      <c r="A139" s="5"/>
      <c r="B139" s="52"/>
      <c r="C139" s="13"/>
      <c r="D139" s="13"/>
      <c r="E139" s="13"/>
      <c r="F139" s="13"/>
      <c r="G139" s="13"/>
      <c r="H139" s="13"/>
      <c r="I139" s="13"/>
      <c r="J139" s="13"/>
      <c r="K139" s="13"/>
      <c r="L139" s="13"/>
      <c r="M139" s="13"/>
    </row>
    <row r="140" spans="1:13" ht="16" outlineLevel="1">
      <c r="A140" s="5"/>
      <c r="B140" s="52"/>
      <c r="C140" s="13"/>
      <c r="D140" s="13"/>
      <c r="E140" s="13"/>
      <c r="F140" s="13"/>
      <c r="G140" s="13"/>
      <c r="H140" s="13"/>
      <c r="I140" s="13"/>
      <c r="J140" s="13"/>
      <c r="K140" s="13"/>
      <c r="L140" s="13"/>
      <c r="M140" s="13"/>
    </row>
    <row r="141" spans="1:13" ht="16" outlineLevel="1">
      <c r="A141" s="5"/>
      <c r="B141" s="52"/>
      <c r="C141" s="13"/>
      <c r="D141" s="13"/>
      <c r="E141" s="134" t="s">
        <v>136</v>
      </c>
      <c r="F141" s="135" t="s">
        <v>137</v>
      </c>
      <c r="G141" s="135" t="s">
        <v>138</v>
      </c>
      <c r="H141" s="136" t="s">
        <v>139</v>
      </c>
      <c r="I141" s="13"/>
      <c r="J141" s="13"/>
      <c r="K141" s="13"/>
      <c r="L141" s="13"/>
      <c r="M141" s="13"/>
    </row>
    <row r="142" spans="1:13" ht="16" outlineLevel="1">
      <c r="A142" s="5"/>
      <c r="B142" s="117" t="s">
        <v>28</v>
      </c>
      <c r="C142" s="88"/>
      <c r="D142" s="88"/>
      <c r="E142" s="137">
        <f>(Financials!C4-Financials!B4)/Financials!B4</f>
        <v>0.15126966079211673</v>
      </c>
      <c r="F142" s="138">
        <f>(Financials!D4-Financials!C4)/Financials!C4</f>
        <v>2.9114028229290975E-2</v>
      </c>
      <c r="G142" s="138">
        <f>(Financials!E4-Financials!D4)/Financials!D4</f>
        <v>-9.285842813443429E-2</v>
      </c>
      <c r="H142" s="139">
        <f>(Financials!F4-Financials!E4)/Financials!E4</f>
        <v>1.6419637445589288E-3</v>
      </c>
      <c r="I142" s="13"/>
      <c r="J142" s="13"/>
      <c r="K142" s="13"/>
      <c r="L142" s="13"/>
      <c r="M142" s="13"/>
    </row>
    <row r="143" spans="1:13" ht="16" outlineLevel="1">
      <c r="A143" s="5"/>
      <c r="B143" s="92" t="s">
        <v>29</v>
      </c>
      <c r="E143" s="140">
        <f>(Financials!C5-Financials!B5)/Financials!B5</f>
        <v>0.27331641366981119</v>
      </c>
      <c r="F143" s="141">
        <f>(Financials!D5-Financials!C5)/Financials!C5</f>
        <v>2.2815022815022815E-3</v>
      </c>
      <c r="G143" s="141">
        <f>(Financials!E5-Financials!D5)/Financials!D5</f>
        <v>-8.6487230157340472E-2</v>
      </c>
      <c r="H143" s="142">
        <f>(Financials!F5-Financials!E5)/Financials!E5</f>
        <v>1.0911978532017141E-2</v>
      </c>
      <c r="I143" s="13"/>
      <c r="J143" s="13"/>
      <c r="K143" s="13"/>
      <c r="L143" s="13"/>
      <c r="M143" s="13"/>
    </row>
    <row r="144" spans="1:13" ht="16" outlineLevel="1">
      <c r="A144" s="5"/>
      <c r="B144" s="92" t="s">
        <v>30</v>
      </c>
      <c r="E144" s="140">
        <f>(Financials!C6-Financials!B6)/Financials!B6</f>
        <v>0.28136311320912077</v>
      </c>
      <c r="F144" s="141">
        <f>(Financials!D6-Financials!C6)/Financials!C6</f>
        <v>-6.8993347999843791E-4</v>
      </c>
      <c r="G144" s="141">
        <f>(Financials!E6-Financials!D6)/Financials!D6</f>
        <v>-9.2397676054503289E-2</v>
      </c>
      <c r="H144" s="142">
        <f>(Financials!F6-Financials!E6)/Financials!E6</f>
        <v>7.9514302527521428E-3</v>
      </c>
      <c r="I144" s="13"/>
      <c r="J144" s="13"/>
      <c r="K144" s="13"/>
      <c r="L144" s="13"/>
      <c r="M144" s="13"/>
    </row>
    <row r="145" spans="1:13" ht="16" outlineLevel="1">
      <c r="A145" s="5"/>
      <c r="B145" s="92" t="s">
        <v>31</v>
      </c>
      <c r="E145" s="140">
        <f>(Financials!C7-Financials!B7)/Financials!B7</f>
        <v>9.4514455151964424E-2</v>
      </c>
      <c r="F145" s="141">
        <f>(Financials!D7-Financials!C7)/Financials!C7</f>
        <v>7.9580088046054862E-2</v>
      </c>
      <c r="G145" s="141">
        <f>(Financials!E7-Financials!D7)/Financials!D7</f>
        <v>5.5834378920953574E-2</v>
      </c>
      <c r="H145" s="142">
        <f>(Financials!F7-Financials!E7)/Financials!E7</f>
        <v>7.2192513368983954E-2</v>
      </c>
      <c r="I145" s="13"/>
      <c r="J145" s="13"/>
      <c r="K145" s="13"/>
      <c r="L145" s="13"/>
      <c r="M145" s="13"/>
    </row>
    <row r="146" spans="1:13" ht="16" outlineLevel="1">
      <c r="A146" s="5"/>
      <c r="B146" s="92" t="s">
        <v>32</v>
      </c>
      <c r="E146" s="140">
        <f>(Financials!C8-Financials!B8)/Financials!B8</f>
        <v>8.5889570552147243E-2</v>
      </c>
      <c r="F146" s="141">
        <f>(Financials!D8-Financials!C8)/Financials!C8</f>
        <v>7.4656981436642456E-2</v>
      </c>
      <c r="G146" s="141">
        <f>(Financials!E8-Financials!D8)/Financials!D8</f>
        <v>3.9804731505820506E-2</v>
      </c>
      <c r="H146" s="142">
        <f>(Financials!F8-Financials!E8)/Financials!E8</f>
        <v>6.9339111592632716E-2</v>
      </c>
      <c r="I146" s="13"/>
      <c r="J146" s="13"/>
      <c r="K146" s="13"/>
      <c r="L146" s="13"/>
      <c r="M146" s="13"/>
    </row>
    <row r="147" spans="1:13" ht="16" outlineLevel="1">
      <c r="A147" s="5"/>
      <c r="B147" s="92" t="s">
        <v>33</v>
      </c>
      <c r="E147" s="140">
        <f>(Financials!C9-Financials!B9)/Financials!B9</f>
        <v>0.14182692307692307</v>
      </c>
      <c r="F147" s="141">
        <f>(Financials!D9-Financials!C9)/Financials!C9</f>
        <v>0.10526315789473684</v>
      </c>
      <c r="G147" s="141">
        <f>(Financials!E9-Financials!D9)/Financials!D9</f>
        <v>0.13714285714285715</v>
      </c>
      <c r="H147" s="142">
        <f>(Financials!F9-Financials!E9)/Financials!E9</f>
        <v>8.5427135678391955E-2</v>
      </c>
      <c r="I147" s="13"/>
      <c r="J147" s="13"/>
      <c r="K147" s="13"/>
      <c r="L147" s="13"/>
      <c r="M147" s="13"/>
    </row>
    <row r="148" spans="1:13" ht="16" outlineLevel="1">
      <c r="A148" s="5"/>
      <c r="B148" s="92" t="s">
        <v>34</v>
      </c>
      <c r="E148" s="140">
        <f>(Financials!C10-Financials!B10)/Financials!B10</f>
        <v>-0.19974291878988201</v>
      </c>
      <c r="F148" s="141">
        <f>(Financials!D10-Financials!C10)/Financials!C10</f>
        <v>0.15190454336851766</v>
      </c>
      <c r="G148" s="141">
        <f>(Financials!E10-Financials!D10)/Financials!D10</f>
        <v>-0.11822709163346613</v>
      </c>
      <c r="H148" s="142">
        <f>(Financials!F10-Financials!E10)/Financials!E10</f>
        <v>-3.6597763470010168E-2</v>
      </c>
      <c r="I148" s="13"/>
      <c r="J148" s="13"/>
      <c r="K148" s="13"/>
      <c r="L148" s="13"/>
      <c r="M148" s="13"/>
    </row>
    <row r="149" spans="1:13" ht="16" outlineLevel="1">
      <c r="A149" s="5"/>
      <c r="B149" s="92" t="s">
        <v>35</v>
      </c>
      <c r="E149" s="140">
        <f>(Financials!C11-Financials!B11)/Financials!B11</f>
        <v>-0.68989746898974691</v>
      </c>
      <c r="F149" s="141">
        <f>(Financials!D11-Financials!C11)/Financials!C11</f>
        <v>0.64439306358381498</v>
      </c>
      <c r="G149" s="141">
        <f>(Financials!E11-Financials!D11)/Financials!D11</f>
        <v>0.171962879640045</v>
      </c>
      <c r="H149" s="142">
        <f>(Financials!F11-Financials!E11)/Financials!E11</f>
        <v>4.1871625674865028E-2</v>
      </c>
      <c r="I149" s="13"/>
      <c r="J149" s="13"/>
      <c r="K149" s="13"/>
      <c r="L149" s="13"/>
      <c r="M149" s="13"/>
    </row>
    <row r="150" spans="1:13" ht="16" outlineLevel="1">
      <c r="A150" s="5"/>
      <c r="B150" s="92" t="s">
        <v>36</v>
      </c>
      <c r="E150" s="140">
        <f>(Financials!C12-Financials!B12)/Financials!B12</f>
        <v>-0.68989746898974691</v>
      </c>
      <c r="F150" s="141">
        <f>(Financials!D12-Financials!C12)/Financials!C12</f>
        <v>0.64439306358381498</v>
      </c>
      <c r="G150" s="141">
        <f>(Financials!E12-Financials!D12)/Financials!D12</f>
        <v>0.171962879640045</v>
      </c>
      <c r="H150" s="142">
        <f>(Financials!F12-Financials!E12)/Financials!E12</f>
        <v>4.1871625674865028E-2</v>
      </c>
      <c r="I150" s="13"/>
      <c r="J150" s="13"/>
      <c r="K150" s="13"/>
      <c r="L150" s="13"/>
      <c r="M150" s="13"/>
    </row>
    <row r="151" spans="1:13" ht="16" outlineLevel="1">
      <c r="A151" s="5"/>
      <c r="B151" s="92" t="s">
        <v>37</v>
      </c>
      <c r="E151" s="143" t="s">
        <v>140</v>
      </c>
      <c r="F151" s="144" t="s">
        <v>140</v>
      </c>
      <c r="G151" s="144" t="s">
        <v>140</v>
      </c>
      <c r="H151" s="145" t="s">
        <v>140</v>
      </c>
      <c r="I151" s="13"/>
      <c r="J151" s="13"/>
      <c r="K151" s="13"/>
      <c r="L151" s="13"/>
      <c r="M151" s="13"/>
    </row>
    <row r="152" spans="1:13" ht="16" outlineLevel="1">
      <c r="A152" s="5"/>
      <c r="B152" s="92" t="s">
        <v>38</v>
      </c>
      <c r="E152" s="140">
        <f>(Financials!C14-Financials!B14)/Financials!B14</f>
        <v>0.67266462480857581</v>
      </c>
      <c r="F152" s="141">
        <f>(Financials!D14-Financials!C14)/Financials!C14</f>
        <v>-1.0605020218204014E-2</v>
      </c>
      <c r="G152" s="141">
        <f>(Financials!E14-Financials!D14)/Financials!D14</f>
        <v>-0.27737507711289328</v>
      </c>
      <c r="H152" s="142">
        <f>(Financials!F14-Financials!E14)/Financials!E14</f>
        <v>-7.3204567282040334E-2</v>
      </c>
      <c r="I152" s="13"/>
      <c r="J152" s="13"/>
      <c r="K152" s="13"/>
      <c r="L152" s="13"/>
      <c r="M152" s="13"/>
    </row>
    <row r="153" spans="1:13" ht="16" outlineLevel="1">
      <c r="A153" s="5"/>
      <c r="B153" s="92" t="s">
        <v>39</v>
      </c>
      <c r="E153" s="140">
        <f>(Financials!C15-Financials!B15)/Financials!B15</f>
        <v>-1.9220570510245079</v>
      </c>
      <c r="F153" s="141">
        <f>(Financials!D15-Financials!C15)/Financials!C15</f>
        <v>-0.4054466230936819</v>
      </c>
      <c r="G153" s="141">
        <f>(Financials!E15-Financials!D15)/Financials!D15</f>
        <v>-0.84499816782704285</v>
      </c>
      <c r="H153" s="142">
        <f>(Financials!F15-Financials!E15)/Financials!E15</f>
        <v>-0.95981087470449178</v>
      </c>
      <c r="I153" s="13"/>
      <c r="J153" s="13"/>
      <c r="K153" s="13"/>
      <c r="L153" s="13"/>
      <c r="M153" s="13"/>
    </row>
    <row r="154" spans="1:13" ht="16" outlineLevel="1">
      <c r="A154" s="5"/>
      <c r="B154" s="92" t="s">
        <v>40</v>
      </c>
      <c r="E154" s="143" t="s">
        <v>140</v>
      </c>
      <c r="F154" s="144" t="s">
        <v>140</v>
      </c>
      <c r="G154" s="144" t="s">
        <v>140</v>
      </c>
      <c r="H154" s="145" t="s">
        <v>140</v>
      </c>
      <c r="I154" s="13"/>
      <c r="J154" s="13"/>
      <c r="K154" s="13"/>
      <c r="L154" s="13"/>
      <c r="M154" s="13"/>
    </row>
    <row r="155" spans="1:13" ht="16" outlineLevel="1">
      <c r="A155" s="5"/>
      <c r="B155" s="92" t="s">
        <v>41</v>
      </c>
      <c r="E155" s="140">
        <f>(Financials!C17-Financials!B17)/Financials!B17</f>
        <v>-1.9220570510245079</v>
      </c>
      <c r="F155" s="141">
        <f>(Financials!D17-Financials!C17)/Financials!C17</f>
        <v>-0.4054466230936819</v>
      </c>
      <c r="G155" s="141">
        <f>(Financials!E17-Financials!D17)/Financials!D17</f>
        <v>-0.84499816782704285</v>
      </c>
      <c r="H155" s="142">
        <f>(Financials!F17-Financials!E17)/Financials!E17</f>
        <v>-0.95981087470449178</v>
      </c>
      <c r="I155" s="13"/>
      <c r="J155" s="13"/>
      <c r="K155" s="13"/>
      <c r="L155" s="13"/>
      <c r="M155" s="13"/>
    </row>
    <row r="156" spans="1:13" ht="16" outlineLevel="1">
      <c r="A156" s="5"/>
      <c r="B156" s="92" t="s">
        <v>42</v>
      </c>
      <c r="E156" s="140">
        <f>(Financials!C18-Financials!B18)/Financials!B18</f>
        <v>-1.4619883040935672E-3</v>
      </c>
      <c r="F156" s="141">
        <f>(Financials!D18-Financials!C18)/Financials!C18</f>
        <v>1.6105417276720352E-2</v>
      </c>
      <c r="G156" s="141">
        <f>(Financials!E18-Financials!D18)/Financials!D18</f>
        <v>0.11671469740634005</v>
      </c>
      <c r="H156" s="142">
        <f>(Financials!F18-Financials!E18)/Financials!E18</f>
        <v>0.11096774193548387</v>
      </c>
      <c r="I156" s="13"/>
      <c r="J156" s="13"/>
      <c r="K156" s="13"/>
      <c r="L156" s="13"/>
      <c r="M156" s="13"/>
    </row>
    <row r="157" spans="1:13" ht="16" outlineLevel="1">
      <c r="A157" s="5"/>
      <c r="B157" s="92" t="s">
        <v>43</v>
      </c>
      <c r="E157" s="140">
        <f>(Financials!C19-Financials!B19)/Financials!B19</f>
        <v>-3.8910505836575876E-2</v>
      </c>
      <c r="F157" s="141">
        <f>(Financials!D19-Financials!C19)/Financials!C19</f>
        <v>1.7543859649122806E-2</v>
      </c>
      <c r="G157" s="141">
        <f>(Financials!E19-Financials!D19)/Financials!D19</f>
        <v>0.1843501326259947</v>
      </c>
      <c r="H157" s="142">
        <f>(Financials!F19-Financials!E19)/Financials!E19</f>
        <v>9.9664053751399778E-2</v>
      </c>
      <c r="I157" s="13"/>
      <c r="J157" s="13"/>
      <c r="K157" s="13"/>
      <c r="L157" s="13"/>
      <c r="M157" s="13"/>
    </row>
    <row r="158" spans="1:13" ht="16" outlineLevel="1">
      <c r="A158" s="5"/>
      <c r="B158" s="92" t="s">
        <v>44</v>
      </c>
      <c r="E158" s="140">
        <f>(Financials!C20-Financials!B20)/Financials!B20</f>
        <v>-0.33333333333333331</v>
      </c>
      <c r="F158" s="141">
        <f>(Financials!D20-Financials!C20)/Financials!C20</f>
        <v>3.4482758620689655E-2</v>
      </c>
      <c r="G158" s="141">
        <f>(Financials!E20-Financials!D20)/Financials!D20</f>
        <v>0.96666666666666667</v>
      </c>
      <c r="H158" s="142">
        <f>(Financials!F20-Financials!E20)/Financials!E20</f>
        <v>2.5423728813559324E-2</v>
      </c>
      <c r="I158" s="13"/>
      <c r="J158" s="13"/>
      <c r="K158" s="13"/>
      <c r="L158" s="13"/>
      <c r="M158" s="13"/>
    </row>
    <row r="159" spans="1:13" ht="16" outlineLevel="1">
      <c r="A159" s="5"/>
      <c r="B159" s="92" t="s">
        <v>45</v>
      </c>
      <c r="E159" s="140">
        <f>(Financials!C21-Financials!B21)/Financials!B21</f>
        <v>0.26969696969696971</v>
      </c>
      <c r="F159" s="141">
        <f>(Financials!D21-Financials!C21)/Financials!C21</f>
        <v>-0.57517899761336511</v>
      </c>
      <c r="G159" s="141">
        <f>(Financials!E21-Financials!D21)/Financials!D21</f>
        <v>1.5056179775280898</v>
      </c>
      <c r="H159" s="142">
        <f>(Financials!F21-Financials!E21)/Financials!E21</f>
        <v>-0.10538116591928251</v>
      </c>
      <c r="I159" s="13"/>
      <c r="J159" s="13"/>
      <c r="K159" s="13"/>
      <c r="L159" s="13"/>
      <c r="M159" s="13"/>
    </row>
    <row r="160" spans="1:13" ht="16" outlineLevel="1">
      <c r="A160" s="5"/>
      <c r="B160" s="92" t="s">
        <v>46</v>
      </c>
      <c r="E160" s="143" t="s">
        <v>140</v>
      </c>
      <c r="F160" s="144" t="s">
        <v>140</v>
      </c>
      <c r="G160" s="144" t="s">
        <v>140</v>
      </c>
      <c r="H160" s="145" t="s">
        <v>140</v>
      </c>
      <c r="I160" s="13"/>
      <c r="J160" s="13"/>
      <c r="K160" s="13"/>
      <c r="L160" s="13"/>
      <c r="M160" s="13"/>
    </row>
    <row r="161" spans="1:13" ht="16" outlineLevel="1">
      <c r="A161" s="5"/>
      <c r="B161" s="92" t="s">
        <v>47</v>
      </c>
      <c r="E161" s="143" t="s">
        <v>140</v>
      </c>
      <c r="F161" s="144" t="s">
        <v>140</v>
      </c>
      <c r="G161" s="144" t="s">
        <v>140</v>
      </c>
      <c r="H161" s="145" t="s">
        <v>140</v>
      </c>
      <c r="I161" s="13"/>
      <c r="J161" s="13"/>
      <c r="K161" s="13"/>
      <c r="L161" s="13"/>
      <c r="M161" s="13"/>
    </row>
    <row r="162" spans="1:13" ht="16" outlineLevel="1">
      <c r="A162" s="5"/>
      <c r="B162" s="92" t="s">
        <v>48</v>
      </c>
      <c r="E162" s="140">
        <f>(Financials!C24-Financials!B24)/Financials!B24</f>
        <v>9.1954022988505746E-2</v>
      </c>
      <c r="F162" s="141">
        <f>(Financials!D24-Financials!C24)/Financials!C24</f>
        <v>-0.53157894736842104</v>
      </c>
      <c r="G162" s="141">
        <f>(Financials!E24-Financials!D24)/Financials!D24</f>
        <v>1.4438202247191012</v>
      </c>
      <c r="H162" s="142">
        <f>(Financials!F24-Financials!E24)/Financials!E24</f>
        <v>-0.25977011494252872</v>
      </c>
      <c r="I162" s="13"/>
      <c r="J162" s="13"/>
      <c r="K162" s="13"/>
      <c r="L162" s="13"/>
      <c r="M162" s="13"/>
    </row>
    <row r="163" spans="1:13" ht="16" outlineLevel="1">
      <c r="A163" s="5"/>
      <c r="B163" s="92" t="s">
        <v>49</v>
      </c>
      <c r="E163" s="140">
        <f>(Financials!C25-Financials!B25)/Financials!B25</f>
        <v>-3.1666666666666665</v>
      </c>
      <c r="F163" s="141">
        <f>(Financials!D25-Financials!C25)/Financials!C25</f>
        <v>-1</v>
      </c>
      <c r="G163" s="144" t="s">
        <v>140</v>
      </c>
      <c r="H163" s="142">
        <f>(Financials!F25-Financials!E25)/Financials!E25</f>
        <v>-0.45454545454545453</v>
      </c>
      <c r="I163" s="13"/>
      <c r="J163" s="13"/>
      <c r="K163" s="13"/>
      <c r="L163" s="13"/>
      <c r="M163" s="13"/>
    </row>
    <row r="164" spans="1:13" ht="16" outlineLevel="1">
      <c r="A164" s="5"/>
      <c r="B164" s="92" t="s">
        <v>50</v>
      </c>
      <c r="E164" s="140">
        <f>(Financials!C26-Financials!B26)/Financials!B26</f>
        <v>-3.1666666666666665</v>
      </c>
      <c r="F164" s="141">
        <f>(Financials!D26-Financials!C26)/Financials!C26</f>
        <v>-1</v>
      </c>
      <c r="G164" s="144" t="s">
        <v>140</v>
      </c>
      <c r="H164" s="142">
        <f>(Financials!F26-Financials!E26)/Financials!E26</f>
        <v>-0.45454545454545453</v>
      </c>
      <c r="I164" s="13"/>
      <c r="J164" s="13"/>
      <c r="K164" s="13"/>
      <c r="L164" s="13"/>
      <c r="M164" s="13"/>
    </row>
    <row r="165" spans="1:13" ht="16" outlineLevel="1">
      <c r="A165" s="5"/>
      <c r="B165" s="92" t="s">
        <v>51</v>
      </c>
      <c r="E165" s="140">
        <f>(Financials!C27-Financials!B27)/Financials!B27</f>
        <v>7.9994577006507592</v>
      </c>
      <c r="F165" s="141">
        <f>(Financials!D27-Financials!C27)/Financials!C27</f>
        <v>-0.10665863211810786</v>
      </c>
      <c r="G165" s="141">
        <f>(Financials!E27-Financials!D27)/Financials!D27</f>
        <v>-0.42172006745362561</v>
      </c>
      <c r="H165" s="142">
        <f>(Financials!F27-Financials!E27)/Financials!E27</f>
        <v>-0.13192581360083985</v>
      </c>
      <c r="I165" s="13"/>
      <c r="J165" s="13"/>
      <c r="K165" s="13"/>
      <c r="L165" s="13"/>
      <c r="M165" s="13"/>
    </row>
    <row r="166" spans="1:13" ht="16" outlineLevel="1">
      <c r="A166" s="5"/>
      <c r="B166" s="92" t="s">
        <v>52</v>
      </c>
      <c r="E166" s="140">
        <f>(Financials!C28-Financials!B28)/Financials!B28</f>
        <v>6.3952095808383236</v>
      </c>
      <c r="F166" s="141">
        <f>(Financials!D28-Financials!C28)/Financials!C28</f>
        <v>-0.1155195681511471</v>
      </c>
      <c r="G166" s="141">
        <f>(Financials!E28-Financials!D28)/Financials!D28</f>
        <v>-0.43088190418065303</v>
      </c>
      <c r="H166" s="142">
        <f>(Financials!F28-Financials!E28)/Financials!E28</f>
        <v>-0.10991957104557641</v>
      </c>
      <c r="I166" s="13"/>
      <c r="J166" s="13"/>
      <c r="K166" s="13"/>
      <c r="L166" s="13"/>
      <c r="M166" s="13"/>
    </row>
    <row r="167" spans="1:13" ht="16" outlineLevel="1">
      <c r="A167" s="5"/>
      <c r="B167" s="92" t="s">
        <v>53</v>
      </c>
      <c r="E167" s="140">
        <f>(Financials!C29-Financials!B29)/Financials!B29</f>
        <v>0.68477103301384457</v>
      </c>
      <c r="F167" s="141">
        <f>(Financials!D29-Financials!C29)/Financials!C29</f>
        <v>0.44058154235145386</v>
      </c>
      <c r="G167" s="141">
        <f>(Financials!E29-Financials!D29)/Financials!D29</f>
        <v>-0.47038174637999125</v>
      </c>
      <c r="H167" s="142">
        <f>(Financials!F29-Financials!E29)/Financials!E29</f>
        <v>4.8053024026512015E-2</v>
      </c>
      <c r="I167" s="13"/>
      <c r="J167" s="13"/>
      <c r="K167" s="13"/>
      <c r="L167" s="13"/>
      <c r="M167" s="13"/>
    </row>
    <row r="168" spans="1:13" ht="16" outlineLevel="1">
      <c r="A168" s="5"/>
      <c r="B168" s="92" t="s">
        <v>54</v>
      </c>
      <c r="E168" s="140">
        <f>(Financials!C30-Financials!B30)/Financials!B30</f>
        <v>0.1380952380952381</v>
      </c>
      <c r="F168" s="141">
        <f>(Financials!D30-Financials!C30)/Financials!C30</f>
        <v>-2.3012552301255231E-2</v>
      </c>
      <c r="G168" s="141">
        <f>(Financials!E30-Financials!D30)/Financials!D30</f>
        <v>-1.7130620985010708E-2</v>
      </c>
      <c r="H168" s="142">
        <f>(Financials!F30-Financials!E30)/Financials!E30</f>
        <v>-0.10675381263616558</v>
      </c>
      <c r="I168" s="13"/>
      <c r="J168" s="13"/>
      <c r="K168" s="13"/>
      <c r="L168" s="13"/>
      <c r="M168" s="13"/>
    </row>
    <row r="169" spans="1:13" ht="16" outlineLevel="1">
      <c r="A169" s="5"/>
      <c r="B169" s="92" t="s">
        <v>55</v>
      </c>
      <c r="E169" s="140">
        <f>(Financials!C31-Financials!B31)/Financials!B31</f>
        <v>-2.7918552036199094</v>
      </c>
      <c r="F169" s="141">
        <f>(Financials!D31-Financials!C31)/Financials!C31</f>
        <v>-0.72727272727272729</v>
      </c>
      <c r="G169" s="141">
        <f>(Financials!E31-Financials!D31)/Financials!D31</f>
        <v>-0.60648148148148151</v>
      </c>
      <c r="H169" s="142">
        <f>(Financials!F31-Financials!E31)/Financials!E31</f>
        <v>-0.95294117647058818</v>
      </c>
      <c r="I169" s="13"/>
      <c r="J169" s="13"/>
      <c r="K169" s="13"/>
      <c r="L169" s="13"/>
      <c r="M169" s="13"/>
    </row>
    <row r="170" spans="1:13" ht="16" outlineLevel="1">
      <c r="A170" s="5"/>
      <c r="B170" s="92" t="s">
        <v>56</v>
      </c>
      <c r="E170" s="140">
        <f>(Financials!C32-Financials!B32)/Financials!B32</f>
        <v>1.3461538461538463</v>
      </c>
      <c r="F170" s="141">
        <f>(Financials!D32-Financials!C32)/Financials!C32</f>
        <v>0.62295081967213117</v>
      </c>
      <c r="G170" s="141">
        <f>(Financials!E32-Financials!D32)/Financials!D32</f>
        <v>-0.70707070707070707</v>
      </c>
      <c r="H170" s="142">
        <f>(Financials!F32-Financials!E32)/Financials!E32</f>
        <v>-1.7931034482758621</v>
      </c>
      <c r="I170" s="13"/>
      <c r="J170" s="13"/>
      <c r="K170" s="13"/>
      <c r="L170" s="13"/>
      <c r="M170" s="13"/>
    </row>
    <row r="171" spans="1:13" ht="16" outlineLevel="1">
      <c r="A171" s="5"/>
      <c r="B171" s="92" t="s">
        <v>57</v>
      </c>
      <c r="E171" s="140">
        <f>(Financials!C33-Financials!B33)/Financials!B33</f>
        <v>8.5979151154132545</v>
      </c>
      <c r="F171" s="141">
        <f>(Financials!D33-Financials!C33)/Financials!C33</f>
        <v>-0.10411171450737006</v>
      </c>
      <c r="G171" s="141">
        <f>(Financials!E33-Financials!D33)/Financials!D33</f>
        <v>-0.41912019397298234</v>
      </c>
      <c r="H171" s="142">
        <f>(Financials!F33-Financials!E33)/Financials!E33</f>
        <v>-0.13804412641621944</v>
      </c>
      <c r="I171" s="13"/>
      <c r="J171" s="13"/>
      <c r="K171" s="13"/>
      <c r="L171" s="13"/>
      <c r="M171" s="13"/>
    </row>
    <row r="172" spans="1:13" ht="16" outlineLevel="1">
      <c r="A172" s="5"/>
      <c r="B172" s="49" t="s">
        <v>58</v>
      </c>
      <c r="E172" s="140">
        <f>(Financials!C34-Financials!B34)/Financials!B34</f>
        <v>8.5979151154132545</v>
      </c>
      <c r="F172" s="141">
        <f>(Financials!D34-Financials!C34)/Financials!C34</f>
        <v>-0.10411171450737006</v>
      </c>
      <c r="G172" s="141">
        <f>(Financials!E34-Financials!D34)/Financials!D34</f>
        <v>-0.41912019397298234</v>
      </c>
      <c r="H172" s="142">
        <f>(Financials!F34-Financials!E34)/Financials!E34</f>
        <v>-0.13804412641621944</v>
      </c>
      <c r="I172" s="13"/>
      <c r="J172" s="13"/>
      <c r="K172" s="13"/>
      <c r="L172" s="13"/>
      <c r="M172" s="13"/>
    </row>
    <row r="173" spans="1:13" ht="16" outlineLevel="1">
      <c r="A173" s="5"/>
      <c r="B173" s="92" t="s">
        <v>59</v>
      </c>
      <c r="E173" s="140">
        <f>(Financials!C35-Financials!B35)/Financials!B35</f>
        <v>8.5979151154132545</v>
      </c>
      <c r="F173" s="141">
        <f>(Financials!D35-Financials!C35)/Financials!C35</f>
        <v>-0.10411171450737006</v>
      </c>
      <c r="G173" s="141">
        <f>(Financials!E35-Financials!D35)/Financials!D35</f>
        <v>-0.41912019397298234</v>
      </c>
      <c r="H173" s="142">
        <f>(Financials!F35-Financials!E35)/Financials!E35</f>
        <v>-0.13804412641621944</v>
      </c>
      <c r="J173" s="13"/>
      <c r="K173" s="13"/>
      <c r="L173" s="13"/>
      <c r="M173" s="13"/>
    </row>
    <row r="174" spans="1:13" ht="16" outlineLevel="1">
      <c r="A174" s="5"/>
      <c r="B174" s="92" t="s">
        <v>60</v>
      </c>
      <c r="E174" s="143" t="s">
        <v>140</v>
      </c>
      <c r="F174" s="144" t="s">
        <v>140</v>
      </c>
      <c r="G174" s="144" t="s">
        <v>140</v>
      </c>
      <c r="H174" s="145" t="s">
        <v>140</v>
      </c>
      <c r="J174" s="13"/>
      <c r="K174" s="13"/>
      <c r="L174" s="13"/>
      <c r="M174" s="13"/>
    </row>
    <row r="175" spans="1:13" ht="16" outlineLevel="1">
      <c r="A175" s="5"/>
      <c r="B175" s="92" t="s">
        <v>61</v>
      </c>
      <c r="E175" s="140">
        <f>(Financials!C37-Financials!B37)/Financials!B37</f>
        <v>7.3088918377217205</v>
      </c>
      <c r="F175" s="141">
        <f>(Financials!D37-Financials!C37)/Financials!C37</f>
        <v>-0.11155627636837147</v>
      </c>
      <c r="G175" s="141">
        <f>(Financials!E37-Financials!D37)/Financials!D37</f>
        <v>-0.38808446464550445</v>
      </c>
      <c r="H175" s="142">
        <f>(Financials!F37-Financials!E37)/Financials!E37</f>
        <v>-0.13255689712009888</v>
      </c>
      <c r="J175" s="13"/>
      <c r="K175" s="13"/>
      <c r="L175" s="13"/>
      <c r="M175" s="13"/>
    </row>
    <row r="176" spans="1:13" ht="16" outlineLevel="1">
      <c r="A176" s="5"/>
      <c r="B176" s="92" t="s">
        <v>62</v>
      </c>
      <c r="E176" s="140">
        <f>(Financials!C38-Financials!B38)/Financials!B38</f>
        <v>8.521174951581667</v>
      </c>
      <c r="F176" s="141">
        <f>(Financials!D38-Financials!C38)/Financials!C38</f>
        <v>-0.10102859312598741</v>
      </c>
      <c r="G176" s="141">
        <f>(Financials!E38-Financials!D38)/Financials!D38</f>
        <v>-0.41100291892625751</v>
      </c>
      <c r="H176" s="142">
        <f>(Financials!F38-Financials!E38)/Financials!E38</f>
        <v>-0.13401032129182619</v>
      </c>
      <c r="J176" s="13"/>
      <c r="K176" s="13"/>
      <c r="L176" s="13"/>
      <c r="M176" s="13"/>
    </row>
    <row r="177" spans="1:13" ht="16" outlineLevel="1">
      <c r="A177" s="5"/>
      <c r="B177" s="92" t="s">
        <v>63</v>
      </c>
      <c r="E177" s="140">
        <f>(Financials!C39-Financials!B39)/Financials!B39</f>
        <v>8.0738177623990767E-3</v>
      </c>
      <c r="F177" s="141">
        <f>(Financials!D39-Financials!C39)/Financials!C39</f>
        <v>-3.4324942791762012E-3</v>
      </c>
      <c r="G177" s="141">
        <f>(Financials!E39-Financials!D39)/Financials!D39</f>
        <v>-1.3777267508610792E-2</v>
      </c>
      <c r="H177" s="142">
        <f>(Financials!F39-Financials!E39)/Financials!E39</f>
        <v>-4.6565774155995342E-3</v>
      </c>
      <c r="J177" s="13"/>
      <c r="K177" s="13"/>
      <c r="L177" s="13"/>
      <c r="M177" s="13"/>
    </row>
    <row r="178" spans="1:13" ht="16" outlineLevel="1">
      <c r="A178" s="5"/>
      <c r="B178" s="92" t="s">
        <v>64</v>
      </c>
      <c r="E178" s="140">
        <f>(Financials!C40-Financials!B40)/Financials!B40</f>
        <v>5.7803468208092483E-3</v>
      </c>
      <c r="F178" s="141">
        <f>(Financials!D40-Financials!C40)/Financials!C40</f>
        <v>-1.2873563218390857E-2</v>
      </c>
      <c r="G178" s="141">
        <f>(Financials!E40-Financials!D40)/Financials!D40</f>
        <v>-6.9864927806241274E-3</v>
      </c>
      <c r="H178" s="142">
        <f>(Financials!F40-Financials!E40)/Financials!E40</f>
        <v>1.2898686679174752E-3</v>
      </c>
      <c r="J178" s="13"/>
      <c r="K178" s="13"/>
      <c r="L178" s="13"/>
      <c r="M178" s="13"/>
    </row>
    <row r="179" spans="1:13" ht="16" outlineLevel="1">
      <c r="A179" s="5"/>
      <c r="B179" s="92" t="s">
        <v>65</v>
      </c>
      <c r="E179" s="140">
        <f>(Financials!C41-Financials!B41)/Financials!B41</f>
        <v>8.521434593683118</v>
      </c>
      <c r="F179" s="141">
        <f>(Financials!D41-Financials!C41)/Financials!C41</f>
        <v>-0.10104147509382821</v>
      </c>
      <c r="G179" s="141">
        <f>(Financials!E41-Financials!D41)/Financials!D41</f>
        <v>-0.40898792971502607</v>
      </c>
      <c r="H179" s="142">
        <f>(Financials!F41-Financials!E41)/Financials!E41</f>
        <v>-0.13299999999999998</v>
      </c>
      <c r="J179" s="13"/>
      <c r="K179" s="13"/>
      <c r="L179" s="13"/>
      <c r="M179" s="13"/>
    </row>
    <row r="180" spans="1:13" ht="16" outlineLevel="1">
      <c r="A180" s="5"/>
      <c r="B180" s="92" t="s">
        <v>66</v>
      </c>
      <c r="E180" s="140">
        <f>(Financials!C42-Financials!B42)/Financials!B42</f>
        <v>8.0367393800229621E-3</v>
      </c>
      <c r="F180" s="141">
        <f>(Financials!D42-Financials!C42)/Financials!C42</f>
        <v>-3.4168564920273349E-3</v>
      </c>
      <c r="G180" s="141">
        <f>(Financials!E42-Financials!D42)/Financials!D42</f>
        <v>-1.7142857142857144E-2</v>
      </c>
      <c r="H180" s="142">
        <f>(Financials!F42-Financials!E42)/Financials!E42</f>
        <v>-4.6511627906976744E-3</v>
      </c>
      <c r="J180" s="13"/>
      <c r="K180" s="13"/>
      <c r="L180" s="13"/>
      <c r="M180" s="13"/>
    </row>
    <row r="181" spans="1:13" ht="16" outlineLevel="1">
      <c r="A181" s="5"/>
      <c r="B181" s="92" t="s">
        <v>64</v>
      </c>
      <c r="E181" s="140">
        <f>(Financials!C43-Financials!B43)/Financials!B43</f>
        <v>5.7803468208092483E-3</v>
      </c>
      <c r="F181" s="141">
        <f>(Financials!D43-Financials!C43)/Financials!C43</f>
        <v>-1.2873563218390857E-2</v>
      </c>
      <c r="G181" s="141">
        <f>(Financials!E43-Financials!D43)/Financials!D43</f>
        <v>-6.9864927806241274E-3</v>
      </c>
      <c r="H181" s="142">
        <f>(Financials!F43-Financials!E43)/Financials!E43</f>
        <v>1.2898686679174752E-3</v>
      </c>
      <c r="J181" s="13"/>
      <c r="K181" s="13"/>
      <c r="L181" s="13"/>
      <c r="M181" s="13"/>
    </row>
    <row r="182" spans="1:13" ht="16" outlineLevel="1">
      <c r="A182" s="5"/>
      <c r="B182" s="92" t="s">
        <v>67</v>
      </c>
      <c r="E182" s="140">
        <f>(Financials!C44-Financials!B44)/Financials!B44</f>
        <v>-1.2264515084730983E-2</v>
      </c>
      <c r="F182" s="141">
        <f>(Financials!D44-Financials!C44)/Financials!C44</f>
        <v>-3.5674667204518107E-3</v>
      </c>
      <c r="G182" s="141">
        <f>(Financials!E44-Financials!D44)/Financials!D44</f>
        <v>8.7165538617243354E-2</v>
      </c>
      <c r="H182" s="142">
        <f>(Financials!F44-Financials!E44)/Financials!E44</f>
        <v>-2.0015127712805845E-3</v>
      </c>
      <c r="J182" s="13"/>
      <c r="K182" s="13"/>
      <c r="L182" s="13"/>
      <c r="M182" s="13"/>
    </row>
    <row r="183" spans="1:13" ht="16" outlineLevel="1">
      <c r="A183" s="5"/>
      <c r="B183" s="92" t="s">
        <v>68</v>
      </c>
      <c r="E183" s="140">
        <f>(Financials!C45-Financials!B45)/Financials!B45</f>
        <v>9.9009900990099098E-3</v>
      </c>
      <c r="F183" s="141">
        <f>(Financials!D45-Financials!C45)/Financials!C45</f>
        <v>0.49019607843137253</v>
      </c>
      <c r="G183" s="141">
        <f>(Financials!E45-Financials!D45)/Financials!D45</f>
        <v>6.5789473684210578E-2</v>
      </c>
      <c r="H183" s="142">
        <f>(Financials!F45-Financials!E45)/Financials!E45</f>
        <v>6.1728395061727073E-3</v>
      </c>
      <c r="J183" s="13"/>
      <c r="K183" s="13"/>
      <c r="L183" s="13"/>
      <c r="M183" s="13"/>
    </row>
    <row r="184" spans="1:13" ht="16" outlineLevel="1">
      <c r="A184" s="5"/>
      <c r="B184" s="92" t="s">
        <v>69</v>
      </c>
      <c r="E184" s="140">
        <f>(Financials!C46-Financials!B46)/Financials!B46</f>
        <v>-0.89393394709553331</v>
      </c>
      <c r="F184" s="141">
        <f>(Financials!D46-Financials!C46)/Financials!C46</f>
        <v>0.65769169279668582</v>
      </c>
      <c r="G184" s="141">
        <f>(Financials!E46-Financials!D46)/Financials!D46</f>
        <v>0.80332945846255077</v>
      </c>
      <c r="H184" s="142">
        <f>(Financials!F46-Financials!E46)/Financials!E46</f>
        <v>0.16052230292640962</v>
      </c>
      <c r="J184" s="13"/>
      <c r="K184" s="13"/>
      <c r="L184" s="13"/>
      <c r="M184" s="13"/>
    </row>
    <row r="185" spans="1:13" ht="16" outlineLevel="1">
      <c r="A185" s="5"/>
      <c r="B185" s="92" t="s">
        <v>70</v>
      </c>
      <c r="E185" s="143" t="s">
        <v>140</v>
      </c>
      <c r="F185" s="144" t="s">
        <v>140</v>
      </c>
      <c r="G185" s="144" t="s">
        <v>140</v>
      </c>
      <c r="H185" s="145" t="s">
        <v>140</v>
      </c>
      <c r="J185" s="13"/>
      <c r="K185" s="13"/>
      <c r="L185" s="13"/>
      <c r="M185" s="13"/>
    </row>
    <row r="186" spans="1:13" ht="16" outlineLevel="1">
      <c r="A186" s="5"/>
      <c r="B186" s="92" t="s">
        <v>70</v>
      </c>
      <c r="E186" s="140">
        <f>(Financials!C48-Financials!B48)/Financials!B48</f>
        <v>0.52458705145243967</v>
      </c>
      <c r="F186" s="141">
        <f>(Financials!D48-Financials!C48)/Financials!C48</f>
        <v>5.9775840597758407E-3</v>
      </c>
      <c r="G186" s="141">
        <f>(Financials!E48-Financials!D48)/Financials!D48</f>
        <v>-0.211624164397128</v>
      </c>
      <c r="H186" s="142">
        <f>(Financials!F48-Financials!E48)/Financials!E48</f>
        <v>-3.478056057156316E-2</v>
      </c>
      <c r="J186" s="13"/>
      <c r="K186" s="13"/>
      <c r="L186" s="13"/>
      <c r="M186" s="13"/>
    </row>
    <row r="187" spans="1:13" ht="16" outlineLevel="1">
      <c r="A187" s="5"/>
      <c r="B187" s="92" t="s">
        <v>71</v>
      </c>
      <c r="E187" s="140">
        <f>(Financials!C49-Financials!B49)/Financials!B49</f>
        <v>0.67266462480857581</v>
      </c>
      <c r="F187" s="141">
        <f>(Financials!D49-Financials!C49)/Financials!C49</f>
        <v>-1.0605020218204014E-2</v>
      </c>
      <c r="G187" s="141">
        <f>(Financials!E49-Financials!D49)/Financials!D49</f>
        <v>-0.27737507711289328</v>
      </c>
      <c r="H187" s="142">
        <f>(Financials!F49-Financials!E49)/Financials!E49</f>
        <v>-7.3204567282040334E-2</v>
      </c>
      <c r="J187" s="13"/>
      <c r="K187" s="13"/>
      <c r="L187" s="13"/>
      <c r="M187" s="13"/>
    </row>
    <row r="188" spans="1:13" ht="16" outlineLevel="1">
      <c r="A188" s="5"/>
      <c r="B188" s="124" t="s">
        <v>31</v>
      </c>
      <c r="C188" s="125"/>
      <c r="D188" s="125"/>
      <c r="E188" s="146">
        <f>(Financials!C50-Financials!B50)/Financials!B50</f>
        <v>9.4514455151964424E-2</v>
      </c>
      <c r="F188" s="147">
        <f>(Financials!D50-Financials!C50)/Financials!C50</f>
        <v>7.9580088046054862E-2</v>
      </c>
      <c r="G188" s="147">
        <f>(Financials!E50-Financials!D50)/Financials!D50</f>
        <v>5.5834378920953574E-2</v>
      </c>
      <c r="H188" s="148">
        <f>(Financials!F50-Financials!E50)/Financials!E50</f>
        <v>7.2192513368983954E-2</v>
      </c>
      <c r="J188" s="13"/>
      <c r="K188" s="13"/>
      <c r="L188" s="13"/>
      <c r="M188" s="13"/>
    </row>
    <row r="189" spans="1:13" ht="16" outlineLevel="1">
      <c r="A189" s="5"/>
      <c r="B189" s="5"/>
      <c r="E189" s="141"/>
      <c r="F189" s="141"/>
      <c r="G189" s="141"/>
      <c r="H189" s="141"/>
      <c r="I189" s="13"/>
      <c r="J189" s="13"/>
      <c r="K189" s="13"/>
      <c r="L189" s="13"/>
      <c r="M189" s="13"/>
    </row>
    <row r="190" spans="1:13" ht="16" outlineLevel="1">
      <c r="A190" s="5"/>
      <c r="B190" s="52"/>
      <c r="C190" s="13"/>
      <c r="D190" s="13"/>
      <c r="E190" s="13"/>
      <c r="F190" s="13"/>
      <c r="G190" s="13"/>
      <c r="H190" s="13"/>
      <c r="I190" s="13"/>
      <c r="J190" s="13"/>
      <c r="K190" s="13"/>
      <c r="L190" s="13"/>
      <c r="M190" s="13"/>
    </row>
    <row r="191" spans="1:13" ht="16" outlineLevel="1">
      <c r="A191" s="5"/>
      <c r="B191" s="52" t="s">
        <v>141</v>
      </c>
      <c r="C191" s="13"/>
      <c r="D191" s="13"/>
      <c r="E191" s="13"/>
      <c r="F191" s="13"/>
      <c r="G191" s="13"/>
      <c r="H191" s="13"/>
      <c r="I191" s="13"/>
      <c r="J191" s="13"/>
      <c r="K191" s="13"/>
      <c r="L191" s="13"/>
      <c r="M191" s="13"/>
    </row>
    <row r="192" spans="1:13" ht="16" outlineLevel="1">
      <c r="B192" s="130"/>
      <c r="C192" s="13"/>
      <c r="D192" s="13"/>
      <c r="E192" s="13"/>
      <c r="F192" s="13"/>
      <c r="G192" s="13"/>
      <c r="H192" s="13"/>
      <c r="I192" s="13"/>
      <c r="J192" s="13"/>
      <c r="K192" s="13"/>
      <c r="L192" s="13"/>
      <c r="M192" s="13"/>
    </row>
    <row r="193" spans="2:13" ht="16" outlineLevel="1">
      <c r="B193" s="130"/>
      <c r="C193" s="13"/>
      <c r="E193" s="149" t="s">
        <v>136</v>
      </c>
      <c r="F193" s="150" t="s">
        <v>137</v>
      </c>
      <c r="G193" s="150" t="s">
        <v>138</v>
      </c>
      <c r="H193" s="151" t="s">
        <v>139</v>
      </c>
      <c r="I193" s="13"/>
      <c r="J193" s="13"/>
      <c r="K193" s="13"/>
      <c r="L193" s="13"/>
      <c r="M193" s="13"/>
    </row>
    <row r="194" spans="2:13" ht="16" outlineLevel="1">
      <c r="B194" s="87" t="s">
        <v>73</v>
      </c>
      <c r="C194" s="152"/>
      <c r="D194" s="153"/>
      <c r="E194" s="137">
        <f>(Financials!C55-Financials!B55)/Financials!B55</f>
        <v>0.67716909436352124</v>
      </c>
      <c r="F194" s="138">
        <f>(Financials!D55-Financials!C55)/Financials!C55</f>
        <v>-0.28301708675540449</v>
      </c>
      <c r="G194" s="138">
        <f>(Financials!E55-Financials!D55)/Financials!D55</f>
        <v>-0.20052666227781435</v>
      </c>
      <c r="H194" s="139">
        <f>(Financials!F55-Financials!E55)/Financials!E55</f>
        <v>4.0513833992094864E-2</v>
      </c>
      <c r="I194" s="13"/>
      <c r="J194" s="13"/>
      <c r="K194" s="13"/>
      <c r="L194" s="13"/>
      <c r="M194" s="13"/>
    </row>
    <row r="195" spans="2:13" ht="16" outlineLevel="1">
      <c r="B195" s="92" t="s">
        <v>75</v>
      </c>
      <c r="C195" s="13"/>
      <c r="D195" s="154"/>
      <c r="E195" s="140">
        <f>(Financials!C56-Financials!B56)/Financials!B56</f>
        <v>0.73519458544839256</v>
      </c>
      <c r="F195" s="141">
        <f>(Financials!D56-Financials!C56)/Financials!C56</f>
        <v>-0.45372988785958068</v>
      </c>
      <c r="G195" s="141">
        <f>(Financials!E56-Financials!D56)/Financials!D56</f>
        <v>-0.42770439128882543</v>
      </c>
      <c r="H195" s="142">
        <f>(Financials!F56-Financials!E56)/Financials!E56</f>
        <v>0.90642545227698068</v>
      </c>
      <c r="I195" s="13"/>
      <c r="J195" s="13"/>
      <c r="K195" s="13"/>
      <c r="L195" s="13"/>
      <c r="M195" s="13"/>
    </row>
    <row r="196" spans="2:13" ht="16" outlineLevel="1">
      <c r="B196" s="92" t="s">
        <v>76</v>
      </c>
      <c r="C196" s="13"/>
      <c r="D196" s="154"/>
      <c r="E196" s="140">
        <f>(Financials!C57-Financials!B57)/Financials!B57</f>
        <v>-0.16748768472906403</v>
      </c>
      <c r="F196" s="141">
        <f>(Financials!D57-Financials!C57)/Financials!C57</f>
        <v>4.8964497041420119</v>
      </c>
      <c r="G196" s="141">
        <f>(Financials!E57-Financials!D57)/Financials!D57</f>
        <v>0.43803311590566985</v>
      </c>
      <c r="H196" s="142">
        <f>(Financials!F57-Financials!E57)/Financials!E57</f>
        <v>-0.92812281926029305</v>
      </c>
      <c r="I196" s="13"/>
      <c r="J196" s="13"/>
      <c r="K196" s="13"/>
      <c r="L196" s="13"/>
      <c r="M196" s="13"/>
    </row>
    <row r="197" spans="2:13" ht="16" outlineLevel="1">
      <c r="B197" s="92" t="s">
        <v>77</v>
      </c>
      <c r="C197" s="13"/>
      <c r="D197" s="154"/>
      <c r="E197" s="140">
        <f>(Financials!C58-Financials!B58)/Financials!B58</f>
        <v>0.16465681385438391</v>
      </c>
      <c r="F197" s="141">
        <f>(Financials!D58-Financials!C58)/Financials!C58</f>
        <v>3.5811599844297391E-3</v>
      </c>
      <c r="G197" s="141">
        <f>(Financials!E58-Financials!D58)/Financials!D58</f>
        <v>-0.11155069428283299</v>
      </c>
      <c r="H197" s="142">
        <f>(Financials!F58-Financials!E58)/Financials!E58</f>
        <v>-2.4011176111062602E-2</v>
      </c>
      <c r="I197" s="13"/>
      <c r="J197" s="13"/>
      <c r="K197" s="13"/>
      <c r="L197" s="13"/>
      <c r="M197" s="13"/>
    </row>
    <row r="198" spans="2:13" ht="16" outlineLevel="1">
      <c r="B198" s="92" t="s">
        <v>78</v>
      </c>
      <c r="C198" s="13"/>
      <c r="D198" s="154"/>
      <c r="E198" s="140">
        <f>(Financials!C59-Financials!B59)/Financials!B59</f>
        <v>0.16465681385438391</v>
      </c>
      <c r="F198" s="141">
        <f>(Financials!D59-Financials!C59)/Financials!C59</f>
        <v>3.5811599844297391E-3</v>
      </c>
      <c r="G198" s="141">
        <f>(Financials!E59-Financials!D59)/Financials!D59</f>
        <v>-0.11155069428283299</v>
      </c>
      <c r="H198" s="142">
        <f>(Financials!F59-Financials!E59)/Financials!E59</f>
        <v>-2.4011176111062602E-2</v>
      </c>
      <c r="I198" s="13"/>
      <c r="J198" s="13"/>
      <c r="K198" s="13"/>
      <c r="L198" s="13"/>
      <c r="M198" s="13"/>
    </row>
    <row r="199" spans="2:13" ht="16" outlineLevel="1">
      <c r="B199" s="92" t="s">
        <v>79</v>
      </c>
      <c r="C199" s="13"/>
      <c r="D199" s="154"/>
      <c r="E199" s="140">
        <f>(Financials!C60-Financials!B60)/Financials!B60</f>
        <v>0.16172651562639923</v>
      </c>
      <c r="F199" s="141">
        <f>(Financials!D60-Financials!C60)/Financials!C60</f>
        <v>4.9333230555769674E-3</v>
      </c>
      <c r="G199" s="141">
        <f>(Financials!E60-Financials!D60)/Financials!D60</f>
        <v>-0.11183554498734372</v>
      </c>
      <c r="H199" s="142">
        <f>(Financials!F60-Financials!E60)/Financials!E60</f>
        <v>-2.2886259607910873E-2</v>
      </c>
      <c r="I199" s="13"/>
      <c r="J199" s="13"/>
      <c r="K199" s="13"/>
      <c r="L199" s="13"/>
      <c r="M199" s="13"/>
    </row>
    <row r="200" spans="2:13" ht="16" outlineLevel="1">
      <c r="B200" s="92" t="s">
        <v>80</v>
      </c>
      <c r="C200" s="13"/>
      <c r="D200" s="154"/>
      <c r="E200" s="140">
        <f>(Financials!C61-Financials!B61)/Financials!B61</f>
        <v>-7.2463768115942032E-2</v>
      </c>
      <c r="F200" s="141">
        <f>(Financials!D61-Financials!C61)/Financials!C61</f>
        <v>0.140625</v>
      </c>
      <c r="G200" s="141">
        <f>(Financials!E61-Financials!D61)/Financials!D61</f>
        <v>-0.13698630136986301</v>
      </c>
      <c r="H200" s="142">
        <f>(Financials!F61-Financials!E61)/Financials!E61</f>
        <v>7.9365079365079361E-2</v>
      </c>
      <c r="I200" s="13"/>
      <c r="J200" s="13"/>
      <c r="K200" s="13"/>
      <c r="L200" s="13"/>
      <c r="M200" s="13"/>
    </row>
    <row r="201" spans="2:13" ht="16" outlineLevel="1">
      <c r="B201" s="92" t="s">
        <v>81</v>
      </c>
      <c r="C201" s="13"/>
      <c r="D201" s="154"/>
      <c r="E201" s="143" t="s">
        <v>140</v>
      </c>
      <c r="F201" s="144" t="s">
        <v>140</v>
      </c>
      <c r="G201" s="144" t="s">
        <v>140</v>
      </c>
      <c r="H201" s="145" t="s">
        <v>140</v>
      </c>
      <c r="I201" s="13"/>
      <c r="J201" s="13"/>
      <c r="K201" s="13"/>
      <c r="L201" s="13"/>
      <c r="M201" s="13"/>
    </row>
    <row r="202" spans="2:13" ht="16" outlineLevel="1">
      <c r="B202" s="92" t="s">
        <v>82</v>
      </c>
      <c r="C202" s="13"/>
      <c r="D202" s="154"/>
      <c r="E202" s="140">
        <f>(Financials!C63-Financials!B63)/Financials!B63</f>
        <v>0.15645161290322582</v>
      </c>
      <c r="F202" s="141">
        <f>(Financials!D63-Financials!C63)/Financials!C63</f>
        <v>0.23988842398884239</v>
      </c>
      <c r="G202" s="141">
        <f>(Financials!E63-Financials!D63)/Financials!D63</f>
        <v>5.1743532058492692E-2</v>
      </c>
      <c r="H202" s="142">
        <f>(Financials!F63-Financials!E63)/Financials!E63</f>
        <v>-0.11657754010695187</v>
      </c>
      <c r="I202" s="13"/>
      <c r="J202" s="13"/>
      <c r="K202" s="13"/>
      <c r="L202" s="13"/>
      <c r="M202" s="13"/>
    </row>
    <row r="203" spans="2:13" ht="16" outlineLevel="1">
      <c r="B203" s="92" t="s">
        <v>83</v>
      </c>
      <c r="C203" s="13"/>
      <c r="D203" s="154"/>
      <c r="E203" s="140">
        <f>(Financials!C64-Financials!B64)/Financials!B64</f>
        <v>0.15645161290322582</v>
      </c>
      <c r="F203" s="141">
        <f>(Financials!D64-Financials!C64)/Financials!C64</f>
        <v>-1</v>
      </c>
      <c r="G203" s="144" t="s">
        <v>140</v>
      </c>
      <c r="H203" s="145" t="s">
        <v>140</v>
      </c>
      <c r="I203" s="13"/>
      <c r="J203" s="13"/>
      <c r="K203" s="13"/>
      <c r="L203" s="13"/>
      <c r="M203" s="13"/>
    </row>
    <row r="204" spans="2:13" ht="16" outlineLevel="1">
      <c r="B204" s="92" t="s">
        <v>84</v>
      </c>
      <c r="C204" s="13"/>
      <c r="D204" s="154"/>
      <c r="E204" s="140">
        <f>(Financials!C65-Financials!B65)/Financials!B65</f>
        <v>-0.65393158596179479</v>
      </c>
      <c r="F204" s="141">
        <f>(Financials!D65-Financials!C65)/Financials!C65</f>
        <v>8.0872913992297818E-2</v>
      </c>
      <c r="G204" s="141">
        <f>(Financials!E65-Financials!D65)/Financials!D65</f>
        <v>0.13182897862232779</v>
      </c>
      <c r="H204" s="142">
        <f>(Financials!F65-Financials!E65)/Financials!E65</f>
        <v>3.6726128016789088E-2</v>
      </c>
      <c r="I204" s="13"/>
      <c r="J204" s="13"/>
      <c r="K204" s="13"/>
      <c r="L204" s="13"/>
      <c r="M204" s="13"/>
    </row>
    <row r="205" spans="2:13" ht="16" outlineLevel="1">
      <c r="B205" s="92" t="s">
        <v>85</v>
      </c>
      <c r="C205" s="13"/>
      <c r="D205" s="154"/>
      <c r="E205" s="140">
        <f>(Financials!C66-Financials!B66)/Financials!B66</f>
        <v>-0.65393158596179479</v>
      </c>
      <c r="F205" s="141">
        <f>(Financials!D66-Financials!C66)/Financials!C66</f>
        <v>8.0872913992297818E-2</v>
      </c>
      <c r="G205" s="141">
        <f>(Financials!E66-Financials!D66)/Financials!D66</f>
        <v>0.13182897862232779</v>
      </c>
      <c r="H205" s="142">
        <f>(Financials!F66-Financials!E66)/Financials!E66</f>
        <v>3.6726128016789088E-2</v>
      </c>
      <c r="I205" s="13"/>
      <c r="J205" s="13"/>
      <c r="K205" s="13"/>
      <c r="L205" s="13"/>
      <c r="M205" s="13"/>
    </row>
    <row r="206" spans="2:13" ht="16" outlineLevel="1">
      <c r="B206" s="92" t="s">
        <v>86</v>
      </c>
      <c r="C206" s="13"/>
      <c r="D206" s="154"/>
      <c r="E206" s="140">
        <f>(Financials!C67-Financials!B67)/Financials!B67</f>
        <v>0.23337950138504154</v>
      </c>
      <c r="F206" s="141">
        <f>(Financials!D67-Financials!C67)/Financials!C67</f>
        <v>-0.10896767466110532</v>
      </c>
      <c r="G206" s="141">
        <f>(Financials!E67-Financials!D67)/Financials!D67</f>
        <v>-0.12620965926992844</v>
      </c>
      <c r="H206" s="142">
        <f>(Financials!F67-Financials!E67)/Financials!E67</f>
        <v>-5.3057229691443877E-3</v>
      </c>
      <c r="I206" s="13"/>
      <c r="J206" s="13"/>
      <c r="K206" s="13"/>
      <c r="L206" s="13"/>
      <c r="M206" s="13"/>
    </row>
    <row r="207" spans="2:13" ht="16" outlineLevel="1">
      <c r="B207" s="92" t="s">
        <v>87</v>
      </c>
      <c r="C207" s="13"/>
      <c r="D207" s="154"/>
      <c r="E207" s="140">
        <f>(Financials!C68-Financials!B68)/Financials!B68</f>
        <v>4.8404902765590056E-2</v>
      </c>
      <c r="F207" s="141">
        <f>(Financials!D68-Financials!C68)/Financials!C68</f>
        <v>3.8799038799038801E-2</v>
      </c>
      <c r="G207" s="141">
        <f>(Financials!E68-Financials!D68)/Financials!D68</f>
        <v>7.2230597286479181E-2</v>
      </c>
      <c r="H207" s="142">
        <f>(Financials!F68-Financials!E68)/Financials!E68</f>
        <v>1.8180495963929896E-3</v>
      </c>
      <c r="I207" s="13"/>
      <c r="J207" s="13"/>
      <c r="K207" s="13"/>
      <c r="L207" s="13"/>
      <c r="M207" s="13"/>
    </row>
    <row r="208" spans="2:13" ht="16" outlineLevel="1">
      <c r="B208" s="92" t="s">
        <v>88</v>
      </c>
      <c r="C208" s="13"/>
      <c r="D208" s="154"/>
      <c r="E208" s="140">
        <f>(Financials!C69-Financials!B69)/Financials!B69</f>
        <v>4.9214290098827572E-2</v>
      </c>
      <c r="F208" s="141">
        <f>(Financials!D69-Financials!C69)/Financials!C69</f>
        <v>4.1157800821985932E-2</v>
      </c>
      <c r="G208" s="141">
        <f>(Financials!E69-Financials!D69)/Financials!D69</f>
        <v>6.5154175739270917E-2</v>
      </c>
      <c r="H208" s="142">
        <f>(Financials!F69-Financials!E69)/Financials!E69</f>
        <v>2.1391925932764465E-2</v>
      </c>
      <c r="I208" s="13"/>
      <c r="J208" s="13"/>
      <c r="K208" s="13"/>
      <c r="L208" s="13"/>
      <c r="M208" s="13"/>
    </row>
    <row r="209" spans="2:13" ht="16" outlineLevel="1">
      <c r="B209" s="92" t="s">
        <v>89</v>
      </c>
      <c r="C209" s="13"/>
      <c r="D209" s="154"/>
      <c r="E209" s="140">
        <f>(Financials!C70-Financials!B70)/Financials!B70</f>
        <v>4.5041561956311621E-2</v>
      </c>
      <c r="F209" s="141">
        <f>(Financials!D70-Financials!C70)/Financials!C70</f>
        <v>2.6544580096189419E-2</v>
      </c>
      <c r="G209" s="141">
        <f>(Financials!E70-Financials!D70)/Financials!D70</f>
        <v>3.5768988197134879E-2</v>
      </c>
      <c r="H209" s="142">
        <f>(Financials!F70-Financials!E70)/Financials!E70</f>
        <v>7.1242171189979123E-2</v>
      </c>
      <c r="I209" s="13"/>
      <c r="J209" s="13"/>
      <c r="K209" s="13"/>
      <c r="L209" s="13"/>
      <c r="M209" s="13"/>
    </row>
    <row r="210" spans="2:13" ht="16" outlineLevel="1">
      <c r="B210" s="92" t="s">
        <v>90</v>
      </c>
      <c r="C210" s="13"/>
      <c r="D210" s="154"/>
      <c r="E210" s="140">
        <f>(Financials!C71-Financials!B71)/Financials!B71</f>
        <v>4.2884990253411304E-2</v>
      </c>
      <c r="F210" s="141">
        <f>(Financials!D71-Financials!C71)/Financials!C71</f>
        <v>0</v>
      </c>
      <c r="G210" s="141">
        <f>(Financials!E71-Financials!D71)/Financials!D71</f>
        <v>-9.3457943925233649E-4</v>
      </c>
      <c r="H210" s="142">
        <f>(Financials!F71-Financials!E71)/Financials!E71</f>
        <v>-1.5902712815715623E-2</v>
      </c>
      <c r="I210" s="13"/>
      <c r="J210" s="13"/>
      <c r="K210" s="13"/>
      <c r="L210" s="13"/>
      <c r="M210" s="13"/>
    </row>
    <row r="211" spans="2:13" ht="16" outlineLevel="1">
      <c r="B211" s="92" t="s">
        <v>91</v>
      </c>
      <c r="C211" s="13"/>
      <c r="D211" s="154"/>
      <c r="E211" s="140">
        <f>(Financials!C72-Financials!B72)/Financials!B72</f>
        <v>6.5742345465049104E-2</v>
      </c>
      <c r="F211" s="141">
        <f>(Financials!D72-Financials!C72)/Financials!C72</f>
        <v>-0.12483738074588031</v>
      </c>
      <c r="G211" s="141">
        <f>(Financials!E72-Financials!D72)/Financials!D72</f>
        <v>7.2901827191080834E-2</v>
      </c>
      <c r="H211" s="142">
        <f>(Financials!F72-Financials!E72)/Financials!E72</f>
        <v>6.7717353654312432E-2</v>
      </c>
      <c r="I211" s="13"/>
      <c r="J211" s="13"/>
      <c r="K211" s="13"/>
      <c r="L211" s="13"/>
      <c r="M211" s="13"/>
    </row>
    <row r="212" spans="2:13" ht="16" outlineLevel="1">
      <c r="B212" s="92" t="s">
        <v>92</v>
      </c>
      <c r="C212" s="13"/>
      <c r="D212" s="154"/>
      <c r="E212" s="140">
        <f>(Financials!C73-Financials!B73)/Financials!B73</f>
        <v>-0.3076171875</v>
      </c>
      <c r="F212" s="141">
        <f>(Financials!D73-Financials!C73)/Financials!C73</f>
        <v>0.69887165021156561</v>
      </c>
      <c r="G212" s="141">
        <f>(Financials!E73-Financials!D73)/Financials!D73</f>
        <v>0.34786218347862186</v>
      </c>
      <c r="H212" s="142">
        <f>(Financials!F73-Financials!E73)/Financials!E73</f>
        <v>-0.3942100400369572</v>
      </c>
      <c r="I212" s="13"/>
      <c r="J212" s="13"/>
      <c r="K212" s="13"/>
      <c r="L212" s="13"/>
      <c r="M212" s="13"/>
    </row>
    <row r="213" spans="2:13" ht="16" outlineLevel="1">
      <c r="B213" s="92" t="s">
        <v>93</v>
      </c>
      <c r="C213" s="13"/>
      <c r="D213" s="154"/>
      <c r="E213" s="143" t="s">
        <v>140</v>
      </c>
      <c r="F213" s="144" t="s">
        <v>140</v>
      </c>
      <c r="G213" s="141">
        <f>(Financials!E74-Financials!D74)/Financials!D74</f>
        <v>0.10161758606387392</v>
      </c>
      <c r="H213" s="142">
        <f>(Financials!F74-Financials!E74)/Financials!E74</f>
        <v>2.9743975903614456E-2</v>
      </c>
      <c r="I213" s="13"/>
      <c r="J213" s="13"/>
      <c r="K213" s="13"/>
      <c r="L213" s="13"/>
      <c r="M213" s="13"/>
    </row>
    <row r="214" spans="2:13" ht="16" outlineLevel="1">
      <c r="B214" s="92" t="s">
        <v>94</v>
      </c>
      <c r="C214" s="13"/>
      <c r="D214" s="154"/>
      <c r="E214" s="140">
        <f>(Financials!C75-Financials!B75)/Financials!B75</f>
        <v>5.4590407120487884E-2</v>
      </c>
      <c r="F214" s="141">
        <f>(Financials!D75-Financials!C75)/Financials!C75</f>
        <v>3.8604607545872277E-2</v>
      </c>
      <c r="G214" s="141">
        <f>(Financials!E75-Financials!D75)/Financials!D75</f>
        <v>4.3038584241256846E-2</v>
      </c>
      <c r="H214" s="142">
        <f>(Financials!F75-Financials!E75)/Financials!E75</f>
        <v>2.9547553093259463E-2</v>
      </c>
      <c r="I214" s="13"/>
      <c r="J214" s="13"/>
      <c r="K214" s="13"/>
      <c r="L214" s="13"/>
      <c r="M214" s="13"/>
    </row>
    <row r="215" spans="2:13" ht="16" outlineLevel="1">
      <c r="B215" s="92" t="s">
        <v>95</v>
      </c>
      <c r="C215" s="13"/>
      <c r="D215" s="154"/>
      <c r="E215" s="140">
        <f>(Financials!C76-Financials!B76)/Financials!B76</f>
        <v>0.15912788805727301</v>
      </c>
      <c r="F215" s="141">
        <f>(Financials!D76-Financials!C76)/Financials!C76</f>
        <v>5.4183043234138126E-2</v>
      </c>
      <c r="G215" s="141">
        <f>(Financials!E76-Financials!D76)/Financials!D76</f>
        <v>0.14727030625832224</v>
      </c>
      <c r="H215" s="142">
        <f>(Financials!F76-Financials!E76)/Financials!E76</f>
        <v>-3.6908077994428967E-2</v>
      </c>
      <c r="I215" s="13"/>
      <c r="J215" s="13"/>
      <c r="K215" s="13"/>
      <c r="L215" s="13"/>
      <c r="M215" s="13"/>
    </row>
    <row r="216" spans="2:13" ht="16" outlineLevel="1">
      <c r="B216" s="92" t="s">
        <v>96</v>
      </c>
      <c r="C216" s="13"/>
      <c r="D216" s="154"/>
      <c r="E216" s="140">
        <f>(Financials!C77-Financials!B77)/Financials!B77</f>
        <v>5.0172604484365051E-2</v>
      </c>
      <c r="F216" s="141">
        <f>(Financials!D77-Financials!C77)/Financials!C77</f>
        <v>4.394587349205336E-2</v>
      </c>
      <c r="G216" s="141">
        <f>(Financials!E77-Financials!D77)/Financials!D77</f>
        <v>5.6831035431506222E-2</v>
      </c>
      <c r="H216" s="142">
        <f>(Financials!F77-Financials!E77)/Financials!E77</f>
        <v>4.474978304888632E-2</v>
      </c>
      <c r="I216" s="13"/>
      <c r="J216" s="13"/>
      <c r="K216" s="13"/>
      <c r="L216" s="13"/>
      <c r="M216" s="13"/>
    </row>
    <row r="217" spans="2:13" ht="16" outlineLevel="1">
      <c r="B217" s="92" t="s">
        <v>97</v>
      </c>
      <c r="C217" s="13"/>
      <c r="D217" s="154"/>
      <c r="E217" s="140">
        <f>(Financials!C78-Financials!B78)/Financials!B78</f>
        <v>0.04</v>
      </c>
      <c r="F217" s="141">
        <f>(Financials!D78-Financials!C78)/Financials!C78</f>
        <v>20.346153846153847</v>
      </c>
      <c r="G217" s="141">
        <f>(Financials!E78-Financials!D78)/Financials!D78</f>
        <v>-0.23603603603603604</v>
      </c>
      <c r="H217" s="142">
        <f>(Financials!F78-Financials!E78)/Financials!E78</f>
        <v>0.17688679245283018</v>
      </c>
      <c r="I217" s="13"/>
      <c r="J217" s="13"/>
      <c r="K217" s="13"/>
      <c r="L217" s="13"/>
      <c r="M217" s="13"/>
    </row>
    <row r="218" spans="2:13" ht="16" outlineLevel="1">
      <c r="B218" s="92" t="s">
        <v>98</v>
      </c>
      <c r="C218" s="13"/>
      <c r="D218" s="154"/>
      <c r="E218" s="143" t="s">
        <v>140</v>
      </c>
      <c r="F218" s="144" t="s">
        <v>140</v>
      </c>
      <c r="G218" s="141">
        <f>(Financials!E79-Financials!D79)/Financials!D79</f>
        <v>0.15234375</v>
      </c>
      <c r="H218" s="142">
        <f>(Financials!F79-Financials!E79)/Financials!E79</f>
        <v>3.0508474576271188E-2</v>
      </c>
      <c r="I218" s="13"/>
      <c r="J218" s="13"/>
      <c r="K218" s="13"/>
      <c r="L218" s="13"/>
      <c r="M218" s="13"/>
    </row>
    <row r="219" spans="2:13" ht="16" outlineLevel="1">
      <c r="B219" s="92" t="s">
        <v>99</v>
      </c>
      <c r="C219" s="13"/>
      <c r="D219" s="154"/>
      <c r="E219" s="140">
        <f>(Financials!C80-Financials!B80)/Financials!B80</f>
        <v>0.04</v>
      </c>
      <c r="F219" s="141">
        <f>(Financials!D80-Financials!C80)/Financials!C80</f>
        <v>10.5</v>
      </c>
      <c r="G219" s="141">
        <f>(Financials!E80-Financials!D80)/Financials!D80</f>
        <v>-0.56856187290969895</v>
      </c>
      <c r="H219" s="142">
        <f>(Financials!F80-Financials!E80)/Financials!E80</f>
        <v>0.51162790697674421</v>
      </c>
      <c r="I219" s="13"/>
      <c r="J219" s="13"/>
      <c r="K219" s="13"/>
      <c r="L219" s="13"/>
      <c r="M219" s="13"/>
    </row>
    <row r="220" spans="2:13" ht="16" outlineLevel="1">
      <c r="B220" s="92" t="s">
        <v>100</v>
      </c>
      <c r="C220" s="13"/>
      <c r="D220" s="154"/>
      <c r="E220" s="140">
        <f>(Financials!C81-Financials!B81)/Financials!B81</f>
        <v>9.5195887254032968E-2</v>
      </c>
      <c r="F220" s="141">
        <f>(Financials!D81-Financials!C81)/Financials!C81</f>
        <v>0.13612819682745225</v>
      </c>
      <c r="G220" s="141">
        <f>(Financials!E81-Financials!D81)/Financials!D81</f>
        <v>0.16498076649095314</v>
      </c>
      <c r="H220" s="142">
        <f>(Financials!F81-Financials!E81)/Financials!E81</f>
        <v>-9.942521707227589E-2</v>
      </c>
      <c r="I220" s="13"/>
      <c r="J220" s="13"/>
      <c r="K220" s="13"/>
      <c r="L220" s="13"/>
      <c r="M220" s="13"/>
    </row>
    <row r="221" spans="2:13" ht="16" outlineLevel="1">
      <c r="B221" s="92" t="s">
        <v>101</v>
      </c>
      <c r="C221" s="13"/>
      <c r="D221" s="154"/>
      <c r="E221" s="140">
        <f>(Financials!C82-Financials!B82)/Financials!B82</f>
        <v>9.6525096525096526E-2</v>
      </c>
      <c r="F221" s="141">
        <f>(Financials!D82-Financials!C82)/Financials!C82</f>
        <v>0.14382448537378115</v>
      </c>
      <c r="G221" s="141">
        <f>(Financials!E82-Financials!D82)/Financials!D82</f>
        <v>0.15368221643381483</v>
      </c>
      <c r="H221" s="142">
        <f>(Financials!F82-Financials!E82)/Financials!E82</f>
        <v>-0.1174055829228243</v>
      </c>
      <c r="I221" s="13"/>
      <c r="J221" s="13"/>
      <c r="K221" s="13"/>
      <c r="L221" s="13"/>
      <c r="M221" s="13"/>
    </row>
    <row r="222" spans="2:13" ht="16" outlineLevel="1">
      <c r="B222" s="92" t="s">
        <v>102</v>
      </c>
      <c r="C222" s="13"/>
      <c r="D222" s="154"/>
      <c r="E222" s="140">
        <f>(Financials!C83-Financials!B83)/Financials!B83</f>
        <v>9.3227792436235704E-2</v>
      </c>
      <c r="F222" s="141">
        <f>(Financials!D83-Financials!C83)/Financials!C83</f>
        <v>0.1246983105390185</v>
      </c>
      <c r="G222" s="141">
        <f>(Financials!E83-Financials!D83)/Financials!D83</f>
        <v>0.18204577968526467</v>
      </c>
      <c r="H222" s="142">
        <f>(Financials!F83-Financials!E83)/Financials!E83</f>
        <v>-7.2919818456883514E-2</v>
      </c>
      <c r="I222" s="13"/>
      <c r="J222" s="13"/>
      <c r="K222" s="13"/>
      <c r="L222" s="13"/>
      <c r="M222" s="13"/>
    </row>
    <row r="223" spans="2:13" ht="16" outlineLevel="1">
      <c r="B223" s="92" t="s">
        <v>103</v>
      </c>
      <c r="C223" s="13"/>
      <c r="D223" s="154"/>
      <c r="E223" s="140">
        <f>(Financials!C84-Financials!B84)/Financials!B84</f>
        <v>-0.66603415559772294</v>
      </c>
      <c r="F223" s="141">
        <f>(Financials!D84-Financials!C84)/Financials!C84</f>
        <v>-0.21022727272727273</v>
      </c>
      <c r="G223" s="141">
        <f>(Financials!E84-Financials!D84)/Financials!D84</f>
        <v>-9.3525179856115109E-2</v>
      </c>
      <c r="H223" s="142">
        <f>(Financials!F84-Financials!E84)/Financials!E84</f>
        <v>-0.1111111111111111</v>
      </c>
      <c r="I223" s="13"/>
      <c r="J223" s="13"/>
      <c r="K223" s="13"/>
      <c r="L223" s="13"/>
      <c r="M223" s="13"/>
    </row>
    <row r="224" spans="2:13" ht="16" outlineLevel="1">
      <c r="B224" s="92" t="s">
        <v>104</v>
      </c>
      <c r="C224" s="13"/>
      <c r="D224" s="154"/>
      <c r="E224" s="140">
        <f>(Financials!C85-Financials!B85)/Financials!B85</f>
        <v>0.56845238095238093</v>
      </c>
      <c r="F224" s="141">
        <f>(Financials!D85-Financials!C85)/Financials!C85</f>
        <v>1.5806451612903225</v>
      </c>
      <c r="G224" s="141">
        <f>(Financials!E85-Financials!D85)/Financials!D85</f>
        <v>-0.46176470588235297</v>
      </c>
      <c r="H224" s="142">
        <f>(Financials!F85-Financials!E85)/Financials!E85</f>
        <v>-4.7814207650273225E-3</v>
      </c>
      <c r="I224" s="13"/>
      <c r="J224" s="13"/>
      <c r="K224" s="13"/>
      <c r="L224" s="13"/>
      <c r="M224" s="13"/>
    </row>
    <row r="225" spans="2:13" ht="16" outlineLevel="1">
      <c r="B225" s="92" t="s">
        <v>105</v>
      </c>
      <c r="C225" s="13"/>
      <c r="D225" s="154"/>
      <c r="E225" s="143" t="s">
        <v>140</v>
      </c>
      <c r="F225" s="144" t="s">
        <v>140</v>
      </c>
      <c r="G225" s="141">
        <f>(Financials!E86-Financials!D86)/Financials!D86</f>
        <v>-0.72039473684210531</v>
      </c>
      <c r="H225" s="142">
        <f>(Financials!F86-Financials!E86)/Financials!E86</f>
        <v>-5.8823529411764705E-2</v>
      </c>
      <c r="I225" s="13"/>
      <c r="J225" s="13"/>
      <c r="K225" s="13"/>
      <c r="L225" s="13"/>
      <c r="M225" s="13"/>
    </row>
    <row r="226" spans="2:13" ht="16" outlineLevel="1">
      <c r="B226" s="92" t="s">
        <v>106</v>
      </c>
      <c r="C226" s="13"/>
      <c r="D226" s="154"/>
      <c r="E226" s="140">
        <f>(Financials!C87-Financials!B87)/Financials!B87</f>
        <v>0.56845238095238093</v>
      </c>
      <c r="F226" s="141">
        <f>(Financials!D87-Financials!C87)/Financials!C87</f>
        <v>-0.14990512333965844</v>
      </c>
      <c r="G226" s="141">
        <f>(Financials!E87-Financials!D87)/Financials!D87</f>
        <v>6.4732142857142863E-2</v>
      </c>
      <c r="H226" s="142">
        <f>(Financials!F87-Financials!E87)/Financials!E87</f>
        <v>2.4109014675052411E-2</v>
      </c>
      <c r="I226" s="13"/>
      <c r="J226" s="13"/>
      <c r="K226" s="13"/>
      <c r="L226" s="13"/>
      <c r="M226" s="13"/>
    </row>
    <row r="227" spans="2:13" ht="16" outlineLevel="1">
      <c r="B227" s="49" t="s">
        <v>107</v>
      </c>
      <c r="C227" s="13"/>
      <c r="D227" s="154"/>
      <c r="E227" s="140">
        <f>(Financials!C88-Financials!B88)/Financials!B88</f>
        <v>0.11211703627740033</v>
      </c>
      <c r="F227" s="141">
        <f>(Financials!D88-Financials!C88)/Financials!C88</f>
        <v>2.4767668035444133E-2</v>
      </c>
      <c r="G227" s="141">
        <f>(Financials!E88-Financials!D88)/Financials!D88</f>
        <v>-3.7540070862156234E-3</v>
      </c>
      <c r="H227" s="142">
        <f>(Financials!F88-Financials!E88)/Financials!E88</f>
        <v>-1.1106877231607321E-2</v>
      </c>
      <c r="I227" s="13"/>
      <c r="J227" s="13"/>
      <c r="K227" s="13"/>
      <c r="L227" s="13"/>
      <c r="M227" s="13"/>
    </row>
    <row r="228" spans="2:13" ht="16" outlineLevel="1">
      <c r="B228" s="92" t="s">
        <v>108</v>
      </c>
      <c r="C228" s="13"/>
      <c r="D228" s="154"/>
      <c r="E228" s="140">
        <f>(Financials!C89-Financials!B89)/Financials!B89</f>
        <v>-0.14828777882500785</v>
      </c>
      <c r="F228" s="141">
        <f>(Financials!D89-Financials!C89)/Financials!C89</f>
        <v>9.2585761711545561E-2</v>
      </c>
      <c r="G228" s="141">
        <f>(Financials!E89-Financials!D89)/Financials!D89</f>
        <v>0.36968264686022956</v>
      </c>
      <c r="H228" s="142">
        <f>(Financials!F89-Financials!E89)/Financials!E89</f>
        <v>-0.36628050283460684</v>
      </c>
      <c r="I228" s="13"/>
      <c r="J228" s="13"/>
      <c r="K228" s="13"/>
      <c r="L228" s="13"/>
      <c r="M228" s="13"/>
    </row>
    <row r="229" spans="2:13" ht="16" outlineLevel="1">
      <c r="B229" s="92" t="s">
        <v>109</v>
      </c>
      <c r="C229" s="13"/>
      <c r="D229" s="154"/>
      <c r="E229" s="140">
        <f>(Financials!C90-Financials!B90)/Financials!B90</f>
        <v>0.16545313710302093</v>
      </c>
      <c r="F229" s="141">
        <f>(Financials!D90-Financials!C90)/Financials!C90</f>
        <v>-1.4621826399042934E-3</v>
      </c>
      <c r="G229" s="141">
        <f>(Financials!E90-Financials!D90)/Financials!D90</f>
        <v>-0.15601703940362088</v>
      </c>
      <c r="H229" s="142">
        <f>(Financials!F90-Financials!E90)/Financials!E90</f>
        <v>-5.9936908517350162E-3</v>
      </c>
      <c r="I229" s="13"/>
      <c r="J229" s="13"/>
      <c r="K229" s="13"/>
      <c r="L229" s="13"/>
      <c r="M229" s="13"/>
    </row>
    <row r="230" spans="2:13" ht="16" outlineLevel="1">
      <c r="B230" s="92" t="s">
        <v>110</v>
      </c>
      <c r="C230" s="13"/>
      <c r="D230" s="154"/>
      <c r="E230" s="140">
        <f>(Financials!C91-Financials!B91)/Financials!B91</f>
        <v>-5.8281377066955811E-3</v>
      </c>
      <c r="F230" s="141">
        <f>(Financials!D91-Financials!C91)/Financials!C91</f>
        <v>4.5126107702794821E-2</v>
      </c>
      <c r="G230" s="141">
        <f>(Financials!E91-Financials!D91)/Financials!D91</f>
        <v>-5.0482650665275242E-2</v>
      </c>
      <c r="H230" s="142">
        <f>(Financials!F91-Financials!E91)/Financials!E91</f>
        <v>3.970325594175024E-2</v>
      </c>
      <c r="I230" s="13"/>
      <c r="J230" s="13"/>
      <c r="K230" s="13"/>
      <c r="L230" s="13"/>
      <c r="M230" s="13"/>
    </row>
    <row r="231" spans="2:13" ht="16" outlineLevel="1">
      <c r="B231" s="92" t="s">
        <v>111</v>
      </c>
      <c r="C231" s="13"/>
      <c r="D231" s="154"/>
      <c r="E231" s="140">
        <f>(Financials!C92-Financials!B92)/Financials!B92</f>
        <v>8.029359430604982E-2</v>
      </c>
      <c r="F231" s="141">
        <f>(Financials!D92-Financials!C92)/Financials!C92</f>
        <v>6.4443071855054559E-2</v>
      </c>
      <c r="G231" s="141">
        <f>(Financials!E92-Financials!D92)/Financials!D92</f>
        <v>-9.0328820116054157E-2</v>
      </c>
      <c r="H231" s="142">
        <f>(Financials!F92-Financials!E92)/Financials!E92</f>
        <v>7.2719540718690204E-2</v>
      </c>
      <c r="I231" s="13"/>
      <c r="J231" s="13"/>
      <c r="K231" s="13"/>
      <c r="L231" s="13"/>
      <c r="M231" s="13"/>
    </row>
    <row r="232" spans="2:13" ht="16" outlineLevel="1">
      <c r="B232" s="92" t="s">
        <v>112</v>
      </c>
      <c r="C232" s="13"/>
      <c r="D232" s="154"/>
      <c r="E232" s="140">
        <f>(Financials!C93-Financials!B93)/Financials!B93</f>
        <v>-0.14018043025676613</v>
      </c>
      <c r="F232" s="141">
        <f>(Financials!D93-Financials!C93)/Financials!C93</f>
        <v>7.2639225181598066E-3</v>
      </c>
      <c r="G232" s="141">
        <f>(Financials!E93-Financials!D93)/Financials!D93</f>
        <v>3.2051282051282048E-2</v>
      </c>
      <c r="H232" s="142">
        <f>(Financials!F93-Financials!E93)/Financials!E93</f>
        <v>-2.0574534161490684E-2</v>
      </c>
      <c r="I232" s="13"/>
      <c r="J232" s="13"/>
      <c r="K232" s="13"/>
      <c r="L232" s="13"/>
      <c r="M232" s="13"/>
    </row>
    <row r="233" spans="2:13" ht="16" outlineLevel="1">
      <c r="B233" s="92" t="s">
        <v>113</v>
      </c>
      <c r="C233" s="13"/>
      <c r="D233" s="154"/>
      <c r="E233" s="140">
        <f>(Financials!C94-Financials!B94)/Financials!B94</f>
        <v>3.2498824635637046E-2</v>
      </c>
      <c r="F233" s="141">
        <f>(Financials!D94-Financials!C94)/Financials!C94</f>
        <v>3.250042688826911E-2</v>
      </c>
      <c r="G233" s="141">
        <f>(Financials!E94-Financials!D94)/Financials!D94</f>
        <v>-2.5578831312017641E-2</v>
      </c>
      <c r="H233" s="142">
        <f>(Financials!F94-Financials!E94)/Financials!E94</f>
        <v>-6.9868748585652868E-2</v>
      </c>
      <c r="I233" s="13"/>
      <c r="J233" s="13"/>
      <c r="K233" s="13"/>
      <c r="L233" s="13"/>
      <c r="M233" s="13"/>
    </row>
    <row r="234" spans="2:13" ht="16" outlineLevel="1">
      <c r="B234" s="92" t="s">
        <v>114</v>
      </c>
      <c r="C234" s="13"/>
      <c r="D234" s="154"/>
      <c r="E234" s="140">
        <f>(Financials!C95-Financials!B95)/Financials!B95</f>
        <v>-7.1384966016849127E-2</v>
      </c>
      <c r="F234" s="141">
        <f>(Financials!D95-Financials!C95)/Financials!C95</f>
        <v>-9.8961300784502784E-2</v>
      </c>
      <c r="G234" s="141">
        <f>(Financials!E95-Financials!D95)/Financials!D95</f>
        <v>0.10277737244029379</v>
      </c>
      <c r="H234" s="142">
        <f>(Financials!F95-Financials!E95)/Financials!E95</f>
        <v>1.8039872971065633E-2</v>
      </c>
      <c r="I234" s="13"/>
      <c r="J234" s="13"/>
      <c r="K234" s="13"/>
      <c r="L234" s="13"/>
      <c r="M234" s="13"/>
    </row>
    <row r="235" spans="2:13" ht="16" outlineLevel="1">
      <c r="B235" s="92" t="s">
        <v>115</v>
      </c>
      <c r="C235" s="13"/>
      <c r="D235" s="154"/>
      <c r="E235" s="140">
        <f>(Financials!C96-Financials!B96)/Financials!B96</f>
        <v>-0.10301218670958841</v>
      </c>
      <c r="F235" s="141">
        <f>(Financials!D96-Financials!C96)/Financials!C96</f>
        <v>-0.12724942322481414</v>
      </c>
      <c r="G235" s="141">
        <f>(Financials!E96-Financials!D96)/Financials!D96</f>
        <v>8.9584679551195437E-2</v>
      </c>
      <c r="H235" s="142">
        <f>(Financials!F96-Financials!E96)/Financials!E96</f>
        <v>2.9491050248005177E-2</v>
      </c>
      <c r="I235" s="13"/>
      <c r="J235" s="13"/>
      <c r="K235" s="13"/>
      <c r="L235" s="13"/>
      <c r="M235" s="13"/>
    </row>
    <row r="236" spans="2:13" ht="16" outlineLevel="1">
      <c r="B236" s="92" t="s">
        <v>116</v>
      </c>
      <c r="C236" s="13"/>
      <c r="D236" s="154"/>
      <c r="E236" s="140">
        <f>(Financials!C97-Financials!B97)/Financials!B97</f>
        <v>0.17197452229299362</v>
      </c>
      <c r="F236" s="141">
        <f>(Financials!D97-Financials!C97)/Financials!C97</f>
        <v>6.7632850241545889E-2</v>
      </c>
      <c r="G236" s="141">
        <f>(Financials!E97-Financials!D97)/Financials!D97</f>
        <v>0.16628959276018099</v>
      </c>
      <c r="H236" s="142">
        <f>(Financials!F97-Financials!E97)/Financials!E97</f>
        <v>-3.3462657613967023E-2</v>
      </c>
      <c r="I236" s="13"/>
      <c r="J236" s="13"/>
      <c r="K236" s="13"/>
      <c r="L236" s="13"/>
      <c r="M236" s="13"/>
    </row>
    <row r="237" spans="2:13" ht="16" outlineLevel="1">
      <c r="B237" s="92" t="s">
        <v>117</v>
      </c>
      <c r="C237" s="13"/>
      <c r="D237" s="154"/>
      <c r="E237" s="140">
        <f>(Financials!C98-Financials!B98)/Financials!B98</f>
        <v>-0.46697490092470278</v>
      </c>
      <c r="F237" s="141">
        <f>(Financials!D98-Financials!C98)/Financials!C98</f>
        <v>-0.36600202771206486</v>
      </c>
      <c r="G237" s="141">
        <f>(Financials!E98-Financials!D98)/Financials!D98</f>
        <v>0.23880597014925373</v>
      </c>
      <c r="H237" s="142">
        <f>(Financials!F98-Financials!E98)/Financials!E98</f>
        <v>9.9110728628800923E-2</v>
      </c>
      <c r="I237" s="13"/>
      <c r="J237" s="13"/>
      <c r="K237" s="13"/>
      <c r="L237" s="13"/>
      <c r="M237" s="13"/>
    </row>
    <row r="238" spans="2:13" ht="16" outlineLevel="1">
      <c r="B238" s="92" t="s">
        <v>118</v>
      </c>
      <c r="C238" s="13"/>
      <c r="D238" s="154"/>
      <c r="E238" s="140">
        <f>(Financials!C99-Financials!B99)/Financials!B99</f>
        <v>5.403688524590164</v>
      </c>
      <c r="F238" s="141">
        <f>(Financials!D99-Financials!C99)/Financials!C99</f>
        <v>0.37663999999999997</v>
      </c>
      <c r="G238" s="141">
        <f>(Financials!E99-Financials!D99)/Financials!D99</f>
        <v>-0.12319851231985124</v>
      </c>
      <c r="H238" s="142">
        <f>(Financials!F99-Financials!E99)/Financials!E99</f>
        <v>-4.6924708377518561E-2</v>
      </c>
      <c r="I238" s="13"/>
      <c r="J238" s="13"/>
      <c r="K238" s="13"/>
      <c r="L238" s="13"/>
      <c r="M238" s="13"/>
    </row>
    <row r="239" spans="2:13" ht="16" outlineLevel="1">
      <c r="B239" s="92" t="s">
        <v>119</v>
      </c>
      <c r="C239" s="13"/>
      <c r="D239" s="154"/>
      <c r="E239" s="140">
        <f>(Financials!C100-Financials!B100)/Financials!B100</f>
        <v>-8.7043189368770771E-2</v>
      </c>
      <c r="F239" s="141">
        <f>(Financials!D100-Financials!C100)/Financials!C100</f>
        <v>-2.0378457059679767E-2</v>
      </c>
      <c r="G239" s="141">
        <f>(Financials!E100-Financials!D100)/Financials!D100</f>
        <v>-8.9524517087667163E-2</v>
      </c>
      <c r="H239" s="142">
        <f>(Financials!F100-Financials!E100)/Financials!E100</f>
        <v>3.9167686658506728E-2</v>
      </c>
      <c r="I239" s="13"/>
      <c r="J239" s="13"/>
      <c r="K239" s="13"/>
      <c r="L239" s="13"/>
      <c r="M239" s="13"/>
    </row>
    <row r="240" spans="2:13" ht="16" outlineLevel="1">
      <c r="B240" s="92" t="s">
        <v>120</v>
      </c>
      <c r="C240" s="13"/>
      <c r="D240" s="154"/>
      <c r="E240" s="140">
        <f>(Financials!C101-Financials!B101)/Financials!B101</f>
        <v>-8.7466487935656839E-2</v>
      </c>
      <c r="F240" s="141">
        <f>(Financials!D101-Financials!C101)/Financials!C101</f>
        <v>-2.0932794711715021E-2</v>
      </c>
      <c r="G240" s="141">
        <f>(Financials!E101-Financials!D101)/Financials!D101</f>
        <v>-9.0022505626406596E-2</v>
      </c>
      <c r="H240" s="142">
        <f>(Financials!F101-Financials!E101)/Financials!E101</f>
        <v>3.8746908491343775E-2</v>
      </c>
      <c r="I240" s="13"/>
      <c r="J240" s="13"/>
      <c r="K240" s="13"/>
      <c r="L240" s="13"/>
      <c r="M240" s="13"/>
    </row>
    <row r="241" spans="1:8" ht="16">
      <c r="B241" s="92" t="s">
        <v>121</v>
      </c>
      <c r="D241" s="65"/>
      <c r="E241" s="140">
        <f>(Financials!C102-Financials!B102)/Financials!B102</f>
        <v>-3.8461538461538464E-2</v>
      </c>
      <c r="F241" s="141">
        <f>(Financials!D102-Financials!C102)/Financials!C102</f>
        <v>0.04</v>
      </c>
      <c r="G241" s="141">
        <f>(Financials!E102-Financials!D102)/Financials!D102</f>
        <v>-3.8461538461538464E-2</v>
      </c>
      <c r="H241" s="142">
        <f>(Financials!F102-Financials!E102)/Financials!E102</f>
        <v>0.08</v>
      </c>
    </row>
    <row r="242" spans="1:8" ht="16">
      <c r="B242" s="92" t="s">
        <v>122</v>
      </c>
      <c r="D242" s="65"/>
      <c r="E242" s="140">
        <f>(Financials!C103-Financials!B103)/Financials!B103</f>
        <v>-0.10695022595118159</v>
      </c>
      <c r="F242" s="141">
        <f>(Financials!D103-Financials!C103)/Financials!C103</f>
        <v>-6.9192542077771327E-2</v>
      </c>
      <c r="G242" s="141">
        <f>(Financials!E103-Financials!D103)/Financials!D103</f>
        <v>4.329611659944272E-2</v>
      </c>
      <c r="H242" s="142">
        <f>(Financials!F103-Financials!E103)/Financials!E103</f>
        <v>-4.0341407840427321E-3</v>
      </c>
    </row>
    <row r="243" spans="1:8" ht="16">
      <c r="B243" s="92" t="s">
        <v>123</v>
      </c>
      <c r="D243" s="65"/>
      <c r="E243" s="140">
        <f>(Financials!C104-Financials!B104)/Financials!B104</f>
        <v>20.69406392694064</v>
      </c>
      <c r="F243" s="141">
        <f>(Financials!D104-Financials!C104)/Financials!C104</f>
        <v>0.38819897565424821</v>
      </c>
      <c r="G243" s="141">
        <f>(Financials!E104-Financials!D104)/Financials!D104</f>
        <v>-0.12534115030829879</v>
      </c>
      <c r="H243" s="142">
        <f>(Financials!F104-Financials!E104)/Financials!E104</f>
        <v>-3.3976655495203976E-2</v>
      </c>
    </row>
    <row r="244" spans="1:8" ht="16">
      <c r="B244" s="92" t="s">
        <v>124</v>
      </c>
      <c r="D244" s="65"/>
      <c r="E244" s="140">
        <f>(Financials!C105-Financials!B105)/Financials!B105</f>
        <v>0</v>
      </c>
      <c r="F244" s="141">
        <f>(Financials!D105-Financials!C105)/Financials!C105</f>
        <v>0</v>
      </c>
      <c r="G244" s="141">
        <f>(Financials!E105-Financials!D105)/Financials!D105</f>
        <v>0</v>
      </c>
      <c r="H244" s="142">
        <f>(Financials!F105-Financials!E105)/Financials!E105</f>
        <v>0</v>
      </c>
    </row>
    <row r="245" spans="1:8" ht="16">
      <c r="B245" s="92" t="s">
        <v>125</v>
      </c>
      <c r="C245" s="12"/>
      <c r="D245" s="155"/>
      <c r="E245" s="140">
        <f>(Financials!C106-Financials!B106)/Financials!B106</f>
        <v>0.55260115606936411</v>
      </c>
      <c r="F245" s="141">
        <f>(Financials!D106-Financials!C106)/Financials!C106</f>
        <v>-1</v>
      </c>
      <c r="G245" s="144" t="s">
        <v>140</v>
      </c>
      <c r="H245" s="145" t="s">
        <v>140</v>
      </c>
    </row>
    <row r="246" spans="1:8" ht="16">
      <c r="B246" s="92" t="s">
        <v>126</v>
      </c>
      <c r="C246" s="12"/>
      <c r="D246" s="155"/>
      <c r="E246" s="140">
        <f>(Financials!C107-Financials!B107)/Financials!B107</f>
        <v>1.3461426914153132</v>
      </c>
      <c r="F246" s="141">
        <f>(Financials!D107-Financials!C107)/Financials!C107</f>
        <v>0.31812843809877001</v>
      </c>
      <c r="G246" s="141">
        <f>(Financials!E107-Financials!D107)/Financials!D107</f>
        <v>-1.270749320078777E-2</v>
      </c>
      <c r="H246" s="142">
        <f>(Financials!F107-Financials!E107)/Financials!E107</f>
        <v>-8.2165756352410354E-3</v>
      </c>
    </row>
    <row r="247" spans="1:8" ht="16">
      <c r="B247" s="92" t="s">
        <v>127</v>
      </c>
      <c r="C247" s="12"/>
      <c r="D247" s="156"/>
      <c r="E247" s="140">
        <f>(Financials!C108-Financials!B108)/Financials!B108</f>
        <v>0.18450560652395515</v>
      </c>
      <c r="F247" s="141">
        <f>(Financials!D108-Financials!C108)/Financials!C108</f>
        <v>0.24440619621342513</v>
      </c>
      <c r="G247" s="141">
        <f>(Financials!E108-Financials!D108)/Financials!D108</f>
        <v>-0.13692946058091288</v>
      </c>
      <c r="H247" s="142">
        <f>(Financials!F108-Financials!E108)/Financials!E108</f>
        <v>0.27083333333333331</v>
      </c>
    </row>
    <row r="248" spans="1:8" ht="16">
      <c r="B248" s="92" t="s">
        <v>128</v>
      </c>
      <c r="C248" s="157"/>
      <c r="D248" s="158"/>
      <c r="E248" s="140">
        <f>(Financials!C109-Financials!B109)/Financials!B109</f>
        <v>-1.1666666666666667</v>
      </c>
      <c r="F248" s="141">
        <f>(Financials!D109-Financials!C109)/Financials!C109</f>
        <v>10</v>
      </c>
      <c r="G248" s="141">
        <f>(Financials!E109-Financials!D109)/Financials!D109</f>
        <v>-0.81818181818181823</v>
      </c>
      <c r="H248" s="142">
        <f>(Financials!F109-Financials!E109)/Financials!E109</f>
        <v>-0.5</v>
      </c>
    </row>
    <row r="249" spans="1:8" ht="16">
      <c r="B249" s="92" t="s">
        <v>129</v>
      </c>
      <c r="C249" s="159"/>
      <c r="D249" s="160"/>
      <c r="E249" s="140">
        <f>(Financials!C110-Financials!B110)/Financials!B110</f>
        <v>-0.65691402419091205</v>
      </c>
      <c r="F249" s="141">
        <f>(Financials!D110-Financials!C110)/Financials!C110</f>
        <v>-0.96236303001429258</v>
      </c>
      <c r="G249" s="141">
        <f>(Financials!E110-Financials!D110)/Financials!D110</f>
        <v>30.632911392405063</v>
      </c>
      <c r="H249" s="142">
        <f>(Financials!F110-Financials!E110)/Financials!E110</f>
        <v>8.6434573829531819E-2</v>
      </c>
    </row>
    <row r="250" spans="1:8" ht="16">
      <c r="B250" s="92" t="s">
        <v>130</v>
      </c>
      <c r="C250" s="161"/>
      <c r="D250" s="162"/>
      <c r="E250" s="140">
        <f>(Financials!C111-Financials!B111)/Financials!B111</f>
        <v>-0.2</v>
      </c>
      <c r="F250" s="141">
        <f>(Financials!D111-Financials!C111)/Financials!C111</f>
        <v>-0.1875</v>
      </c>
      <c r="G250" s="141">
        <f>(Financials!E111-Financials!D111)/Financials!D111</f>
        <v>-0.30769230769230771</v>
      </c>
      <c r="H250" s="142">
        <f>(Financials!F111-Financials!E111)/Financials!E111</f>
        <v>-0.22222222222222221</v>
      </c>
    </row>
    <row r="251" spans="1:8" ht="16">
      <c r="B251" s="92" t="s">
        <v>131</v>
      </c>
      <c r="C251" s="163"/>
      <c r="D251" s="164"/>
      <c r="E251" s="140">
        <f>(Financials!C112-Financials!B112)/Financials!B112</f>
        <v>20.69406392694064</v>
      </c>
      <c r="F251" s="141">
        <f>(Financials!D112-Financials!C112)/Financials!C112</f>
        <v>0.38819897565424821</v>
      </c>
      <c r="G251" s="141">
        <f>(Financials!E112-Financials!D112)/Financials!D112</f>
        <v>-0.12534115030829879</v>
      </c>
      <c r="H251" s="142">
        <f>(Financials!F112-Financials!E112)/Financials!E112</f>
        <v>-3.3976655495203976E-2</v>
      </c>
    </row>
    <row r="252" spans="1:8" ht="16">
      <c r="B252" s="92" t="s">
        <v>132</v>
      </c>
      <c r="C252" s="165"/>
      <c r="D252" s="166"/>
      <c r="E252" s="140">
        <f>(Financials!C113-Financials!B113)/Financials!B113</f>
        <v>0.33333333333333331</v>
      </c>
      <c r="F252" s="141">
        <f>(Financials!D113-Financials!C113)/Financials!C113</f>
        <v>6.25E-2</v>
      </c>
      <c r="G252" s="141">
        <f>(Financials!E113-Financials!D113)/Financials!D113</f>
        <v>-0.52941176470588236</v>
      </c>
      <c r="H252" s="142">
        <f>(Financials!F113-Financials!E113)/Financials!E113</f>
        <v>2.125</v>
      </c>
    </row>
    <row r="253" spans="1:8" ht="16">
      <c r="B253" s="92" t="s">
        <v>133</v>
      </c>
      <c r="C253" s="13"/>
      <c r="D253" s="166"/>
      <c r="E253" s="140">
        <f>(Financials!C114-Financials!B114)/Financials!B114</f>
        <v>20.328849028400597</v>
      </c>
      <c r="F253" s="141">
        <f>(Financials!D114-Financials!C114)/Financials!C114</f>
        <v>0.38783376550564158</v>
      </c>
      <c r="G253" s="141">
        <f>(Financials!E114-Financials!D114)/Financials!D114</f>
        <v>-0.12568802706660606</v>
      </c>
      <c r="H253" s="142">
        <f>(Financials!F114-Financials!E114)/Financials!E114</f>
        <v>-3.2979092064225481E-2</v>
      </c>
    </row>
    <row r="254" spans="1:8" ht="16">
      <c r="B254" s="124" t="s">
        <v>134</v>
      </c>
      <c r="C254" s="167"/>
      <c r="D254" s="168"/>
      <c r="E254" s="146">
        <f>(Financials!C115-Financials!B115)/Financials!B115</f>
        <v>0.11211703627740033</v>
      </c>
      <c r="F254" s="147">
        <f>(Financials!D115-Financials!C115)/Financials!C115</f>
        <v>2.4767668035444133E-2</v>
      </c>
      <c r="G254" s="147">
        <f>(Financials!E115-Financials!D115)/Financials!D115</f>
        <v>-3.7540070862156234E-3</v>
      </c>
      <c r="H254" s="148">
        <f>(Financials!F115-Financials!E115)/Financials!E115</f>
        <v>-1.1106877231607321E-2</v>
      </c>
    </row>
    <row r="255" spans="1:8" ht="16">
      <c r="B255" s="13"/>
      <c r="C255" s="157"/>
      <c r="D255" s="157"/>
      <c r="E255" s="157"/>
      <c r="F255" s="157"/>
      <c r="G255" s="157"/>
    </row>
    <row r="256" spans="1:8" ht="16">
      <c r="A256" s="5">
        <v>5</v>
      </c>
      <c r="B256" s="53" t="s">
        <v>142</v>
      </c>
      <c r="C256" s="169"/>
      <c r="D256" s="169"/>
      <c r="E256" s="170"/>
      <c r="F256" s="3"/>
      <c r="G256" s="3"/>
    </row>
    <row r="257" spans="1:8" ht="16">
      <c r="B257" s="13"/>
      <c r="C257" s="171"/>
      <c r="D257" s="171"/>
      <c r="E257" s="13"/>
      <c r="F257" s="13"/>
      <c r="G257" s="13"/>
    </row>
    <row r="258" spans="1:8" ht="16">
      <c r="D258" s="172">
        <v>2020</v>
      </c>
      <c r="E258" s="173">
        <v>2021</v>
      </c>
      <c r="F258" s="173">
        <v>2022</v>
      </c>
      <c r="G258" s="173">
        <v>2023</v>
      </c>
      <c r="H258" s="174">
        <v>2024</v>
      </c>
    </row>
    <row r="259" spans="1:8" ht="16">
      <c r="A259" s="5">
        <v>6</v>
      </c>
      <c r="B259" s="635" t="s">
        <v>143</v>
      </c>
      <c r="C259" s="636"/>
      <c r="D259" s="175">
        <f>(G14*Financials!B43)</f>
        <v>112635.25416666667</v>
      </c>
      <c r="E259" s="176">
        <f>(H14*Financials!C43)</f>
        <v>167077.69999999998</v>
      </c>
      <c r="F259" s="176">
        <f>(I14*Financials!D43)</f>
        <v>161321.28599999999</v>
      </c>
      <c r="G259" s="176">
        <f>(J14*Financials!E43)</f>
        <v>145705.14399999997</v>
      </c>
      <c r="H259" s="177">
        <f>(K14*Financials!F43)</f>
        <v>117638.24508333334</v>
      </c>
    </row>
    <row r="260" spans="1:8" ht="16">
      <c r="B260" s="635" t="s">
        <v>144</v>
      </c>
      <c r="C260" s="636"/>
      <c r="D260" s="178">
        <f>D259+Financials!B89+Financials!B96+Financials!B97-Financials!B56</f>
        <v>134479.25416666665</v>
      </c>
      <c r="E260" s="179">
        <f>E259+Financials!C89+Financials!C96+Financials!C97-Financials!C56</f>
        <v>182350.69999999998</v>
      </c>
      <c r="F260" s="179">
        <f>F259+Financials!D89+Financials!D96+Financials!D97-Financials!D56</f>
        <v>179240.28599999999</v>
      </c>
      <c r="G260" s="179">
        <f>G259+Financials!E89+Financials!E96+Financials!E97-Financials!E56</f>
        <v>169228.14399999997</v>
      </c>
      <c r="H260" s="180">
        <f>H259+Financials!F89+Financials!F96+Financials!F97-Financials!F56</f>
        <v>137178.24508333334</v>
      </c>
    </row>
    <row r="261" spans="1:8" ht="16">
      <c r="B261" s="13"/>
      <c r="C261" s="171"/>
      <c r="D261" s="13"/>
      <c r="E261" s="13"/>
      <c r="F261" s="3"/>
      <c r="G261" s="3"/>
    </row>
    <row r="262" spans="1:8" ht="16">
      <c r="B262" s="637" t="s">
        <v>145</v>
      </c>
      <c r="C262" s="638"/>
      <c r="D262" s="638"/>
      <c r="E262" s="638"/>
      <c r="F262" s="64">
        <f>Financials!F41</f>
        <v>6.7625999999999999</v>
      </c>
      <c r="G262" s="181"/>
    </row>
    <row r="263" spans="1:8" ht="16">
      <c r="B263" s="639" t="s">
        <v>146</v>
      </c>
      <c r="C263" s="640"/>
      <c r="D263" s="640"/>
      <c r="E263" s="640"/>
      <c r="F263" s="65">
        <v>6.47</v>
      </c>
      <c r="G263" s="13"/>
    </row>
    <row r="264" spans="1:8" ht="16">
      <c r="B264" s="641" t="s">
        <v>147</v>
      </c>
      <c r="C264" s="642"/>
      <c r="D264" s="642"/>
      <c r="E264" s="642"/>
      <c r="F264" s="66">
        <f>(F263-F262)/F262</f>
        <v>-4.3267382367728417E-2</v>
      </c>
      <c r="G264" s="13"/>
    </row>
    <row r="265" spans="1:8" ht="16">
      <c r="B265" s="13"/>
      <c r="C265" s="181"/>
      <c r="D265" s="181"/>
      <c r="E265" s="181"/>
      <c r="F265" s="181"/>
      <c r="G265" s="181"/>
    </row>
    <row r="266" spans="1:8" ht="16">
      <c r="A266" s="5">
        <v>7</v>
      </c>
      <c r="B266" s="67" t="s">
        <v>148</v>
      </c>
      <c r="C266" s="82">
        <v>2020</v>
      </c>
      <c r="D266" s="82">
        <v>2021</v>
      </c>
      <c r="E266" s="173">
        <v>2022</v>
      </c>
      <c r="F266" s="173">
        <v>2023</v>
      </c>
      <c r="G266" s="174">
        <v>2024</v>
      </c>
    </row>
    <row r="267" spans="1:8" ht="16">
      <c r="B267" s="69" t="s">
        <v>149</v>
      </c>
      <c r="C267" s="182">
        <f>G14/Financials!B41</f>
        <v>84.450461551765144</v>
      </c>
      <c r="D267" s="183">
        <f>H14/Financials!C41</f>
        <v>13.080990752282412</v>
      </c>
      <c r="E267" s="183">
        <f>I14/Financials!D41</f>
        <v>14.233161838805247</v>
      </c>
      <c r="F267" s="183">
        <f>J14/Financials!E41</f>
        <v>21.90448717948718</v>
      </c>
      <c r="G267" s="184">
        <f>K14/Financials!F41</f>
        <v>20.371725864805452</v>
      </c>
    </row>
    <row r="268" spans="1:8" ht="16">
      <c r="B268" s="69" t="s">
        <v>150</v>
      </c>
      <c r="C268" s="185" t="s">
        <v>140</v>
      </c>
      <c r="D268" s="186" t="s">
        <v>140</v>
      </c>
      <c r="E268" s="186" t="s">
        <v>140</v>
      </c>
      <c r="F268" s="186" t="s">
        <v>140</v>
      </c>
      <c r="G268" s="187">
        <f>G267/(F264*100)</f>
        <v>-4.7083333333333304</v>
      </c>
    </row>
    <row r="269" spans="1:8" ht="16">
      <c r="B269" s="69" t="s">
        <v>151</v>
      </c>
      <c r="C269" s="188">
        <f>D259/Financials!B114</f>
        <v>168.36360861983059</v>
      </c>
      <c r="D269" s="189">
        <f>E259/Financials!C114</f>
        <v>11.709138692269955</v>
      </c>
      <c r="E269" s="189">
        <f>F259/Financials!D114</f>
        <v>8.1463054082714734</v>
      </c>
      <c r="F269" s="189">
        <f>G259/Financials!E114</f>
        <v>8.4154524662123116</v>
      </c>
      <c r="G269" s="190">
        <f>H259/Financials!F114</f>
        <v>7.0261150978518394</v>
      </c>
    </row>
    <row r="270" spans="1:8" ht="16">
      <c r="B270" s="69" t="s">
        <v>152</v>
      </c>
      <c r="C270" s="188">
        <f>D260/Financials!B48</f>
        <v>12.766209812670082</v>
      </c>
      <c r="D270" s="189">
        <f>E260/Financials!C48</f>
        <v>11.354339975093399</v>
      </c>
      <c r="E270" s="189">
        <f>F260/Financials!D48</f>
        <v>11.094347982173804</v>
      </c>
      <c r="F270" s="189">
        <f>G260/Financials!E48</f>
        <v>13.286342466828922</v>
      </c>
      <c r="G270" s="190">
        <f>H260/Financials!F48</f>
        <v>11.15814585027927</v>
      </c>
    </row>
    <row r="271" spans="1:8" ht="16">
      <c r="B271" s="70" t="s">
        <v>153</v>
      </c>
      <c r="C271" s="191"/>
      <c r="D271" s="157"/>
      <c r="E271" s="157"/>
      <c r="F271" s="157"/>
      <c r="G271" s="158"/>
    </row>
    <row r="272" spans="1:8" ht="16">
      <c r="B272" s="69" t="s">
        <v>154</v>
      </c>
      <c r="C272" s="192">
        <f>Financials!B49/Financials!B4</f>
        <v>9.2808413871517906E-2</v>
      </c>
      <c r="D272" s="193">
        <f>Financials!C49/Financials!C4</f>
        <v>0.134840130035801</v>
      </c>
      <c r="E272" s="193">
        <f>Financials!D49/Financials!D4</f>
        <v>0.12963592378591279</v>
      </c>
      <c r="F272" s="193">
        <f>Financials!E49/Financials!E4</f>
        <v>0.10326739765276324</v>
      </c>
      <c r="G272" s="194">
        <f>Financials!F49/Financials!F4</f>
        <v>9.5550861442999541E-2</v>
      </c>
    </row>
    <row r="273" spans="1:7" ht="16">
      <c r="B273" s="69" t="s">
        <v>155</v>
      </c>
      <c r="C273" s="195">
        <f>Financials!B34/Financials!B4</f>
        <v>1.5906291453477356E-2</v>
      </c>
      <c r="D273" s="196">
        <f>Financials!C34/Financials!C4</f>
        <v>0.1326077116168059</v>
      </c>
      <c r="E273" s="196">
        <f>Financials!D34/Financials!D4</f>
        <v>0.11544075014495071</v>
      </c>
      <c r="F273" s="196">
        <f>Financials!E34/Financials!E4</f>
        <v>7.3921428177861043E-2</v>
      </c>
      <c r="G273" s="197">
        <f>Financials!F34/Financials!F4</f>
        <v>6.3612559684907699E-2</v>
      </c>
    </row>
    <row r="274" spans="1:7" ht="16">
      <c r="B274" s="69" t="s">
        <v>156</v>
      </c>
      <c r="C274" s="192">
        <f>Financials!B34/Financials!B114</f>
        <v>2.007473841554559</v>
      </c>
      <c r="D274" s="193">
        <f>Financials!C34/Financials!C114</f>
        <v>0.90335692760529818</v>
      </c>
      <c r="E274" s="193">
        <f>Financials!D34/Financials!D114</f>
        <v>0.58314396808564362</v>
      </c>
      <c r="F274" s="193">
        <f>Financials!E34/Financials!E114</f>
        <v>0.3874321358438258</v>
      </c>
      <c r="G274" s="194">
        <f>Financials!F34/Financials!F114</f>
        <v>0.34533835035537241</v>
      </c>
    </row>
    <row r="275" spans="1:7" ht="16">
      <c r="B275" s="70" t="s">
        <v>157</v>
      </c>
      <c r="C275" s="92"/>
      <c r="G275" s="65"/>
    </row>
    <row r="276" spans="1:7" ht="16">
      <c r="B276" s="69" t="s">
        <v>158</v>
      </c>
      <c r="C276" s="198">
        <f>Financials!B88/Financials!B103</f>
        <v>1.0108359383857852</v>
      </c>
      <c r="D276" s="199">
        <f>Financials!C88/Financials!C103</f>
        <v>1.2587964306442252</v>
      </c>
      <c r="E276" s="199">
        <f>Financials!D88/Financials!D103</f>
        <v>1.3858654352019641</v>
      </c>
      <c r="F276" s="199">
        <f>Financials!E88/Financials!E103</f>
        <v>1.3233662663653512</v>
      </c>
      <c r="G276" s="200">
        <f>Financials!F88/Financials!F103</f>
        <v>1.3139685337633844</v>
      </c>
    </row>
    <row r="277" spans="1:7" ht="16">
      <c r="B277" s="69" t="s">
        <v>159</v>
      </c>
      <c r="C277" s="198">
        <f>Financials!B95/(Financials!B114*$G$14)</f>
        <v>0.28205803644570715</v>
      </c>
      <c r="D277" s="199">
        <f>Financials!C95/(Financials!C114*$G$14)</f>
        <v>1.2280237566991309E-2</v>
      </c>
      <c r="E277" s="199">
        <f>Financials!D95/(Financials!D114*$G$14)</f>
        <v>7.9728347576179161E-3</v>
      </c>
      <c r="F277" s="199">
        <f>Financials!E95/(Financials!E114*$G$14)</f>
        <v>1.0056206522493016E-2</v>
      </c>
      <c r="G277" s="200">
        <f>Financials!F95/(Financials!F114*$G$14)</f>
        <v>1.0586760975606053E-2</v>
      </c>
    </row>
    <row r="278" spans="1:7" ht="16">
      <c r="B278" s="69" t="s">
        <v>160</v>
      </c>
      <c r="C278" s="198">
        <f>Financials!B95/'Workshop #2'!D259</f>
        <v>0.21814662009500357</v>
      </c>
      <c r="D278" s="199">
        <f>Financials!C95/'Workshop #2'!E259</f>
        <v>0.13656520289661639</v>
      </c>
      <c r="E278" s="199">
        <f>Financials!D95/'Workshop #2'!F259</f>
        <v>0.12744133467916938</v>
      </c>
      <c r="F278" s="199">
        <f>Financials!E95/'Workshop #2'!G259</f>
        <v>0.15560191889999439</v>
      </c>
      <c r="G278" s="200">
        <f>Financials!F95/'Workshop #2'!H259</f>
        <v>0.19620319891417737</v>
      </c>
    </row>
    <row r="279" spans="1:7" ht="15.75" customHeight="1">
      <c r="B279" s="69" t="s">
        <v>161</v>
      </c>
      <c r="C279" s="198">
        <f>Financials!B14/Financials!B18</f>
        <v>11.456140350877194</v>
      </c>
      <c r="D279" s="199">
        <f>Financials!C14/Financials!C18</f>
        <v>19.190336749633968</v>
      </c>
      <c r="E279" s="199">
        <f>Financials!D14/Financials!D18</f>
        <v>18.685878962536023</v>
      </c>
      <c r="F279" s="199">
        <f>Financials!E14/Financials!E18</f>
        <v>12.091612903225807</v>
      </c>
      <c r="G279" s="200">
        <f>Financials!F14/Financials!F18</f>
        <v>10.087108013937282</v>
      </c>
    </row>
    <row r="280" spans="1:7" ht="15.75" customHeight="1">
      <c r="B280" s="68" t="s">
        <v>162</v>
      </c>
      <c r="C280" s="201">
        <f>Financials!B45/Financials!B41</f>
        <v>2.6201439782087035</v>
      </c>
      <c r="D280" s="202">
        <f>Financials!C45/Financials!C41</f>
        <v>0.27790833111960273</v>
      </c>
      <c r="E280" s="202">
        <f>Financials!D45/Financials!D41</f>
        <v>0.460686331709313</v>
      </c>
      <c r="F280" s="202">
        <f>Financials!E45/Financials!E41</f>
        <v>0.83076923076923082</v>
      </c>
      <c r="G280" s="203">
        <f>Financials!F45/Financials!F41</f>
        <v>0.96412622364179457</v>
      </c>
    </row>
    <row r="281" spans="1:7" ht="15.75" customHeight="1">
      <c r="B281" s="71"/>
      <c r="C281" s="230"/>
      <c r="D281" s="230"/>
      <c r="E281" s="230"/>
      <c r="F281" s="230"/>
      <c r="G281" s="230"/>
    </row>
    <row r="283" spans="1:7" ht="63" customHeight="1">
      <c r="B283" s="629" t="s">
        <v>163</v>
      </c>
      <c r="C283" s="630"/>
      <c r="D283" s="630"/>
      <c r="E283" s="630"/>
      <c r="F283" s="631"/>
      <c r="G283" s="230"/>
    </row>
    <row r="284" spans="1:7" ht="15.75" customHeight="1">
      <c r="B284" s="71"/>
      <c r="C284" s="230"/>
      <c r="D284" s="230"/>
      <c r="E284" s="230"/>
      <c r="F284" s="230"/>
      <c r="G284" s="230"/>
    </row>
    <row r="285" spans="1:7" ht="15.75" customHeight="1">
      <c r="B285" s="71"/>
      <c r="C285" s="230"/>
      <c r="D285" s="230"/>
      <c r="E285" s="230"/>
      <c r="F285" s="230"/>
      <c r="G285" s="230"/>
    </row>
    <row r="286" spans="1:7" ht="15.75" customHeight="1">
      <c r="B286" s="204"/>
    </row>
    <row r="287" spans="1:7" ht="15.75" customHeight="1">
      <c r="A287" s="5">
        <v>9</v>
      </c>
      <c r="B287" s="72" t="s">
        <v>164</v>
      </c>
      <c r="C287" s="82">
        <v>2020</v>
      </c>
      <c r="D287" s="82">
        <v>2021</v>
      </c>
      <c r="E287" s="173">
        <v>2022</v>
      </c>
      <c r="F287" s="173">
        <v>2023</v>
      </c>
      <c r="G287" s="174">
        <v>2024</v>
      </c>
    </row>
    <row r="288" spans="1:7" ht="15.75" customHeight="1">
      <c r="B288" s="73" t="s">
        <v>165</v>
      </c>
      <c r="C288" s="205">
        <f>C273</f>
        <v>1.5906291453477356E-2</v>
      </c>
      <c r="D288" s="206">
        <f t="shared" ref="D288:G288" si="0">D273</f>
        <v>0.1326077116168059</v>
      </c>
      <c r="E288" s="206">
        <f t="shared" si="0"/>
        <v>0.11544075014495071</v>
      </c>
      <c r="F288" s="206">
        <f t="shared" si="0"/>
        <v>7.3921428177861043E-2</v>
      </c>
      <c r="G288" s="207">
        <f t="shared" si="0"/>
        <v>6.3612559684907699E-2</v>
      </c>
    </row>
    <row r="289" spans="1:7" ht="15.75" customHeight="1">
      <c r="B289" s="73" t="s">
        <v>166</v>
      </c>
      <c r="C289" s="198">
        <f>Financials!B4/Financials!B88</f>
        <v>1.3529034739136008</v>
      </c>
      <c r="D289" s="199">
        <f>Financials!C4/Financials!C88</f>
        <v>1.4005331028023917</v>
      </c>
      <c r="E289" s="199">
        <f>Financials!D4/Financials!D88</f>
        <v>1.4064732017321862</v>
      </c>
      <c r="F289" s="199">
        <f>Financials!E4/Financials!E88</f>
        <v>1.2806779852378736</v>
      </c>
      <c r="G289" s="200">
        <f>Financials!F4/Financials!F88</f>
        <v>1.2971885257599542</v>
      </c>
    </row>
    <row r="290" spans="1:7" ht="15.75" customHeight="1">
      <c r="B290" s="73" t="s">
        <v>167</v>
      </c>
      <c r="C290" s="198">
        <f>Financials!B88/Financials!B114</f>
        <v>93.285500747384162</v>
      </c>
      <c r="D290" s="199">
        <f>Financials!C88/Financials!C114</f>
        <v>4.8640409278856263</v>
      </c>
      <c r="E290" s="199">
        <f>Financials!D88/Financials!D114</f>
        <v>3.5915770337827602</v>
      </c>
      <c r="F290" s="199">
        <f>Financials!E88/Financials!E114</f>
        <v>4.0924685225828812</v>
      </c>
      <c r="G290" s="200">
        <f>Financials!F88/Financials!F114</f>
        <v>4.1850325509168007</v>
      </c>
    </row>
    <row r="291" spans="1:7" ht="15.75" customHeight="1">
      <c r="B291" s="74" t="s">
        <v>168</v>
      </c>
      <c r="C291" s="208">
        <f>C288*C289*C290</f>
        <v>2.0074738415545594</v>
      </c>
      <c r="D291" s="209">
        <f t="shared" ref="D291:G291" si="1">D288*D289*D290</f>
        <v>0.90335692760529829</v>
      </c>
      <c r="E291" s="209">
        <f t="shared" si="1"/>
        <v>0.58314396808564362</v>
      </c>
      <c r="F291" s="209">
        <f t="shared" si="1"/>
        <v>0.38743213584382585</v>
      </c>
      <c r="G291" s="210">
        <f t="shared" si="1"/>
        <v>0.34533835035537236</v>
      </c>
    </row>
    <row r="292" spans="1:7" ht="15.75" customHeight="1">
      <c r="B292" s="71"/>
      <c r="C292" s="193"/>
      <c r="D292" s="193"/>
      <c r="E292" s="193"/>
      <c r="F292" s="193"/>
      <c r="G292" s="193"/>
    </row>
    <row r="293" spans="1:7" ht="15.75" customHeight="1">
      <c r="B293" s="71"/>
      <c r="C293" s="193"/>
      <c r="D293" s="193"/>
      <c r="E293" s="193"/>
      <c r="F293" s="193"/>
      <c r="G293" s="193"/>
    </row>
    <row r="294" spans="1:7" ht="15.75" customHeight="1">
      <c r="B294" s="71"/>
      <c r="C294" s="193"/>
      <c r="D294" s="193"/>
      <c r="E294" s="193"/>
      <c r="F294" s="193"/>
      <c r="G294" s="193"/>
    </row>
    <row r="295" spans="1:7" ht="51" customHeight="1">
      <c r="B295" s="629" t="s">
        <v>169</v>
      </c>
      <c r="C295" s="630"/>
      <c r="D295" s="630"/>
      <c r="E295" s="630"/>
      <c r="F295" s="631"/>
      <c r="G295" s="193"/>
    </row>
    <row r="296" spans="1:7" ht="15.75" customHeight="1">
      <c r="B296" s="71"/>
      <c r="C296" s="193"/>
      <c r="D296" s="193"/>
      <c r="E296" s="193"/>
      <c r="F296" s="193"/>
      <c r="G296" s="193"/>
    </row>
    <row r="298" spans="1:7" ht="15.75" customHeight="1">
      <c r="A298" s="5">
        <v>10</v>
      </c>
      <c r="B298" s="643" t="s">
        <v>170</v>
      </c>
      <c r="C298" s="644"/>
      <c r="D298" s="87"/>
      <c r="E298" s="88"/>
      <c r="F298" s="89"/>
    </row>
    <row r="299" spans="1:7" ht="62" customHeight="1">
      <c r="B299" s="76" t="s">
        <v>171</v>
      </c>
      <c r="C299" s="65"/>
      <c r="D299" s="124" t="s">
        <v>172</v>
      </c>
      <c r="E299" s="211" t="s">
        <v>173</v>
      </c>
      <c r="F299" s="212" t="s">
        <v>174</v>
      </c>
    </row>
    <row r="300" spans="1:7" ht="15.75" customHeight="1">
      <c r="B300" s="75" t="s">
        <v>148</v>
      </c>
      <c r="C300" s="89"/>
      <c r="D300" s="87"/>
      <c r="E300" s="88"/>
      <c r="F300" s="89"/>
    </row>
    <row r="301" spans="1:7" ht="15.75" customHeight="1">
      <c r="B301" s="92"/>
      <c r="C301" s="77" t="s">
        <v>149</v>
      </c>
      <c r="D301" s="188">
        <f>G267</f>
        <v>20.371725864805452</v>
      </c>
      <c r="E301" s="63">
        <v>19.55</v>
      </c>
      <c r="F301" s="190">
        <f>D301-E301</f>
        <v>0.82172586480545107</v>
      </c>
    </row>
    <row r="302" spans="1:7" ht="15.75" customHeight="1">
      <c r="B302" s="92"/>
      <c r="C302" s="77" t="s">
        <v>150</v>
      </c>
      <c r="D302" s="188">
        <f t="shared" ref="D302:D304" si="2">G268</f>
        <v>-4.7083333333333304</v>
      </c>
      <c r="E302" s="204" t="s">
        <v>140</v>
      </c>
      <c r="F302" s="213" t="s">
        <v>140</v>
      </c>
    </row>
    <row r="303" spans="1:7" ht="15.75" customHeight="1">
      <c r="B303" s="92"/>
      <c r="C303" s="77" t="s">
        <v>151</v>
      </c>
      <c r="D303" s="188">
        <f t="shared" si="2"/>
        <v>7.0261150978518394</v>
      </c>
      <c r="E303" s="204" t="s">
        <v>140</v>
      </c>
      <c r="F303" s="214" t="s">
        <v>140</v>
      </c>
    </row>
    <row r="304" spans="1:7" ht="15.75" customHeight="1">
      <c r="B304" s="92"/>
      <c r="C304" s="77" t="s">
        <v>152</v>
      </c>
      <c r="D304" s="188">
        <f t="shared" si="2"/>
        <v>11.15814585027927</v>
      </c>
      <c r="E304" s="63">
        <v>12.22</v>
      </c>
      <c r="F304" s="190">
        <f>D304-E304</f>
        <v>-1.0618541497207303</v>
      </c>
    </row>
    <row r="305" spans="2:6" ht="15.75" customHeight="1">
      <c r="B305" s="70" t="s">
        <v>153</v>
      </c>
      <c r="C305" s="65"/>
      <c r="D305" s="92"/>
      <c r="F305" s="65"/>
    </row>
    <row r="306" spans="2:6" ht="15.75" customHeight="1">
      <c r="B306" s="92"/>
      <c r="C306" s="77" t="s">
        <v>154</v>
      </c>
      <c r="D306" s="215">
        <f>G272</f>
        <v>9.5550861442999541E-2</v>
      </c>
      <c r="E306" s="216">
        <v>8.09E-2</v>
      </c>
      <c r="F306" s="217">
        <f>D306-E306</f>
        <v>1.4650861442999541E-2</v>
      </c>
    </row>
    <row r="307" spans="2:6" ht="15.75" customHeight="1">
      <c r="B307" s="92"/>
      <c r="C307" s="77" t="s">
        <v>155</v>
      </c>
      <c r="D307" s="215">
        <f t="shared" ref="D307:D308" si="3">G273</f>
        <v>6.3612559684907699E-2</v>
      </c>
      <c r="E307" s="216">
        <v>5.2200000000000003E-2</v>
      </c>
      <c r="F307" s="217">
        <f>D307-E307</f>
        <v>1.1412559684907696E-2</v>
      </c>
    </row>
    <row r="308" spans="2:6" ht="15.75" customHeight="1">
      <c r="B308" s="92"/>
      <c r="C308" s="77" t="s">
        <v>156</v>
      </c>
      <c r="D308" s="215">
        <f t="shared" si="3"/>
        <v>0.34533835035537241</v>
      </c>
      <c r="E308" s="216">
        <v>0.17349999999999999</v>
      </c>
      <c r="F308" s="217">
        <f>D308-E308</f>
        <v>0.17183835035537243</v>
      </c>
    </row>
    <row r="309" spans="2:6" ht="15.75" customHeight="1">
      <c r="B309" s="70" t="s">
        <v>157</v>
      </c>
      <c r="C309" s="65"/>
      <c r="D309" s="92"/>
      <c r="F309" s="65"/>
    </row>
    <row r="310" spans="2:6" ht="15.75" customHeight="1">
      <c r="B310" s="92"/>
      <c r="C310" s="77" t="s">
        <v>158</v>
      </c>
      <c r="D310" s="198">
        <f>G276</f>
        <v>1.3139685337633844</v>
      </c>
      <c r="E310" s="204" t="s">
        <v>140</v>
      </c>
      <c r="F310" s="214" t="s">
        <v>140</v>
      </c>
    </row>
    <row r="311" spans="2:6" ht="15.75" customHeight="1">
      <c r="B311" s="92"/>
      <c r="C311" s="77" t="s">
        <v>159</v>
      </c>
      <c r="D311" s="198">
        <f t="shared" ref="D311:D314" si="4">G277</f>
        <v>1.0586760975606053E-2</v>
      </c>
      <c r="E311" s="63">
        <v>0.61</v>
      </c>
      <c r="F311" s="200">
        <f>D311-E311</f>
        <v>-0.59941323902439392</v>
      </c>
    </row>
    <row r="312" spans="2:6" ht="15.75" customHeight="1">
      <c r="B312" s="92"/>
      <c r="C312" s="77" t="s">
        <v>160</v>
      </c>
      <c r="D312" s="198">
        <f t="shared" si="4"/>
        <v>0.19620319891417737</v>
      </c>
      <c r="E312" s="204" t="s">
        <v>140</v>
      </c>
      <c r="F312" s="214" t="s">
        <v>140</v>
      </c>
    </row>
    <row r="313" spans="2:6" ht="15.75" customHeight="1">
      <c r="B313" s="92"/>
      <c r="C313" s="77" t="s">
        <v>161</v>
      </c>
      <c r="D313" s="198">
        <f t="shared" si="4"/>
        <v>10.087108013937282</v>
      </c>
      <c r="E313" s="63">
        <v>26.68</v>
      </c>
      <c r="F313" s="200">
        <f>D313-E313</f>
        <v>-16.592891986062718</v>
      </c>
    </row>
    <row r="314" spans="2:6" ht="15.75" customHeight="1">
      <c r="B314" s="124"/>
      <c r="C314" s="78" t="s">
        <v>162</v>
      </c>
      <c r="D314" s="208">
        <f t="shared" si="4"/>
        <v>0.96412622364179457</v>
      </c>
      <c r="E314" s="218" t="s">
        <v>140</v>
      </c>
      <c r="F314" s="219" t="s">
        <v>140</v>
      </c>
    </row>
    <row r="315" spans="2:6" ht="15.75" customHeight="1">
      <c r="C315" s="71"/>
      <c r="D315" s="193"/>
      <c r="E315" s="204"/>
      <c r="F315" s="204"/>
    </row>
    <row r="316" spans="2:6" ht="15.75" customHeight="1">
      <c r="C316" s="71"/>
      <c r="D316" s="193"/>
      <c r="E316" s="204"/>
      <c r="F316" s="204"/>
    </row>
    <row r="317" spans="2:6" ht="86" customHeight="1">
      <c r="B317" s="632" t="s">
        <v>175</v>
      </c>
      <c r="C317" s="633"/>
      <c r="D317" s="633"/>
      <c r="E317" s="633"/>
      <c r="F317" s="634"/>
    </row>
    <row r="318" spans="2:6" ht="15.75" customHeight="1">
      <c r="C318" s="71"/>
      <c r="D318" s="193"/>
      <c r="E318" s="204"/>
      <c r="F318" s="204"/>
    </row>
    <row r="321" spans="1:6" ht="15.75" customHeight="1">
      <c r="A321" s="5">
        <v>11</v>
      </c>
      <c r="B321" s="643" t="s">
        <v>176</v>
      </c>
      <c r="C321" s="644"/>
      <c r="D321" s="87"/>
      <c r="E321" s="88"/>
      <c r="F321" s="89"/>
    </row>
    <row r="322" spans="1:6" ht="15.75" customHeight="1">
      <c r="B322" s="76" t="s">
        <v>171</v>
      </c>
      <c r="C322" s="65"/>
      <c r="D322" s="124" t="s">
        <v>172</v>
      </c>
      <c r="E322" s="125" t="s">
        <v>177</v>
      </c>
      <c r="F322" s="212" t="s">
        <v>174</v>
      </c>
    </row>
    <row r="323" spans="1:6" ht="15.75" customHeight="1">
      <c r="B323" s="645" t="s">
        <v>143</v>
      </c>
      <c r="C323" s="646"/>
      <c r="D323" s="175">
        <f>H259</f>
        <v>117638.24508333334</v>
      </c>
      <c r="E323" s="220">
        <v>73340</v>
      </c>
      <c r="F323" s="177">
        <f>D323-E323</f>
        <v>44298.245083333342</v>
      </c>
    </row>
    <row r="324" spans="1:6" ht="15.75" customHeight="1">
      <c r="B324" s="647" t="s">
        <v>144</v>
      </c>
      <c r="C324" s="648"/>
      <c r="D324" s="221">
        <f>H260</f>
        <v>137178.24508333334</v>
      </c>
      <c r="E324" s="222">
        <v>104540</v>
      </c>
      <c r="F324" s="223">
        <f t="shared" ref="F324:F325" si="5">D324-E324</f>
        <v>32638.245083333342</v>
      </c>
    </row>
    <row r="325" spans="1:6" ht="15.75" customHeight="1">
      <c r="B325" s="647" t="s">
        <v>178</v>
      </c>
      <c r="C325" s="648"/>
      <c r="D325" s="215">
        <f>F264</f>
        <v>-4.3267382367728417E-2</v>
      </c>
      <c r="E325" s="193">
        <f>(18.06-17.21)/17.21</f>
        <v>4.9389889599070182E-2</v>
      </c>
      <c r="F325" s="194">
        <f t="shared" si="5"/>
        <v>-9.2657271966798599E-2</v>
      </c>
    </row>
    <row r="326" spans="1:6" ht="15.75" customHeight="1">
      <c r="B326" s="70" t="s">
        <v>148</v>
      </c>
      <c r="C326" s="65"/>
      <c r="D326" s="92"/>
      <c r="F326" s="65"/>
    </row>
    <row r="327" spans="1:6" ht="15.75" customHeight="1">
      <c r="B327" s="92"/>
      <c r="C327" s="77" t="s">
        <v>149</v>
      </c>
      <c r="D327" s="188">
        <f>G267</f>
        <v>20.371725864805452</v>
      </c>
      <c r="E327" s="63">
        <v>17.149999999999999</v>
      </c>
      <c r="F327" s="190">
        <f>D327-E327</f>
        <v>3.2217258648054532</v>
      </c>
    </row>
    <row r="328" spans="1:6" ht="15.75" customHeight="1">
      <c r="B328" s="92"/>
      <c r="C328" s="77" t="s">
        <v>150</v>
      </c>
      <c r="D328" s="188">
        <f t="shared" ref="D328:D330" si="6">G268</f>
        <v>-4.7083333333333304</v>
      </c>
      <c r="E328" s="63">
        <v>1.37</v>
      </c>
      <c r="F328" s="190">
        <f t="shared" ref="F328:F330" si="7">D328-E328</f>
        <v>-6.0783333333333305</v>
      </c>
    </row>
    <row r="329" spans="1:6" ht="15.75" customHeight="1">
      <c r="B329" s="92"/>
      <c r="C329" s="77" t="s">
        <v>151</v>
      </c>
      <c r="D329" s="188">
        <f t="shared" si="6"/>
        <v>7.0261150978518394</v>
      </c>
      <c r="E329" s="63">
        <v>2.41</v>
      </c>
      <c r="F329" s="190">
        <f t="shared" si="7"/>
        <v>4.6161150978518393</v>
      </c>
    </row>
    <row r="330" spans="1:6" ht="15.75" customHeight="1">
      <c r="B330" s="92"/>
      <c r="C330" s="77" t="s">
        <v>152</v>
      </c>
      <c r="D330" s="188">
        <f t="shared" si="6"/>
        <v>11.15814585027927</v>
      </c>
      <c r="E330" s="63">
        <v>9.64</v>
      </c>
      <c r="F330" s="190">
        <f t="shared" si="7"/>
        <v>1.5181458502792697</v>
      </c>
    </row>
    <row r="331" spans="1:6" ht="15.75" customHeight="1">
      <c r="B331" s="70" t="s">
        <v>153</v>
      </c>
      <c r="C331" s="65"/>
      <c r="D331" s="92"/>
      <c r="F331" s="65"/>
    </row>
    <row r="332" spans="1:6" ht="15.75" customHeight="1">
      <c r="B332" s="92"/>
      <c r="C332" s="77" t="s">
        <v>154</v>
      </c>
      <c r="D332" s="215">
        <f>G272</f>
        <v>9.5550861442999541E-2</v>
      </c>
      <c r="E332" s="216">
        <v>7.6399999999999996E-2</v>
      </c>
      <c r="F332" s="217">
        <f>D332-E332</f>
        <v>1.9150861442999545E-2</v>
      </c>
    </row>
    <row r="333" spans="1:6" ht="15.75" customHeight="1">
      <c r="B333" s="92"/>
      <c r="C333" s="77" t="s">
        <v>155</v>
      </c>
      <c r="D333" s="215">
        <f t="shared" ref="D333:D334" si="8">G273</f>
        <v>6.3612559684907699E-2</v>
      </c>
      <c r="E333" s="216">
        <v>4.8099999999999997E-2</v>
      </c>
      <c r="F333" s="217">
        <f t="shared" ref="F333:F334" si="9">D333-E333</f>
        <v>1.5512559684907702E-2</v>
      </c>
    </row>
    <row r="334" spans="1:6" ht="15.75" customHeight="1">
      <c r="B334" s="92"/>
      <c r="C334" s="77" t="s">
        <v>156</v>
      </c>
      <c r="D334" s="215">
        <f t="shared" si="8"/>
        <v>0.34533835035537241</v>
      </c>
      <c r="E334" s="216">
        <v>0.15890000000000001</v>
      </c>
      <c r="F334" s="217">
        <f t="shared" si="9"/>
        <v>0.1864383503553724</v>
      </c>
    </row>
    <row r="335" spans="1:6" ht="15.75" customHeight="1">
      <c r="B335" s="70" t="s">
        <v>157</v>
      </c>
      <c r="C335" s="65"/>
      <c r="D335" s="92"/>
      <c r="F335" s="65"/>
    </row>
    <row r="336" spans="1:6" ht="15.75" customHeight="1">
      <c r="B336" s="92"/>
      <c r="C336" s="77" t="s">
        <v>158</v>
      </c>
      <c r="D336" s="198">
        <f>G276</f>
        <v>1.3139685337633844</v>
      </c>
      <c r="E336" s="63">
        <v>1.27</v>
      </c>
      <c r="F336" s="200">
        <f>D336-E336</f>
        <v>4.3968533763384388E-2</v>
      </c>
    </row>
    <row r="337" spans="2:7" ht="15.75" customHeight="1">
      <c r="B337" s="92"/>
      <c r="C337" s="77" t="s">
        <v>159</v>
      </c>
      <c r="D337" s="198">
        <f t="shared" ref="D337:D339" si="10">G277</f>
        <v>1.0586760975606053E-2</v>
      </c>
      <c r="E337" s="204" t="s">
        <v>140</v>
      </c>
      <c r="F337" s="224" t="s">
        <v>140</v>
      </c>
    </row>
    <row r="338" spans="2:7" ht="15.75" customHeight="1">
      <c r="B338" s="92"/>
      <c r="C338" s="77" t="s">
        <v>160</v>
      </c>
      <c r="D338" s="198">
        <f t="shared" si="10"/>
        <v>0.19620319891417737</v>
      </c>
      <c r="E338" s="204" t="s">
        <v>140</v>
      </c>
      <c r="F338" s="224" t="s">
        <v>140</v>
      </c>
    </row>
    <row r="339" spans="2:7" ht="15.75" customHeight="1">
      <c r="B339" s="92"/>
      <c r="C339" s="77" t="s">
        <v>161</v>
      </c>
      <c r="D339" s="198">
        <f t="shared" si="10"/>
        <v>10.087108013937282</v>
      </c>
      <c r="E339" s="63">
        <v>14.3</v>
      </c>
      <c r="F339" s="200">
        <f t="shared" ref="F339:F340" si="11">D339-E339</f>
        <v>-4.2128919860627185</v>
      </c>
    </row>
    <row r="340" spans="2:7" ht="16">
      <c r="B340" s="124"/>
      <c r="C340" s="78" t="s">
        <v>162</v>
      </c>
      <c r="D340" s="208">
        <f>G280</f>
        <v>0.96412622364179457</v>
      </c>
      <c r="E340" s="225">
        <v>0.315</v>
      </c>
      <c r="F340" s="226">
        <f t="shared" si="11"/>
        <v>0.64912622364179451</v>
      </c>
    </row>
    <row r="341" spans="2:7" ht="16">
      <c r="C341" s="71"/>
      <c r="D341" s="193"/>
      <c r="E341" s="216"/>
      <c r="F341" s="199"/>
    </row>
    <row r="342" spans="2:7" ht="16">
      <c r="C342" s="71"/>
      <c r="D342" s="193"/>
      <c r="E342" s="216"/>
      <c r="F342" s="199"/>
    </row>
    <row r="343" spans="2:7" ht="15.75" customHeight="1">
      <c r="B343" s="649" t="s">
        <v>2296</v>
      </c>
      <c r="C343" s="650"/>
      <c r="D343" s="650"/>
      <c r="E343" s="650"/>
      <c r="F343" s="650"/>
      <c r="G343" s="651"/>
    </row>
    <row r="344" spans="2:7" ht="15.75" customHeight="1">
      <c r="B344" s="652"/>
      <c r="C344" s="653"/>
      <c r="D344" s="653"/>
      <c r="E344" s="653"/>
      <c r="F344" s="653"/>
      <c r="G344" s="654"/>
    </row>
    <row r="345" spans="2:7" ht="15.75" customHeight="1">
      <c r="B345" s="652"/>
      <c r="C345" s="653"/>
      <c r="D345" s="653"/>
      <c r="E345" s="653"/>
      <c r="F345" s="653"/>
      <c r="G345" s="654"/>
    </row>
    <row r="346" spans="2:7" ht="15.75" customHeight="1">
      <c r="B346" s="652"/>
      <c r="C346" s="653"/>
      <c r="D346" s="653"/>
      <c r="E346" s="653"/>
      <c r="F346" s="653"/>
      <c r="G346" s="654"/>
    </row>
    <row r="347" spans="2:7" ht="15.75" customHeight="1">
      <c r="B347" s="652"/>
      <c r="C347" s="653"/>
      <c r="D347" s="653"/>
      <c r="E347" s="653"/>
      <c r="F347" s="653"/>
      <c r="G347" s="654"/>
    </row>
    <row r="348" spans="2:7" ht="15.75" customHeight="1">
      <c r="B348" s="652"/>
      <c r="C348" s="653"/>
      <c r="D348" s="653"/>
      <c r="E348" s="653"/>
      <c r="F348" s="653"/>
      <c r="G348" s="654"/>
    </row>
    <row r="349" spans="2:7" ht="15.75" customHeight="1">
      <c r="B349" s="652"/>
      <c r="C349" s="653"/>
      <c r="D349" s="653"/>
      <c r="E349" s="653"/>
      <c r="F349" s="653"/>
      <c r="G349" s="654"/>
    </row>
    <row r="350" spans="2:7" ht="15.75" customHeight="1">
      <c r="B350" s="652"/>
      <c r="C350" s="653"/>
      <c r="D350" s="653"/>
      <c r="E350" s="653"/>
      <c r="F350" s="653"/>
      <c r="G350" s="654"/>
    </row>
    <row r="351" spans="2:7" ht="15.75" customHeight="1">
      <c r="B351" s="655"/>
      <c r="C351" s="656"/>
      <c r="D351" s="656"/>
      <c r="E351" s="656"/>
      <c r="F351" s="656"/>
      <c r="G351" s="657"/>
    </row>
    <row r="352" spans="2:7" ht="15.75" customHeight="1">
      <c r="B352" s="612"/>
      <c r="C352" s="612"/>
      <c r="D352" s="612"/>
      <c r="E352" s="612"/>
      <c r="F352" s="612"/>
      <c r="G352" s="612"/>
    </row>
    <row r="353" spans="1:9" ht="15.75" customHeight="1">
      <c r="B353" s="612"/>
      <c r="C353" s="612"/>
      <c r="D353" s="612"/>
      <c r="E353" s="612"/>
      <c r="F353" s="612"/>
      <c r="G353" s="612"/>
    </row>
    <row r="355" spans="1:9" ht="15.75" customHeight="1">
      <c r="A355" s="5">
        <v>13</v>
      </c>
      <c r="B355" s="227"/>
      <c r="C355" s="228">
        <v>1</v>
      </c>
      <c r="D355" s="228">
        <v>2</v>
      </c>
      <c r="E355" s="228">
        <v>3</v>
      </c>
      <c r="F355" s="228">
        <v>4</v>
      </c>
      <c r="G355" s="228">
        <v>5</v>
      </c>
      <c r="H355" s="228">
        <v>6</v>
      </c>
      <c r="I355" s="229">
        <v>7</v>
      </c>
    </row>
    <row r="356" spans="1:9" ht="15.75" customHeight="1">
      <c r="B356" s="227" t="s">
        <v>179</v>
      </c>
      <c r="C356" s="96" t="s">
        <v>180</v>
      </c>
      <c r="D356" s="102" t="s">
        <v>180</v>
      </c>
      <c r="E356" s="97" t="s">
        <v>180</v>
      </c>
      <c r="F356" s="97" t="s">
        <v>180</v>
      </c>
      <c r="G356" s="97" t="s">
        <v>140</v>
      </c>
      <c r="H356" s="97" t="s">
        <v>140</v>
      </c>
      <c r="I356" s="97" t="s">
        <v>140</v>
      </c>
    </row>
    <row r="357" spans="1:9" ht="15.75" customHeight="1">
      <c r="B357" s="227" t="s">
        <v>181</v>
      </c>
      <c r="C357" s="96" t="s">
        <v>180</v>
      </c>
      <c r="D357" s="102" t="s">
        <v>140</v>
      </c>
      <c r="E357" s="97" t="s">
        <v>180</v>
      </c>
      <c r="F357" s="97" t="s">
        <v>140</v>
      </c>
      <c r="G357" s="97" t="s">
        <v>180</v>
      </c>
      <c r="H357" s="97" t="s">
        <v>140</v>
      </c>
      <c r="I357" s="97" t="s">
        <v>140</v>
      </c>
    </row>
    <row r="358" spans="1:9" ht="15.75" customHeight="1">
      <c r="B358" s="227" t="s">
        <v>182</v>
      </c>
      <c r="C358" s="96" t="s">
        <v>180</v>
      </c>
      <c r="D358" s="102" t="s">
        <v>140</v>
      </c>
      <c r="E358" s="97" t="s">
        <v>140</v>
      </c>
      <c r="F358" s="97" t="s">
        <v>180</v>
      </c>
      <c r="G358" s="97" t="s">
        <v>180</v>
      </c>
      <c r="H358" s="97" t="s">
        <v>180</v>
      </c>
      <c r="I358" s="97" t="s">
        <v>140</v>
      </c>
    </row>
    <row r="359" spans="1:9" ht="32" customHeight="1">
      <c r="B359" s="227"/>
      <c r="C359" s="98" t="s">
        <v>183</v>
      </c>
      <c r="D359" s="103" t="s">
        <v>184</v>
      </c>
      <c r="E359" s="99" t="s">
        <v>185</v>
      </c>
      <c r="F359" s="99" t="s">
        <v>186</v>
      </c>
      <c r="G359" s="99" t="s">
        <v>187</v>
      </c>
      <c r="H359" s="99" t="s">
        <v>188</v>
      </c>
      <c r="I359" s="99" t="s">
        <v>189</v>
      </c>
    </row>
    <row r="361" spans="1:9" ht="75" customHeight="1">
      <c r="B361" s="632" t="s">
        <v>190</v>
      </c>
      <c r="C361" s="633"/>
      <c r="D361" s="633"/>
      <c r="E361" s="633"/>
      <c r="F361" s="634"/>
    </row>
  </sheetData>
  <mergeCells count="15">
    <mergeCell ref="B361:F361"/>
    <mergeCell ref="B298:C298"/>
    <mergeCell ref="B321:C321"/>
    <mergeCell ref="B323:C323"/>
    <mergeCell ref="B324:C324"/>
    <mergeCell ref="B325:C325"/>
    <mergeCell ref="B343:G351"/>
    <mergeCell ref="B283:F283"/>
    <mergeCell ref="B295:F295"/>
    <mergeCell ref="B317:F317"/>
    <mergeCell ref="B259:C259"/>
    <mergeCell ref="B260:C260"/>
    <mergeCell ref="B262:E262"/>
    <mergeCell ref="B263:E263"/>
    <mergeCell ref="B264:E26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8A5B2-E359-4A8E-9732-F9B1EC18FA60}">
  <dimension ref="A3:K151"/>
  <sheetViews>
    <sheetView showGridLines="0" topLeftCell="A27" zoomScale="91" workbookViewId="0">
      <selection activeCell="D6" sqref="D6"/>
    </sheetView>
  </sheetViews>
  <sheetFormatPr baseColWidth="10" defaultColWidth="8.83203125" defaultRowHeight="16"/>
  <cols>
    <col min="3" max="3" width="12.1640625" bestFit="1" customWidth="1"/>
    <col min="4" max="4" width="13.33203125" bestFit="1" customWidth="1"/>
    <col min="5" max="5" width="12.1640625" bestFit="1" customWidth="1"/>
    <col min="6" max="6" width="21" customWidth="1"/>
    <col min="7" max="7" width="21.5" customWidth="1"/>
    <col min="8" max="8" width="19.33203125" customWidth="1"/>
    <col min="9" max="9" width="19.6640625" customWidth="1"/>
    <col min="10" max="10" width="12.1640625" bestFit="1" customWidth="1"/>
    <col min="11" max="11" width="10.5" bestFit="1" customWidth="1"/>
  </cols>
  <sheetData>
    <row r="3" spans="1:11" ht="24">
      <c r="A3" s="231" t="s">
        <v>191</v>
      </c>
      <c r="B3" s="63"/>
      <c r="C3" s="63"/>
      <c r="D3" s="63"/>
    </row>
    <row r="4" spans="1:11">
      <c r="A4" s="63"/>
      <c r="B4" s="63"/>
      <c r="C4" s="63"/>
      <c r="D4" s="63"/>
    </row>
    <row r="5" spans="1:11">
      <c r="A5" s="63" t="s">
        <v>192</v>
      </c>
      <c r="B5" s="63"/>
      <c r="C5" s="63"/>
      <c r="D5" s="63"/>
    </row>
    <row r="6" spans="1:11">
      <c r="A6" s="63" t="s">
        <v>23</v>
      </c>
      <c r="B6" s="63"/>
      <c r="C6" s="63"/>
      <c r="D6" s="63"/>
    </row>
    <row r="7" spans="1:11">
      <c r="A7" s="63" t="s">
        <v>3</v>
      </c>
      <c r="B7" s="63"/>
      <c r="C7" s="63"/>
      <c r="D7" s="63"/>
    </row>
    <row r="8" spans="1:11">
      <c r="A8" s="63" t="s">
        <v>24</v>
      </c>
      <c r="B8" s="63"/>
      <c r="C8" s="63"/>
      <c r="D8" s="63"/>
    </row>
    <row r="11" spans="1:11">
      <c r="A11" s="5">
        <v>2</v>
      </c>
      <c r="B11" s="5" t="s">
        <v>193</v>
      </c>
    </row>
    <row r="12" spans="1:11">
      <c r="B12" s="251"/>
      <c r="C12" s="252"/>
      <c r="D12" s="252"/>
      <c r="E12" s="252"/>
      <c r="F12" s="252"/>
      <c r="G12" s="253" t="s">
        <v>194</v>
      </c>
      <c r="H12" s="253"/>
      <c r="I12" s="253" t="s">
        <v>195</v>
      </c>
      <c r="J12" s="253"/>
      <c r="K12" s="254" t="s">
        <v>196</v>
      </c>
    </row>
    <row r="13" spans="1:11">
      <c r="B13" s="49" t="s">
        <v>197</v>
      </c>
      <c r="G13">
        <f>MEDIAN('Comparable Firms'!AZ5:AZ122)</f>
        <v>1.17</v>
      </c>
      <c r="I13">
        <f>MEDIAN('Comparable Firms'!AX5:AX122)</f>
        <v>9.120000000000001</v>
      </c>
      <c r="K13" s="255">
        <f>MEDIAN('Comparable Firms'!AO5:AO122)</f>
        <v>16.814999999999998</v>
      </c>
    </row>
    <row r="14" spans="1:11">
      <c r="A14" t="s">
        <v>5</v>
      </c>
      <c r="B14" s="49" t="s">
        <v>198</v>
      </c>
      <c r="G14" s="256">
        <f>G13*'Comparable Firms'!BY4</f>
        <v>104695.11</v>
      </c>
      <c r="I14" s="256">
        <f>I13*'Comparable Firms'!BZ4</f>
        <v>105974.40000000001</v>
      </c>
      <c r="K14" s="255"/>
    </row>
    <row r="15" spans="1:11">
      <c r="A15" t="s">
        <v>199</v>
      </c>
      <c r="B15" s="257" t="s">
        <v>200</v>
      </c>
      <c r="C15" s="258"/>
      <c r="D15" s="258"/>
      <c r="E15" s="258"/>
      <c r="F15" s="258"/>
      <c r="G15" s="258"/>
      <c r="H15" s="258"/>
      <c r="I15" s="258"/>
      <c r="J15" s="258"/>
      <c r="K15" s="259">
        <f>K13*Financials!F38</f>
        <v>113.71311899999998</v>
      </c>
    </row>
    <row r="23" spans="1:11">
      <c r="A23" s="5"/>
    </row>
    <row r="30" spans="1:11">
      <c r="A30" s="5">
        <v>3</v>
      </c>
      <c r="B30" s="5" t="s">
        <v>201</v>
      </c>
    </row>
    <row r="31" spans="1:11">
      <c r="B31" s="251"/>
      <c r="C31" s="252"/>
      <c r="D31" s="252"/>
      <c r="E31" s="252"/>
      <c r="F31" s="252"/>
      <c r="G31" s="253" t="s">
        <v>194</v>
      </c>
      <c r="H31" s="253"/>
      <c r="I31" s="253" t="s">
        <v>195</v>
      </c>
      <c r="J31" s="253"/>
      <c r="K31" s="254" t="s">
        <v>196</v>
      </c>
    </row>
    <row r="32" spans="1:11">
      <c r="B32" s="49" t="s">
        <v>202</v>
      </c>
      <c r="G32">
        <f>MEDIAN('Selective Comparable Firms'!AZ5:AZ9)</f>
        <v>1.37</v>
      </c>
      <c r="I32">
        <f>MEDIAN('Selective Comparable Firms'!AX5:AX9)</f>
        <v>11.36</v>
      </c>
      <c r="K32" s="255">
        <f>MEDIAN('Selective Comparable Firms'!AO5:AO9)</f>
        <v>20.149999999999999</v>
      </c>
    </row>
    <row r="33" spans="1:11">
      <c r="A33" t="s">
        <v>5</v>
      </c>
      <c r="B33" s="49" t="s">
        <v>198</v>
      </c>
      <c r="G33" s="256">
        <f>G32*'Selective Comparable Firms'!BY4</f>
        <v>122591.71</v>
      </c>
      <c r="I33" s="256">
        <f>I32*'Selective Comparable Firms'!BZ4</f>
        <v>132003.19999999998</v>
      </c>
      <c r="K33" s="255"/>
    </row>
    <row r="34" spans="1:11">
      <c r="A34" t="s">
        <v>7</v>
      </c>
      <c r="B34" s="257" t="s">
        <v>200</v>
      </c>
      <c r="C34" s="258"/>
      <c r="D34" s="258"/>
      <c r="E34" s="258"/>
      <c r="F34" s="258"/>
      <c r="G34" s="258"/>
      <c r="H34" s="258"/>
      <c r="I34" s="258"/>
      <c r="J34" s="258"/>
      <c r="K34" s="259">
        <f>K32*Financials!F38</f>
        <v>136.26639</v>
      </c>
    </row>
    <row r="49" spans="1:2">
      <c r="A49" s="5">
        <v>8</v>
      </c>
      <c r="B49" s="5" t="s">
        <v>1807</v>
      </c>
    </row>
    <row r="63" spans="1:2">
      <c r="A63" s="5">
        <v>9</v>
      </c>
      <c r="B63" s="12" t="s">
        <v>1808</v>
      </c>
    </row>
    <row r="65" spans="2:10">
      <c r="B65" t="s">
        <v>1783</v>
      </c>
    </row>
    <row r="66" spans="2:10" ht="17" thickBot="1"/>
    <row r="67" spans="2:10">
      <c r="B67" s="291" t="s">
        <v>1784</v>
      </c>
      <c r="C67" s="291"/>
    </row>
    <row r="68" spans="2:10">
      <c r="B68" t="s">
        <v>1785</v>
      </c>
      <c r="C68">
        <v>0.31708423076546549</v>
      </c>
    </row>
    <row r="69" spans="2:10">
      <c r="B69" t="s">
        <v>1786</v>
      </c>
      <c r="C69">
        <v>0.10054240940012696</v>
      </c>
    </row>
    <row r="70" spans="2:10">
      <c r="B70" t="s">
        <v>1787</v>
      </c>
      <c r="C70">
        <v>3.6295438642993172E-2</v>
      </c>
    </row>
    <row r="71" spans="2:10">
      <c r="B71" t="s">
        <v>1788</v>
      </c>
      <c r="C71">
        <v>5.1827688867046593</v>
      </c>
    </row>
    <row r="72" spans="2:10" ht="17" thickBot="1">
      <c r="B72" s="289" t="s">
        <v>1789</v>
      </c>
      <c r="C72" s="289">
        <v>46</v>
      </c>
    </row>
    <row r="74" spans="2:10" ht="17" thickBot="1">
      <c r="B74" t="s">
        <v>1790</v>
      </c>
    </row>
    <row r="75" spans="2:10">
      <c r="B75" s="290"/>
      <c r="C75" s="290" t="s">
        <v>1795</v>
      </c>
      <c r="D75" s="290" t="s">
        <v>1796</v>
      </c>
      <c r="E75" s="290" t="s">
        <v>1797</v>
      </c>
      <c r="F75" s="290" t="s">
        <v>1798</v>
      </c>
      <c r="G75" s="290" t="s">
        <v>1799</v>
      </c>
    </row>
    <row r="76" spans="2:10">
      <c r="B76" t="s">
        <v>1791</v>
      </c>
      <c r="C76">
        <v>3</v>
      </c>
      <c r="D76">
        <v>126.10769088382335</v>
      </c>
      <c r="E76">
        <v>42.035896961274453</v>
      </c>
      <c r="F76">
        <v>1.5649361863331595</v>
      </c>
      <c r="G76" s="292">
        <v>0.21207128686224991</v>
      </c>
    </row>
    <row r="77" spans="2:10">
      <c r="B77" t="s">
        <v>1792</v>
      </c>
      <c r="C77">
        <v>42</v>
      </c>
      <c r="D77">
        <v>1128.1659199857418</v>
      </c>
      <c r="E77">
        <v>26.861093332993853</v>
      </c>
    </row>
    <row r="78" spans="2:10" ht="17" thickBot="1">
      <c r="B78" s="289" t="s">
        <v>1793</v>
      </c>
      <c r="C78" s="289">
        <v>45</v>
      </c>
      <c r="D78" s="289">
        <v>1254.2736108695651</v>
      </c>
      <c r="E78" s="289"/>
      <c r="F78" s="289"/>
      <c r="G78" s="289"/>
    </row>
    <row r="79" spans="2:10" ht="17" thickBot="1"/>
    <row r="80" spans="2:10">
      <c r="B80" s="290"/>
      <c r="C80" s="290" t="s">
        <v>1800</v>
      </c>
      <c r="D80" s="290" t="s">
        <v>1788</v>
      </c>
      <c r="E80" s="290" t="s">
        <v>1801</v>
      </c>
      <c r="F80" s="290" t="s">
        <v>1802</v>
      </c>
      <c r="G80" s="290" t="s">
        <v>1803</v>
      </c>
      <c r="H80" s="290" t="s">
        <v>1804</v>
      </c>
      <c r="I80" s="290" t="s">
        <v>1805</v>
      </c>
      <c r="J80" s="290" t="s">
        <v>1806</v>
      </c>
    </row>
    <row r="81" spans="1:10">
      <c r="B81" t="s">
        <v>1794</v>
      </c>
      <c r="C81">
        <v>6.1760072875553966</v>
      </c>
      <c r="D81">
        <v>2.2737443784192441</v>
      </c>
      <c r="E81">
        <v>2.7162276226710627</v>
      </c>
      <c r="F81">
        <v>9.5463067071020376E-3</v>
      </c>
      <c r="G81">
        <v>1.5874053605812191</v>
      </c>
      <c r="H81">
        <v>10.764609214529575</v>
      </c>
      <c r="I81">
        <v>1.5874053605812191</v>
      </c>
      <c r="J81">
        <v>10.764609214529575</v>
      </c>
    </row>
    <row r="82" spans="1:10">
      <c r="B82" s="292" t="s">
        <v>259</v>
      </c>
      <c r="C82">
        <v>13.20806733331368</v>
      </c>
      <c r="D82">
        <v>9.9502184892872059</v>
      </c>
      <c r="E82">
        <v>1.3274148047637349</v>
      </c>
      <c r="F82" s="292">
        <v>0.19154205449508632</v>
      </c>
      <c r="G82">
        <v>-6.8722865389626309</v>
      </c>
      <c r="H82">
        <v>33.288421205589991</v>
      </c>
      <c r="I82">
        <v>-6.8722865389626309</v>
      </c>
      <c r="J82">
        <v>33.288421205589991</v>
      </c>
    </row>
    <row r="83" spans="1:10">
      <c r="B83" s="292" t="s">
        <v>239</v>
      </c>
      <c r="C83">
        <v>3.2694494873694744</v>
      </c>
      <c r="D83">
        <v>1.67330044430567</v>
      </c>
      <c r="E83">
        <v>1.9538926786851603</v>
      </c>
      <c r="F83" s="292">
        <v>5.7394804535574849E-2</v>
      </c>
      <c r="G83">
        <v>-0.10740752260177468</v>
      </c>
      <c r="H83">
        <v>6.6463064973407233</v>
      </c>
      <c r="I83">
        <v>-0.10740752260177468</v>
      </c>
      <c r="J83">
        <v>6.6463064973407233</v>
      </c>
    </row>
    <row r="84" spans="1:10" ht="17" thickBot="1">
      <c r="B84" s="293" t="s">
        <v>254</v>
      </c>
      <c r="C84" s="289">
        <v>0.73061508819796328</v>
      </c>
      <c r="D84" s="289">
        <v>2.8662391958117479</v>
      </c>
      <c r="E84" s="289">
        <v>0.25490373911066611</v>
      </c>
      <c r="F84" s="293">
        <v>0.80004151074805052</v>
      </c>
      <c r="G84" s="289">
        <v>-5.0536897887707823</v>
      </c>
      <c r="H84" s="289">
        <v>6.5149199651667091</v>
      </c>
      <c r="I84" s="289">
        <v>-5.0536897887707823</v>
      </c>
      <c r="J84" s="289">
        <v>6.5149199651667091</v>
      </c>
    </row>
    <row r="93" spans="1:10">
      <c r="A93" s="5">
        <v>10</v>
      </c>
      <c r="B93" s="12" t="s">
        <v>1809</v>
      </c>
    </row>
    <row r="95" spans="1:10">
      <c r="B95" s="292" t="s">
        <v>1810</v>
      </c>
      <c r="C95" s="292"/>
    </row>
    <row r="96" spans="1:10">
      <c r="B96" t="s">
        <v>1783</v>
      </c>
    </row>
    <row r="97" spans="2:10" ht="17" thickBot="1"/>
    <row r="98" spans="2:10">
      <c r="B98" s="291" t="s">
        <v>1784</v>
      </c>
      <c r="C98" s="291"/>
    </row>
    <row r="99" spans="2:10">
      <c r="B99" t="s">
        <v>1785</v>
      </c>
      <c r="C99">
        <v>0.31488237084746074</v>
      </c>
    </row>
    <row r="100" spans="2:10">
      <c r="B100" t="s">
        <v>1786</v>
      </c>
      <c r="C100">
        <v>9.9150907470517802E-2</v>
      </c>
    </row>
    <row r="101" spans="2:10">
      <c r="B101" t="s">
        <v>1787</v>
      </c>
      <c r="C101">
        <v>5.7250949678448862E-2</v>
      </c>
    </row>
    <row r="102" spans="2:10">
      <c r="B102" t="s">
        <v>1788</v>
      </c>
      <c r="C102">
        <v>5.1261101897608814</v>
      </c>
    </row>
    <row r="103" spans="2:10" ht="17" thickBot="1">
      <c r="B103" s="289" t="s">
        <v>1789</v>
      </c>
      <c r="C103" s="289">
        <v>46</v>
      </c>
    </row>
    <row r="105" spans="2:10" ht="17" thickBot="1">
      <c r="B105" t="s">
        <v>1790</v>
      </c>
    </row>
    <row r="106" spans="2:10">
      <c r="B106" s="290"/>
      <c r="C106" s="290" t="s">
        <v>1795</v>
      </c>
      <c r="D106" s="290" t="s">
        <v>1796</v>
      </c>
      <c r="E106" s="290" t="s">
        <v>1797</v>
      </c>
      <c r="F106" s="290" t="s">
        <v>1798</v>
      </c>
      <c r="G106" s="290" t="s">
        <v>1799</v>
      </c>
    </row>
    <row r="107" spans="2:10">
      <c r="B107" t="s">
        <v>1791</v>
      </c>
      <c r="C107">
        <v>2</v>
      </c>
      <c r="D107">
        <v>124.36236673404051</v>
      </c>
      <c r="E107">
        <v>62.181183367020253</v>
      </c>
      <c r="F107">
        <v>2.366372490458347</v>
      </c>
      <c r="G107">
        <v>0.10593000090740057</v>
      </c>
    </row>
    <row r="108" spans="2:10">
      <c r="B108" t="s">
        <v>1792</v>
      </c>
      <c r="C108">
        <v>43</v>
      </c>
      <c r="D108">
        <v>1129.9112441355246</v>
      </c>
      <c r="E108">
        <v>26.27700567757034</v>
      </c>
    </row>
    <row r="109" spans="2:10" ht="17" thickBot="1">
      <c r="B109" s="289" t="s">
        <v>1793</v>
      </c>
      <c r="C109" s="289">
        <v>45</v>
      </c>
      <c r="D109" s="289">
        <v>1254.2736108695651</v>
      </c>
      <c r="E109" s="289"/>
      <c r="F109" s="289"/>
      <c r="G109" s="289"/>
    </row>
    <row r="110" spans="2:10" ht="17" thickBot="1"/>
    <row r="111" spans="2:10">
      <c r="B111" s="290"/>
      <c r="C111" s="290" t="s">
        <v>1800</v>
      </c>
      <c r="D111" s="290" t="s">
        <v>1788</v>
      </c>
      <c r="E111" s="290" t="s">
        <v>1801</v>
      </c>
      <c r="F111" s="290" t="s">
        <v>1802</v>
      </c>
      <c r="G111" s="290" t="s">
        <v>1803</v>
      </c>
      <c r="H111" s="290" t="s">
        <v>1804</v>
      </c>
      <c r="I111" s="290" t="s">
        <v>1805</v>
      </c>
      <c r="J111" s="290" t="s">
        <v>1806</v>
      </c>
    </row>
    <row r="112" spans="2:10">
      <c r="B112" t="s">
        <v>1794</v>
      </c>
      <c r="C112">
        <v>6.5390937792998294</v>
      </c>
      <c r="D112">
        <v>1.7529062654805265</v>
      </c>
      <c r="E112">
        <v>3.7304298056731851</v>
      </c>
      <c r="F112">
        <v>5.5529370193630021E-4</v>
      </c>
      <c r="G112">
        <v>3.0040213877276729</v>
      </c>
      <c r="H112">
        <v>10.074166170871985</v>
      </c>
      <c r="I112">
        <v>3.0040213877276729</v>
      </c>
      <c r="J112">
        <v>10.074166170871985</v>
      </c>
    </row>
    <row r="113" spans="1:10">
      <c r="B113" t="s">
        <v>259</v>
      </c>
      <c r="C113">
        <v>12.328443150215254</v>
      </c>
      <c r="D113">
        <v>9.2306458572672536</v>
      </c>
      <c r="E113">
        <v>1.3355991921745232</v>
      </c>
      <c r="F113">
        <v>0.18870717620053154</v>
      </c>
      <c r="G113">
        <v>-6.2869283439702546</v>
      </c>
      <c r="H113">
        <v>30.94381464440076</v>
      </c>
      <c r="I113">
        <v>-6.2869283439702546</v>
      </c>
      <c r="J113">
        <v>30.94381464440076</v>
      </c>
    </row>
    <row r="114" spans="1:10" ht="17" thickBot="1">
      <c r="B114" s="289" t="s">
        <v>239</v>
      </c>
      <c r="C114" s="289">
        <v>3.2214962503910094</v>
      </c>
      <c r="D114" s="289">
        <v>1.6445150748719373</v>
      </c>
      <c r="E114" s="289">
        <v>1.9589338520608428</v>
      </c>
      <c r="F114" s="289">
        <v>5.6625678315705683E-2</v>
      </c>
      <c r="G114" s="289">
        <v>-9.4984472615788781E-2</v>
      </c>
      <c r="H114" s="289">
        <v>6.5379769733978073</v>
      </c>
      <c r="I114" s="289">
        <v>-9.4984472615788781E-2</v>
      </c>
      <c r="J114" s="289">
        <v>6.5379769733978073</v>
      </c>
    </row>
    <row r="116" spans="1:10">
      <c r="A116" s="5">
        <v>11</v>
      </c>
      <c r="B116" s="5" t="s">
        <v>1811</v>
      </c>
    </row>
    <row r="119" spans="1:10">
      <c r="B119" s="294"/>
      <c r="C119" s="294" t="s">
        <v>1800</v>
      </c>
    </row>
    <row r="120" spans="1:10">
      <c r="B120" s="294" t="s">
        <v>1794</v>
      </c>
      <c r="C120" s="294">
        <v>6.5390937792998294</v>
      </c>
    </row>
    <row r="121" spans="1:10">
      <c r="B121" s="294" t="s">
        <v>259</v>
      </c>
      <c r="C121" s="294">
        <v>12.328443150215254</v>
      </c>
    </row>
    <row r="122" spans="1:10">
      <c r="B122" s="294" t="s">
        <v>239</v>
      </c>
      <c r="C122" s="294">
        <v>3.2214962503910094</v>
      </c>
    </row>
    <row r="126" spans="1:10">
      <c r="B126" s="5" t="s">
        <v>1812</v>
      </c>
    </row>
    <row r="127" spans="1:10">
      <c r="B127" s="294" t="s">
        <v>259</v>
      </c>
      <c r="C127" s="295">
        <f>'CF Multiples Final'!C1</f>
        <v>-3.9800000000000002E-2</v>
      </c>
    </row>
    <row r="128" spans="1:10">
      <c r="B128" s="294" t="s">
        <v>239</v>
      </c>
      <c r="C128" s="294">
        <f>'CF Multiples Final'!D1</f>
        <v>0.78</v>
      </c>
    </row>
    <row r="130" spans="1:4">
      <c r="B130" s="5" t="s">
        <v>1813</v>
      </c>
      <c r="C130" s="5"/>
      <c r="D130" s="297">
        <f>C120+(C121*C127)+(C122*C128)</f>
        <v>8.5611888172262489</v>
      </c>
    </row>
    <row r="131" spans="1:4">
      <c r="B131" s="5" t="s">
        <v>1814</v>
      </c>
      <c r="D131" s="298">
        <f>'CF Multiples Final'!B1</f>
        <v>8.5500000000000007</v>
      </c>
    </row>
    <row r="133" spans="1:4">
      <c r="B133" s="5" t="s">
        <v>1815</v>
      </c>
      <c r="D133" s="296">
        <f>(D130-D131)/D131</f>
        <v>1.3086335937132403E-3</v>
      </c>
    </row>
    <row r="136" spans="1:4">
      <c r="A136" s="5">
        <v>12</v>
      </c>
      <c r="B136" s="5" t="s">
        <v>1816</v>
      </c>
    </row>
    <row r="138" spans="1:4">
      <c r="B138" t="s">
        <v>1817</v>
      </c>
      <c r="D138">
        <f>'CF Multiples Final'!B1</f>
        <v>8.5500000000000007</v>
      </c>
    </row>
    <row r="139" spans="1:4">
      <c r="B139" t="s">
        <v>1818</v>
      </c>
      <c r="D139" s="308">
        <f>'Workshop #2'!D11</f>
        <v>108.03</v>
      </c>
    </row>
    <row r="140" spans="1:4">
      <c r="B140" t="s">
        <v>1819</v>
      </c>
      <c r="D140" s="307">
        <f>'CF Multiples Final'!C1</f>
        <v>-3.9800000000000002E-2</v>
      </c>
    </row>
    <row r="141" spans="1:4">
      <c r="B141" t="s">
        <v>1820</v>
      </c>
      <c r="D141" s="63">
        <f>'CF Multiples Final'!D1</f>
        <v>0.78</v>
      </c>
    </row>
    <row r="143" spans="1:4">
      <c r="B143" t="s">
        <v>1821</v>
      </c>
      <c r="D143" s="298">
        <f>D130</f>
        <v>8.5611888172262489</v>
      </c>
    </row>
    <row r="144" spans="1:4">
      <c r="B144" t="s">
        <v>1831</v>
      </c>
      <c r="D144" s="256">
        <f>D143*'Comparable Firms'!BZ4</f>
        <v>99481.014056169006</v>
      </c>
    </row>
    <row r="145" spans="2:9">
      <c r="B145" t="s">
        <v>1822</v>
      </c>
      <c r="D145" s="256">
        <f>D144/Financials!F39</f>
        <v>116.35206322358948</v>
      </c>
    </row>
    <row r="147" spans="2:9">
      <c r="F147" s="294" t="s">
        <v>1825</v>
      </c>
      <c r="G147" s="305" t="s">
        <v>1826</v>
      </c>
      <c r="H147" s="305"/>
      <c r="I147" s="306"/>
    </row>
    <row r="148" spans="2:9">
      <c r="B148" s="299" t="s">
        <v>1824</v>
      </c>
      <c r="C148" s="300"/>
      <c r="D148" s="300"/>
      <c r="E148" s="310">
        <f>D145</f>
        <v>116.35206322358948</v>
      </c>
      <c r="F148" s="317">
        <f>(D145-K15)/K15</f>
        <v>2.320703404142406E-2</v>
      </c>
      <c r="G148" s="311"/>
      <c r="H148" s="318">
        <f>(D145-K34)/K34</f>
        <v>-0.14614261650587881</v>
      </c>
      <c r="I148" s="312"/>
    </row>
    <row r="149" spans="2:9">
      <c r="B149" s="301"/>
      <c r="E149" s="302"/>
      <c r="F149" s="313" t="s">
        <v>1827</v>
      </c>
      <c r="G149" s="314" t="s">
        <v>1828</v>
      </c>
      <c r="H149" s="314" t="s">
        <v>1829</v>
      </c>
      <c r="I149" s="315" t="s">
        <v>1830</v>
      </c>
    </row>
    <row r="150" spans="2:9">
      <c r="B150" s="303" t="s">
        <v>1823</v>
      </c>
      <c r="C150" s="304"/>
      <c r="D150" s="304"/>
      <c r="E150" s="309">
        <f>D144</f>
        <v>99481.014056169006</v>
      </c>
      <c r="F150" s="319">
        <f>(D144-G14)/G14</f>
        <v>-4.9802669330315373E-2</v>
      </c>
      <c r="G150" s="320">
        <f>(D144-I14)/I14</f>
        <v>-6.1273156005893899E-2</v>
      </c>
      <c r="H150" s="320">
        <f>(D144-G33)/G33</f>
        <v>-0.18851760811421098</v>
      </c>
      <c r="I150" s="321">
        <f>(D144-I33)/I33</f>
        <v>-0.24637422383571747</v>
      </c>
    </row>
    <row r="151" spans="2:9">
      <c r="F151" s="316"/>
      <c r="G151" s="316"/>
      <c r="H151" s="316"/>
      <c r="I151" s="31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A6B80-08E4-B045-BE4D-9AFD72DBC897}">
  <dimension ref="A3:K140"/>
  <sheetViews>
    <sheetView tabSelected="1" zoomScale="80" zoomScaleNormal="80" workbookViewId="0">
      <selection activeCell="K140" sqref="K140"/>
    </sheetView>
  </sheetViews>
  <sheetFormatPr baseColWidth="10" defaultColWidth="10.83203125" defaultRowHeight="16"/>
  <cols>
    <col min="1" max="2" width="10.83203125" style="425"/>
    <col min="3" max="3" width="14.1640625" style="425" customWidth="1"/>
    <col min="4" max="5" width="10.83203125" style="425"/>
    <col min="6" max="6" width="20.33203125" style="425" bestFit="1" customWidth="1"/>
    <col min="7" max="7" width="12.1640625" style="425" bestFit="1" customWidth="1"/>
    <col min="8" max="16384" width="10.83203125" style="425"/>
  </cols>
  <sheetData>
    <row r="3" spans="1:10" ht="24">
      <c r="A3" s="423" t="s">
        <v>1952</v>
      </c>
      <c r="B3" s="424"/>
      <c r="C3" s="424"/>
      <c r="D3" s="424"/>
    </row>
    <row r="4" spans="1:10">
      <c r="A4" s="424"/>
      <c r="B4" s="424"/>
      <c r="C4" s="424"/>
      <c r="D4" s="424"/>
    </row>
    <row r="5" spans="1:10">
      <c r="A5" s="424" t="s">
        <v>1951</v>
      </c>
      <c r="B5" s="424"/>
      <c r="C5" s="424"/>
      <c r="D5" s="424"/>
    </row>
    <row r="6" spans="1:10">
      <c r="A6" s="424" t="s">
        <v>23</v>
      </c>
      <c r="B6" s="424"/>
      <c r="C6" s="424"/>
      <c r="D6" s="424"/>
    </row>
    <row r="7" spans="1:10">
      <c r="A7" s="424" t="s">
        <v>3</v>
      </c>
      <c r="B7" s="424"/>
      <c r="C7" s="424"/>
      <c r="D7" s="424"/>
    </row>
    <row r="8" spans="1:10">
      <c r="A8" s="424" t="s">
        <v>24</v>
      </c>
      <c r="B8" s="424"/>
      <c r="C8" s="424"/>
      <c r="D8" s="424"/>
    </row>
    <row r="11" spans="1:10">
      <c r="B11" s="425">
        <v>3</v>
      </c>
    </row>
    <row r="12" spans="1:10">
      <c r="B12" s="426" t="s">
        <v>5</v>
      </c>
      <c r="C12" s="427" t="s">
        <v>1955</v>
      </c>
      <c r="D12" s="428"/>
      <c r="E12" s="428"/>
      <c r="F12" s="428"/>
      <c r="G12" s="428"/>
      <c r="H12" s="428"/>
      <c r="I12" s="429" t="s">
        <v>1953</v>
      </c>
      <c r="J12" s="424" t="s">
        <v>1956</v>
      </c>
    </row>
    <row r="13" spans="1:10">
      <c r="C13" s="430" t="s">
        <v>1954</v>
      </c>
      <c r="D13" s="431"/>
      <c r="E13" s="431"/>
      <c r="F13" s="431"/>
      <c r="G13" s="431"/>
      <c r="H13" s="431"/>
      <c r="I13" s="432">
        <v>0.05</v>
      </c>
      <c r="J13" s="424" t="s">
        <v>1956</v>
      </c>
    </row>
    <row r="16" spans="1:10">
      <c r="B16" s="426" t="s">
        <v>1957</v>
      </c>
      <c r="C16" s="425" t="s">
        <v>1959</v>
      </c>
    </row>
    <row r="17" spans="2:9">
      <c r="B17" s="426" t="s">
        <v>1841</v>
      </c>
      <c r="C17" s="425" t="s">
        <v>1960</v>
      </c>
    </row>
    <row r="18" spans="2:9">
      <c r="B18" s="426" t="s">
        <v>1958</v>
      </c>
      <c r="C18" s="425" t="s">
        <v>1961</v>
      </c>
    </row>
    <row r="19" spans="2:9">
      <c r="B19" s="426" t="s">
        <v>1962</v>
      </c>
      <c r="C19" s="425" t="s">
        <v>1963</v>
      </c>
    </row>
    <row r="22" spans="2:9">
      <c r="B22" s="426" t="s">
        <v>1964</v>
      </c>
      <c r="C22" s="424" t="s">
        <v>1965</v>
      </c>
    </row>
    <row r="23" spans="2:9">
      <c r="B23" s="426"/>
    </row>
    <row r="24" spans="2:9">
      <c r="B24" s="426"/>
    </row>
    <row r="25" spans="2:9">
      <c r="B25" s="426" t="s">
        <v>15</v>
      </c>
      <c r="C25" s="433" t="s">
        <v>1966</v>
      </c>
    </row>
    <row r="26" spans="2:9">
      <c r="B26" s="426"/>
      <c r="C26" s="433"/>
    </row>
    <row r="27" spans="2:9">
      <c r="C27" s="434" t="s">
        <v>1971</v>
      </c>
      <c r="D27" s="435"/>
      <c r="E27" s="435"/>
      <c r="F27" s="435"/>
      <c r="G27" s="435"/>
      <c r="H27" s="435"/>
      <c r="I27" s="436" t="s">
        <v>1972</v>
      </c>
    </row>
    <row r="29" spans="2:9">
      <c r="B29" s="426" t="s">
        <v>1967</v>
      </c>
      <c r="C29" s="433" t="s">
        <v>1968</v>
      </c>
    </row>
    <row r="30" spans="2:9">
      <c r="B30" s="426"/>
      <c r="C30" s="433"/>
    </row>
    <row r="31" spans="2:9">
      <c r="B31" s="426"/>
      <c r="C31" s="437" t="s">
        <v>1973</v>
      </c>
      <c r="D31" s="438"/>
      <c r="E31" s="438"/>
      <c r="F31" s="428"/>
      <c r="G31" s="428"/>
      <c r="H31" s="428"/>
      <c r="I31" s="439">
        <v>0.05</v>
      </c>
    </row>
    <row r="32" spans="2:9">
      <c r="C32" s="440" t="s">
        <v>1974</v>
      </c>
      <c r="D32" s="441"/>
      <c r="E32" s="441"/>
      <c r="F32" s="431"/>
      <c r="G32" s="431"/>
      <c r="H32" s="431"/>
      <c r="I32" s="442" t="s">
        <v>1975</v>
      </c>
    </row>
    <row r="33" spans="2:9">
      <c r="C33" s="433"/>
    </row>
    <row r="34" spans="2:9">
      <c r="B34" s="426" t="s">
        <v>1969</v>
      </c>
      <c r="C34" s="424" t="s">
        <v>1970</v>
      </c>
    </row>
    <row r="36" spans="2:9">
      <c r="C36" s="427" t="s">
        <v>1976</v>
      </c>
      <c r="D36" s="428"/>
      <c r="E36" s="428"/>
      <c r="F36" s="428"/>
      <c r="G36" s="428"/>
      <c r="H36" s="428"/>
      <c r="I36" s="429" t="s">
        <v>1977</v>
      </c>
    </row>
    <row r="37" spans="2:9">
      <c r="C37" s="430" t="s">
        <v>1978</v>
      </c>
      <c r="D37" s="431"/>
      <c r="E37" s="431"/>
      <c r="F37" s="431"/>
      <c r="G37" s="431"/>
      <c r="H37" s="431"/>
      <c r="I37" s="432">
        <v>0.04</v>
      </c>
    </row>
    <row r="40" spans="2:9">
      <c r="B40" s="425">
        <v>4</v>
      </c>
    </row>
    <row r="41" spans="2:9">
      <c r="B41" s="426" t="s">
        <v>2071</v>
      </c>
    </row>
    <row r="81" spans="2:11">
      <c r="B81" s="426" t="s">
        <v>1964</v>
      </c>
    </row>
    <row r="87" spans="2:11">
      <c r="D87" s="434" t="s">
        <v>2077</v>
      </c>
      <c r="E87" s="435" t="s">
        <v>2078</v>
      </c>
      <c r="F87" s="435" t="s">
        <v>2079</v>
      </c>
      <c r="G87" s="443" t="s">
        <v>2080</v>
      </c>
    </row>
    <row r="88" spans="2:11">
      <c r="B88" s="426" t="s">
        <v>2076</v>
      </c>
      <c r="C88" s="444" t="s">
        <v>2072</v>
      </c>
      <c r="D88" s="445">
        <f>AVERAGE('UPS - Income Statement - Annual'!AH5:AH29)</f>
        <v>4.6718153169263796E-2</v>
      </c>
      <c r="E88" s="446">
        <f>('UPS - Income Statement - Annual'!B6/'UPS - Income Statement - Annual'!AA6)^(1/25)-1</f>
        <v>4.4618151857212851E-2</v>
      </c>
      <c r="F88" s="446">
        <f>STDEV('UPS - Income Statement - Annual'!AH5:AH29)</f>
        <v>6.6711607055078587E-2</v>
      </c>
      <c r="G88" s="447">
        <f>(MAX('UPS - Income Statement - Annual'!AH5:AH29)-MIN('UPS - Income Statement - Annual'!AH5:AH29))</f>
        <v>0.28419518857087445</v>
      </c>
    </row>
    <row r="89" spans="2:11">
      <c r="C89" s="448" t="s">
        <v>2074</v>
      </c>
      <c r="D89" s="449">
        <f>AVERAGE('UPS - Income Statement - Annual'!AK5:AK29)</f>
        <v>0.48742180248614664</v>
      </c>
      <c r="E89" s="450">
        <f>('UPS - Income Statement - Annual'!B16/'UPS - Income Statement - Annual'!AA16)^(1/25)-1</f>
        <v>2.2486546351746517E-2</v>
      </c>
      <c r="F89" s="450">
        <f>STDEV('UPS - Income Statement - Annual'!AK5:AK29)</f>
        <v>1.8729446500573257</v>
      </c>
      <c r="G89" s="451">
        <f>(MAX('UPS - Income Statement - Annual'!AK5:AK29)-MIN('UPS - Income Statement - Annual'!AK5:AK29))</f>
        <v>9.2243048946162105</v>
      </c>
    </row>
    <row r="90" spans="2:11">
      <c r="C90" s="452" t="s">
        <v>2075</v>
      </c>
      <c r="D90" s="453">
        <f>AVERAGE('UPS - Income Statement - Annual'!AN5:AN29)</f>
        <v>0.74519584133243977</v>
      </c>
      <c r="E90" s="454">
        <f>('UPS - Income Statement - Annual'!B24/'UPS - Income Statement - Annual'!AA24)^(1/25)-1</f>
        <v>3.8682476889707385E-2</v>
      </c>
      <c r="F90" s="454">
        <f>STDEV('UPS - Income Statement - Annual'!AN5:AN29)</f>
        <v>2.374632636435607</v>
      </c>
      <c r="G90" s="455">
        <f>(MAX('UPS - Income Statement - Annual'!AN5:AN29)-MIN('UPS - Income Statement - Annual'!AN5:AN29))</f>
        <v>9.4846578292174133</v>
      </c>
    </row>
    <row r="92" spans="2:11">
      <c r="C92" s="425" t="s">
        <v>2081</v>
      </c>
    </row>
    <row r="94" spans="2:11" ht="17" thickBot="1"/>
    <row r="95" spans="2:11">
      <c r="B95" s="426" t="s">
        <v>2082</v>
      </c>
      <c r="C95" s="456" t="s">
        <v>1783</v>
      </c>
      <c r="D95" s="457"/>
      <c r="E95" s="457"/>
      <c r="F95" s="457"/>
      <c r="G95" s="457"/>
      <c r="H95" s="457"/>
      <c r="I95" s="457"/>
      <c r="J95" s="457"/>
      <c r="K95" s="458"/>
    </row>
    <row r="96" spans="2:11">
      <c r="C96" s="459" t="s">
        <v>2085</v>
      </c>
      <c r="K96" s="460"/>
    </row>
    <row r="97" spans="3:11" ht="17" thickBot="1">
      <c r="C97" s="459"/>
      <c r="K97" s="460"/>
    </row>
    <row r="98" spans="3:11">
      <c r="C98" s="461" t="s">
        <v>1784</v>
      </c>
      <c r="D98" s="462"/>
      <c r="K98" s="460"/>
    </row>
    <row r="99" spans="3:11">
      <c r="C99" s="459" t="s">
        <v>1785</v>
      </c>
      <c r="D99" s="425">
        <v>0.97532170011567632</v>
      </c>
      <c r="K99" s="460"/>
    </row>
    <row r="100" spans="3:11">
      <c r="C100" s="459" t="s">
        <v>1786</v>
      </c>
      <c r="D100" s="425">
        <v>0.95125241871653321</v>
      </c>
      <c r="K100" s="460"/>
    </row>
    <row r="101" spans="3:11">
      <c r="C101" s="459" t="s">
        <v>1787</v>
      </c>
      <c r="D101" s="425">
        <v>0.94922126949638874</v>
      </c>
      <c r="K101" s="460"/>
    </row>
    <row r="102" spans="3:11">
      <c r="C102" s="459" t="s">
        <v>1788</v>
      </c>
      <c r="D102" s="425">
        <v>8.3233744202083931E-2</v>
      </c>
      <c r="K102" s="460"/>
    </row>
    <row r="103" spans="3:11" ht="17" thickBot="1">
      <c r="C103" s="463" t="s">
        <v>1789</v>
      </c>
      <c r="D103" s="464">
        <v>26</v>
      </c>
      <c r="K103" s="460"/>
    </row>
    <row r="104" spans="3:11">
      <c r="C104" s="459"/>
      <c r="K104" s="460"/>
    </row>
    <row r="105" spans="3:11" ht="17" thickBot="1">
      <c r="C105" s="459" t="s">
        <v>1790</v>
      </c>
      <c r="K105" s="460"/>
    </row>
    <row r="106" spans="3:11">
      <c r="C106" s="465"/>
      <c r="D106" s="466" t="s">
        <v>1795</v>
      </c>
      <c r="E106" s="466" t="s">
        <v>1796</v>
      </c>
      <c r="F106" s="466" t="s">
        <v>1797</v>
      </c>
      <c r="G106" s="466" t="s">
        <v>1798</v>
      </c>
      <c r="H106" s="466" t="s">
        <v>1799</v>
      </c>
      <c r="K106" s="460"/>
    </row>
    <row r="107" spans="3:11">
      <c r="C107" s="459" t="s">
        <v>1791</v>
      </c>
      <c r="D107" s="425">
        <v>1</v>
      </c>
      <c r="E107" s="425">
        <v>3.2445375635533127</v>
      </c>
      <c r="F107" s="425">
        <v>3.2445375635533127</v>
      </c>
      <c r="G107" s="425">
        <v>468.33211921716065</v>
      </c>
      <c r="H107" s="425">
        <v>2.9699467312408622E-17</v>
      </c>
      <c r="K107" s="460"/>
    </row>
    <row r="108" spans="3:11">
      <c r="C108" s="459" t="s">
        <v>1792</v>
      </c>
      <c r="D108" s="425">
        <v>24</v>
      </c>
      <c r="E108" s="425">
        <v>0.16626854817355058</v>
      </c>
      <c r="F108" s="425">
        <v>6.9278561738979408E-3</v>
      </c>
      <c r="K108" s="460"/>
    </row>
    <row r="109" spans="3:11" ht="17" thickBot="1">
      <c r="C109" s="463" t="s">
        <v>1793</v>
      </c>
      <c r="D109" s="464">
        <v>25</v>
      </c>
      <c r="E109" s="464">
        <v>3.4108061117268633</v>
      </c>
      <c r="F109" s="464"/>
      <c r="G109" s="464"/>
      <c r="H109" s="464"/>
      <c r="K109" s="460"/>
    </row>
    <row r="110" spans="3:11" ht="17" thickBot="1">
      <c r="C110" s="459"/>
      <c r="K110" s="460"/>
    </row>
    <row r="111" spans="3:11">
      <c r="C111" s="465"/>
      <c r="D111" s="466" t="s">
        <v>1800</v>
      </c>
      <c r="E111" s="466" t="s">
        <v>1788</v>
      </c>
      <c r="F111" s="466" t="s">
        <v>1801</v>
      </c>
      <c r="G111" s="466" t="s">
        <v>1802</v>
      </c>
      <c r="H111" s="466" t="s">
        <v>1803</v>
      </c>
      <c r="I111" s="466" t="s">
        <v>1804</v>
      </c>
      <c r="J111" s="466" t="s">
        <v>1805</v>
      </c>
      <c r="K111" s="467" t="s">
        <v>1806</v>
      </c>
    </row>
    <row r="112" spans="3:11">
      <c r="C112" s="459" t="s">
        <v>1794</v>
      </c>
      <c r="D112" s="425">
        <v>-83.857096878563638</v>
      </c>
      <c r="E112" s="425">
        <v>4.3801642769586104</v>
      </c>
      <c r="F112" s="425">
        <v>-19.14473786284341</v>
      </c>
      <c r="G112" s="425">
        <v>4.8172526990511956E-16</v>
      </c>
      <c r="H112" s="425">
        <v>-92.897311629472981</v>
      </c>
      <c r="I112" s="425">
        <v>-74.816882127654296</v>
      </c>
      <c r="J112" s="425">
        <v>-92.897311629472981</v>
      </c>
      <c r="K112" s="460">
        <v>-74.816882127654296</v>
      </c>
    </row>
    <row r="113" spans="2:11" ht="17" thickBot="1">
      <c r="C113" s="463" t="s">
        <v>2073</v>
      </c>
      <c r="D113" s="464">
        <v>4.7100819769324995E-2</v>
      </c>
      <c r="E113" s="464">
        <v>2.1764640301323909E-3</v>
      </c>
      <c r="F113" s="464">
        <v>21.640982399539094</v>
      </c>
      <c r="G113" s="464">
        <v>2.9699467312408412E-17</v>
      </c>
      <c r="H113" s="464">
        <v>4.260881878809962E-2</v>
      </c>
      <c r="I113" s="464">
        <v>5.1592820750550369E-2</v>
      </c>
      <c r="J113" s="464">
        <v>4.260881878809962E-2</v>
      </c>
      <c r="K113" s="468">
        <v>5.1592820750550369E-2</v>
      </c>
    </row>
    <row r="115" spans="2:11">
      <c r="B115" s="426" t="s">
        <v>2086</v>
      </c>
      <c r="C115" s="412" t="s">
        <v>2087</v>
      </c>
      <c r="D115" s="413"/>
      <c r="E115" s="414">
        <f>D113</f>
        <v>4.7100819769324995E-2</v>
      </c>
      <c r="F115" s="425" t="s">
        <v>2089</v>
      </c>
    </row>
    <row r="116" spans="2:11">
      <c r="C116" s="415" t="s">
        <v>2088</v>
      </c>
      <c r="D116" s="416"/>
      <c r="E116" s="416"/>
      <c r="F116" s="417"/>
      <c r="G116" s="418">
        <f>J113</f>
        <v>4.260881878809962E-2</v>
      </c>
      <c r="H116" s="417"/>
      <c r="I116" s="419">
        <f>K113</f>
        <v>5.1592820750550369E-2</v>
      </c>
    </row>
    <row r="117" spans="2:11">
      <c r="G117" s="469"/>
      <c r="H117" s="469"/>
    </row>
    <row r="119" spans="2:11">
      <c r="B119" s="425">
        <v>5</v>
      </c>
      <c r="G119" s="470">
        <v>2025</v>
      </c>
    </row>
    <row r="120" spans="2:11">
      <c r="C120" s="427" t="s">
        <v>2090</v>
      </c>
      <c r="D120" s="428"/>
      <c r="E120" s="428"/>
      <c r="F120" s="428"/>
      <c r="G120" s="444">
        <f>'UPS - Income Statement - Annual'!B32*'UPS - Income Statement - Annual'!B27</f>
        <v>5569.44</v>
      </c>
    </row>
    <row r="121" spans="2:11">
      <c r="C121" s="471" t="s">
        <v>2091</v>
      </c>
      <c r="G121" s="448">
        <f>'UPS - Income Statement - Annual'!B22</f>
        <v>5572</v>
      </c>
    </row>
    <row r="122" spans="2:11">
      <c r="C122" s="471" t="s">
        <v>2092</v>
      </c>
      <c r="G122" s="472">
        <f>1-(G120/G121)</f>
        <v>4.5944005743003835E-4</v>
      </c>
    </row>
    <row r="123" spans="2:11">
      <c r="C123" s="471" t="s">
        <v>2093</v>
      </c>
      <c r="G123" s="472">
        <f>G121/'UPS - Balance Sheet - Annual'!C22</f>
        <v>7.9520479520479526E-2</v>
      </c>
    </row>
    <row r="124" spans="2:11">
      <c r="C124" s="471" t="s">
        <v>2094</v>
      </c>
      <c r="G124" s="472">
        <f>G121/'UPS - Balance Sheet - Annual'!C47</f>
        <v>0.33329345615504247</v>
      </c>
    </row>
    <row r="125" spans="2:11">
      <c r="B125" s="426" t="s">
        <v>2097</v>
      </c>
      <c r="C125" s="473" t="s">
        <v>2096</v>
      </c>
      <c r="D125" s="433"/>
      <c r="E125" s="433"/>
      <c r="F125" s="433"/>
      <c r="G125" s="474">
        <f>G123*G122</f>
        <v>3.65348936777533E-5</v>
      </c>
    </row>
    <row r="126" spans="2:11">
      <c r="B126" s="426" t="s">
        <v>2098</v>
      </c>
      <c r="C126" s="475" t="s">
        <v>2095</v>
      </c>
      <c r="D126" s="476"/>
      <c r="E126" s="476"/>
      <c r="F126" s="476"/>
      <c r="G126" s="477">
        <f>G124*G122</f>
        <v>1.5312836463692869E-4</v>
      </c>
    </row>
    <row r="129" spans="2:8">
      <c r="B129" s="425">
        <v>6</v>
      </c>
    </row>
    <row r="130" spans="2:8">
      <c r="B130" s="426" t="s">
        <v>2097</v>
      </c>
      <c r="C130" s="434" t="s">
        <v>2099</v>
      </c>
      <c r="D130" s="435"/>
      <c r="E130" s="435"/>
      <c r="F130" s="435" t="s">
        <v>2100</v>
      </c>
      <c r="G130" s="435"/>
      <c r="H130" s="443" t="s">
        <v>2101</v>
      </c>
    </row>
    <row r="131" spans="2:8">
      <c r="C131" s="427"/>
      <c r="D131" s="428"/>
      <c r="E131" s="428" t="s">
        <v>2102</v>
      </c>
      <c r="F131" s="446">
        <v>0.05</v>
      </c>
      <c r="G131" s="428"/>
      <c r="H131" s="478"/>
    </row>
    <row r="132" spans="2:8">
      <c r="C132" s="471"/>
      <c r="E132" s="425" t="s">
        <v>2103</v>
      </c>
      <c r="F132" s="450">
        <v>0.05</v>
      </c>
      <c r="H132" s="479" t="s">
        <v>1975</v>
      </c>
    </row>
    <row r="133" spans="2:8">
      <c r="C133" s="471"/>
      <c r="E133" s="425" t="s">
        <v>2104</v>
      </c>
      <c r="F133" s="450">
        <v>0.04</v>
      </c>
      <c r="H133" s="479"/>
    </row>
    <row r="134" spans="2:8">
      <c r="C134" s="471"/>
      <c r="E134" s="425" t="s">
        <v>2105</v>
      </c>
      <c r="F134" s="450">
        <f>E88</f>
        <v>4.4618151857212851E-2</v>
      </c>
      <c r="H134" s="479"/>
    </row>
    <row r="135" spans="2:8">
      <c r="C135" s="471"/>
      <c r="E135" s="425" t="s">
        <v>2106</v>
      </c>
      <c r="F135" s="450">
        <f>EXP(E115)-1</f>
        <v>4.8227685825898536E-2</v>
      </c>
      <c r="H135" s="479"/>
    </row>
    <row r="136" spans="2:8">
      <c r="C136" s="471" t="s">
        <v>2109</v>
      </c>
      <c r="E136" s="425" t="s">
        <v>2107</v>
      </c>
      <c r="H136" s="451">
        <f>G125</f>
        <v>3.65348936777533E-5</v>
      </c>
    </row>
    <row r="137" spans="2:8">
      <c r="C137" s="430" t="s">
        <v>2110</v>
      </c>
      <c r="D137" s="431"/>
      <c r="E137" s="431" t="s">
        <v>2108</v>
      </c>
      <c r="F137" s="431"/>
      <c r="G137" s="431"/>
      <c r="H137" s="455">
        <f>G126</f>
        <v>1.5312836463692869E-4</v>
      </c>
    </row>
    <row r="139" spans="2:8">
      <c r="C139" s="420" t="s">
        <v>2111</v>
      </c>
      <c r="D139" s="417"/>
      <c r="E139" s="417"/>
      <c r="F139" s="417"/>
      <c r="G139" s="421">
        <v>0.04</v>
      </c>
    </row>
    <row r="140" spans="2:8">
      <c r="C140" s="415" t="s">
        <v>2112</v>
      </c>
      <c r="D140" s="416"/>
      <c r="E140" s="416"/>
      <c r="F140" s="416"/>
      <c r="G140" s="422">
        <f>'Workshop #8'!D131</f>
        <v>2.5000000000000001E-2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BEDF4-D1F0-134B-BFE6-1EA629347F44}">
  <dimension ref="B2:T177"/>
  <sheetViews>
    <sheetView showGridLines="0" zoomScale="86" workbookViewId="0">
      <selection activeCell="I120" sqref="I120"/>
    </sheetView>
  </sheetViews>
  <sheetFormatPr baseColWidth="10" defaultColWidth="11" defaultRowHeight="16"/>
  <cols>
    <col min="3" max="3" width="28.33203125" customWidth="1"/>
    <col min="5" max="5" width="11" bestFit="1" customWidth="1"/>
    <col min="6" max="6" width="10.6640625" customWidth="1"/>
    <col min="7" max="7" width="11" bestFit="1" customWidth="1"/>
    <col min="8" max="10" width="11.1640625" bestFit="1" customWidth="1"/>
    <col min="13" max="13" width="27.1640625" bestFit="1" customWidth="1"/>
  </cols>
  <sheetData>
    <row r="2" spans="2:8" ht="24">
      <c r="B2" s="231" t="s">
        <v>2050</v>
      </c>
    </row>
    <row r="3" spans="2:8">
      <c r="B3" s="63"/>
    </row>
    <row r="4" spans="2:8">
      <c r="B4" s="63" t="s">
        <v>2051</v>
      </c>
    </row>
    <row r="5" spans="2:8">
      <c r="B5" s="63" t="s">
        <v>23</v>
      </c>
    </row>
    <row r="6" spans="2:8">
      <c r="B6" s="63" t="s">
        <v>3</v>
      </c>
    </row>
    <row r="7" spans="2:8">
      <c r="B7" s="63" t="s">
        <v>24</v>
      </c>
    </row>
    <row r="9" spans="2:8">
      <c r="B9" s="5">
        <v>1</v>
      </c>
      <c r="D9" s="81">
        <v>2020</v>
      </c>
      <c r="E9" s="82">
        <v>2021</v>
      </c>
      <c r="F9" s="82">
        <v>2022</v>
      </c>
      <c r="G9" s="82">
        <v>2023</v>
      </c>
      <c r="H9" s="83">
        <v>2024</v>
      </c>
    </row>
    <row r="10" spans="2:8">
      <c r="C10" s="396" t="s">
        <v>2052</v>
      </c>
      <c r="D10" s="397">
        <f>Financials!B34+Financials!B28</f>
        <v>1844</v>
      </c>
      <c r="E10" s="398">
        <f>Financials!C34+Financials!C28</f>
        <v>16595</v>
      </c>
      <c r="F10" s="398">
        <f>Financials!D34+Financials!D28</f>
        <v>14825</v>
      </c>
      <c r="G10" s="398">
        <f>Financials!E34+Financials!E28</f>
        <v>8573</v>
      </c>
      <c r="H10" s="399">
        <f>Financials!F34+Financials!F28</f>
        <v>7442</v>
      </c>
    </row>
    <row r="11" spans="2:8">
      <c r="C11" s="24" t="s">
        <v>2053</v>
      </c>
      <c r="D11" s="400">
        <f>Financials!B28</f>
        <v>501</v>
      </c>
      <c r="E11" s="2">
        <f>Financials!C28</f>
        <v>3705</v>
      </c>
      <c r="F11" s="2">
        <f>Financials!D28</f>
        <v>3277</v>
      </c>
      <c r="G11" s="2">
        <f>Financials!E28</f>
        <v>1865</v>
      </c>
      <c r="H11" s="401">
        <f>Financials!F28</f>
        <v>1660</v>
      </c>
    </row>
    <row r="12" spans="2:8">
      <c r="C12" s="41" t="s">
        <v>1945</v>
      </c>
      <c r="D12" s="402">
        <f>D11/D10</f>
        <v>0.27169197396963124</v>
      </c>
      <c r="E12" s="403">
        <f t="shared" ref="E12:H12" si="0">E11/E10</f>
        <v>0.22326001807773427</v>
      </c>
      <c r="F12" s="403">
        <f t="shared" si="0"/>
        <v>0.22104553119730186</v>
      </c>
      <c r="G12" s="403">
        <f t="shared" si="0"/>
        <v>0.21754345036743264</v>
      </c>
      <c r="H12" s="404">
        <f t="shared" si="0"/>
        <v>0.22305831765654394</v>
      </c>
    </row>
    <row r="14" spans="2:8">
      <c r="B14" s="395" t="s">
        <v>2054</v>
      </c>
      <c r="C14" s="117" t="s">
        <v>2055</v>
      </c>
      <c r="D14" s="252"/>
      <c r="E14" s="252"/>
      <c r="F14" s="252"/>
      <c r="G14" s="480">
        <f>'Workshop #4'!G139</f>
        <v>0.04</v>
      </c>
    </row>
    <row r="15" spans="2:8">
      <c r="C15" s="49" t="s">
        <v>2056</v>
      </c>
      <c r="G15" s="406">
        <f>'Workshop #4'!G140</f>
        <v>2.5000000000000001E-2</v>
      </c>
    </row>
    <row r="16" spans="2:8">
      <c r="C16" s="49" t="s">
        <v>2057</v>
      </c>
      <c r="G16" s="481">
        <f>G14</f>
        <v>0.04</v>
      </c>
    </row>
    <row r="17" spans="2:20">
      <c r="C17" s="49" t="s">
        <v>2058</v>
      </c>
      <c r="G17" s="406">
        <f>AVERAGE(D12:H12)</f>
        <v>0.23131985825372875</v>
      </c>
    </row>
    <row r="18" spans="2:20">
      <c r="C18" s="49" t="s">
        <v>2059</v>
      </c>
      <c r="G18" s="407">
        <f>AVERAGE('Workshop #2'!C280:G280)</f>
        <v>1.0307268190897287</v>
      </c>
    </row>
    <row r="19" spans="2:20">
      <c r="C19" s="49" t="s">
        <v>2060</v>
      </c>
      <c r="G19" s="406">
        <f>'Workshop #6'!E199</f>
        <v>4.8738912133891213E-2</v>
      </c>
    </row>
    <row r="20" spans="2:20">
      <c r="C20" s="257" t="s">
        <v>1913</v>
      </c>
      <c r="D20" s="258"/>
      <c r="E20" s="258"/>
      <c r="F20" s="258"/>
      <c r="G20" s="405">
        <f>'Workshop #6'!D28</f>
        <v>4.2599999999999999E-2</v>
      </c>
    </row>
    <row r="22" spans="2:20">
      <c r="C22" s="409" t="s">
        <v>2148</v>
      </c>
      <c r="M22" s="409" t="s">
        <v>2146</v>
      </c>
    </row>
    <row r="23" spans="2:20">
      <c r="B23" t="s">
        <v>74</v>
      </c>
      <c r="C23" s="482" t="s">
        <v>2061</v>
      </c>
      <c r="D23" s="252" t="s">
        <v>2144</v>
      </c>
      <c r="E23" s="252"/>
      <c r="F23" s="252"/>
      <c r="G23" s="252"/>
      <c r="H23" s="252" t="s">
        <v>2149</v>
      </c>
      <c r="I23" s="253"/>
      <c r="J23" s="486"/>
      <c r="M23" s="482" t="s">
        <v>2061</v>
      </c>
      <c r="N23" s="252" t="s">
        <v>2144</v>
      </c>
      <c r="O23" s="252"/>
      <c r="P23" s="252"/>
      <c r="Q23" s="252"/>
      <c r="R23" s="252" t="s">
        <v>2149</v>
      </c>
      <c r="S23" s="253"/>
      <c r="T23" s="486"/>
    </row>
    <row r="24" spans="2:20">
      <c r="C24" s="49" t="s">
        <v>1723</v>
      </c>
      <c r="E24" s="5">
        <f>2024</f>
        <v>2024</v>
      </c>
      <c r="F24" s="409">
        <v>2025</v>
      </c>
      <c r="G24" s="409">
        <v>2026</v>
      </c>
      <c r="H24" s="409">
        <v>2027</v>
      </c>
      <c r="I24" s="409">
        <v>2028</v>
      </c>
      <c r="J24" s="490">
        <v>2029</v>
      </c>
      <c r="M24" s="49" t="s">
        <v>1723</v>
      </c>
      <c r="O24" s="5">
        <f>E24</f>
        <v>2024</v>
      </c>
      <c r="P24" s="409">
        <f t="shared" ref="P24:T24" si="1">F24</f>
        <v>2025</v>
      </c>
      <c r="Q24" s="409">
        <f t="shared" si="1"/>
        <v>2026</v>
      </c>
      <c r="R24" s="409">
        <f t="shared" si="1"/>
        <v>2027</v>
      </c>
      <c r="S24" s="409">
        <f t="shared" si="1"/>
        <v>2028</v>
      </c>
      <c r="T24" s="490">
        <f t="shared" si="1"/>
        <v>2029</v>
      </c>
    </row>
    <row r="25" spans="2:20">
      <c r="C25" s="49" t="s">
        <v>2063</v>
      </c>
      <c r="D25" s="485">
        <f>E25/$E$25</f>
        <v>1</v>
      </c>
      <c r="E25" s="2">
        <f>Financials!$F$4</f>
        <v>90894</v>
      </c>
      <c r="F25" s="2">
        <f>E25*(1+$G$16)</f>
        <v>94529.760000000009</v>
      </c>
      <c r="G25" s="2">
        <f t="shared" ref="G25:J25" si="2">F25*(1+$G$16)</f>
        <v>98310.950400000016</v>
      </c>
      <c r="H25" s="2">
        <f t="shared" si="2"/>
        <v>102243.38841600002</v>
      </c>
      <c r="I25" s="2">
        <f t="shared" si="2"/>
        <v>106333.12395264002</v>
      </c>
      <c r="J25" s="401">
        <f t="shared" si="2"/>
        <v>110586.44891074562</v>
      </c>
      <c r="M25" s="49" t="s">
        <v>2063</v>
      </c>
      <c r="N25" s="485">
        <f>O25/$E$25</f>
        <v>1</v>
      </c>
      <c r="O25" s="2">
        <f>Financials!$F$4</f>
        <v>90894</v>
      </c>
      <c r="P25" s="2">
        <f>O25*(1+$G$16)</f>
        <v>94529.760000000009</v>
      </c>
      <c r="Q25" s="2">
        <f t="shared" ref="Q25:T25" si="3">P25*(1+$G$16)</f>
        <v>98310.950400000016</v>
      </c>
      <c r="R25" s="2">
        <f t="shared" si="3"/>
        <v>102243.38841600002</v>
      </c>
      <c r="S25" s="2">
        <f t="shared" si="3"/>
        <v>106333.12395264002</v>
      </c>
      <c r="T25" s="401">
        <f t="shared" si="3"/>
        <v>110586.44891074562</v>
      </c>
    </row>
    <row r="26" spans="2:20">
      <c r="C26" s="408" t="s">
        <v>2064</v>
      </c>
      <c r="D26" s="485">
        <f t="shared" ref="D26:D69" si="4">E26/$E$25</f>
        <v>0.81233084692058877</v>
      </c>
      <c r="E26" s="2">
        <f>Financials!$F$5</f>
        <v>73836</v>
      </c>
      <c r="F26" s="2">
        <f>F$25*$D26</f>
        <v>76789.440000000002</v>
      </c>
      <c r="G26" s="2">
        <f>G$25*$D26</f>
        <v>79861.017600000006</v>
      </c>
      <c r="H26" s="2">
        <f t="shared" ref="G26:J40" si="5">H$25*$D26</f>
        <v>83055.458304000014</v>
      </c>
      <c r="I26" s="2">
        <f t="shared" si="5"/>
        <v>86377.676636160002</v>
      </c>
      <c r="J26" s="401">
        <f t="shared" si="5"/>
        <v>89832.783701606415</v>
      </c>
      <c r="M26" s="408" t="s">
        <v>2064</v>
      </c>
      <c r="N26" s="485">
        <f t="shared" ref="N26:N69" si="6">O26/$E$25</f>
        <v>0.81233084692058877</v>
      </c>
      <c r="O26" s="2">
        <f>Financials!$F$5</f>
        <v>73836</v>
      </c>
      <c r="P26" s="2">
        <f>P$25*$D26</f>
        <v>76789.440000000002</v>
      </c>
      <c r="Q26" s="2">
        <f>Q$25*$D26</f>
        <v>79861.017600000006</v>
      </c>
      <c r="R26" s="2">
        <f t="shared" ref="Q26:T40" si="7">R$25*$D26</f>
        <v>83055.458304000014</v>
      </c>
      <c r="S26" s="2">
        <f t="shared" si="7"/>
        <v>86377.676636160002</v>
      </c>
      <c r="T26" s="401">
        <f t="shared" si="7"/>
        <v>89832.783701606415</v>
      </c>
    </row>
    <row r="27" spans="2:20">
      <c r="C27" s="408" t="s">
        <v>2065</v>
      </c>
      <c r="D27" s="485">
        <f t="shared" si="4"/>
        <v>0.18766915307941118</v>
      </c>
      <c r="E27" s="2">
        <f>E25-E26</f>
        <v>17058</v>
      </c>
      <c r="F27" s="2">
        <f t="shared" ref="F27" si="8">F25-F26</f>
        <v>17740.320000000007</v>
      </c>
      <c r="G27" s="2">
        <f t="shared" ref="G27" si="9">G25-G26</f>
        <v>18449.93280000001</v>
      </c>
      <c r="H27" s="2">
        <f t="shared" ref="H27" si="10">H25-H26</f>
        <v>19187.930112000002</v>
      </c>
      <c r="I27" s="2">
        <f t="shared" ref="I27" si="11">I25-I26</f>
        <v>19955.447316480015</v>
      </c>
      <c r="J27" s="401">
        <f t="shared" ref="J27" si="12">J25-J26</f>
        <v>20753.665209139202</v>
      </c>
      <c r="M27" s="408" t="s">
        <v>2065</v>
      </c>
      <c r="N27" s="485">
        <f t="shared" si="6"/>
        <v>0.18766915307941118</v>
      </c>
      <c r="O27" s="2">
        <f>O25-O26</f>
        <v>17058</v>
      </c>
      <c r="P27" s="2">
        <f t="shared" ref="P27" si="13">P25-P26</f>
        <v>17740.320000000007</v>
      </c>
      <c r="Q27" s="2">
        <f t="shared" ref="Q27" si="14">Q25-Q26</f>
        <v>18449.93280000001</v>
      </c>
      <c r="R27" s="2">
        <f t="shared" ref="R27" si="15">R25-R26</f>
        <v>19187.930112000002</v>
      </c>
      <c r="S27" s="2">
        <f t="shared" ref="S27" si="16">S25-S26</f>
        <v>19955.447316480015</v>
      </c>
      <c r="T27" s="401">
        <f t="shared" ref="T27" si="17">T25-T26</f>
        <v>20753.665209139202</v>
      </c>
    </row>
    <row r="28" spans="2:20">
      <c r="C28" s="49" t="s">
        <v>2114</v>
      </c>
      <c r="D28" s="485">
        <f t="shared" si="4"/>
        <v>3.9705591128127271E-2</v>
      </c>
      <c r="E28" s="2">
        <f>Financials!$F$8+Financials!$F$9</f>
        <v>3609</v>
      </c>
      <c r="F28" s="2">
        <f t="shared" ref="F28:J68" si="18">F$25*$D28</f>
        <v>3753.3600000000006</v>
      </c>
      <c r="G28" s="2">
        <f t="shared" si="5"/>
        <v>3903.494400000001</v>
      </c>
      <c r="H28" s="2">
        <f t="shared" si="5"/>
        <v>4059.6341760000009</v>
      </c>
      <c r="I28" s="2">
        <f t="shared" si="5"/>
        <v>4222.0195430400008</v>
      </c>
      <c r="J28" s="401">
        <f t="shared" si="5"/>
        <v>4390.900324761601</v>
      </c>
      <c r="M28" s="49" t="s">
        <v>2114</v>
      </c>
      <c r="N28" s="485">
        <f t="shared" si="6"/>
        <v>3.9705591128127271E-2</v>
      </c>
      <c r="O28" s="2">
        <f>Financials!$F$8+Financials!$F$9</f>
        <v>3609</v>
      </c>
      <c r="P28" s="2">
        <f t="shared" ref="P28:T65" si="19">P$25*$D28</f>
        <v>3753.3600000000006</v>
      </c>
      <c r="Q28" s="2">
        <f t="shared" si="7"/>
        <v>3903.494400000001</v>
      </c>
      <c r="R28" s="2">
        <f t="shared" si="7"/>
        <v>4059.6341760000009</v>
      </c>
      <c r="S28" s="2">
        <f t="shared" si="7"/>
        <v>4222.0195430400008</v>
      </c>
      <c r="T28" s="401">
        <f t="shared" si="7"/>
        <v>4390.900324761601</v>
      </c>
    </row>
    <row r="29" spans="2:20">
      <c r="C29" s="408" t="s">
        <v>2113</v>
      </c>
      <c r="D29" s="485">
        <f t="shared" si="4"/>
        <v>9.5539859616696365E-2</v>
      </c>
      <c r="E29" s="2">
        <f>Financials!$F$11</f>
        <v>8684</v>
      </c>
      <c r="F29" s="2">
        <f t="shared" si="18"/>
        <v>9031.36</v>
      </c>
      <c r="G29" s="2">
        <f t="shared" si="5"/>
        <v>9392.6144000000004</v>
      </c>
      <c r="H29" s="2">
        <f t="shared" si="5"/>
        <v>9768.3189760000005</v>
      </c>
      <c r="I29" s="2">
        <f t="shared" si="5"/>
        <v>10159.05173504</v>
      </c>
      <c r="J29" s="401">
        <f t="shared" si="5"/>
        <v>10565.413804441601</v>
      </c>
      <c r="M29" s="408" t="s">
        <v>2113</v>
      </c>
      <c r="N29" s="485">
        <f t="shared" si="6"/>
        <v>9.5539859616696365E-2</v>
      </c>
      <c r="O29" s="2">
        <f>Financials!$F$11</f>
        <v>8684</v>
      </c>
      <c r="P29" s="2">
        <f t="shared" si="19"/>
        <v>9031.36</v>
      </c>
      <c r="Q29" s="2">
        <f t="shared" si="7"/>
        <v>9392.6144000000004</v>
      </c>
      <c r="R29" s="2">
        <f t="shared" si="7"/>
        <v>9768.3189760000005</v>
      </c>
      <c r="S29" s="2">
        <f t="shared" si="7"/>
        <v>10159.05173504</v>
      </c>
      <c r="T29" s="401">
        <f t="shared" si="7"/>
        <v>10565.413804441601</v>
      </c>
    </row>
    <row r="30" spans="2:20">
      <c r="C30" s="408" t="s">
        <v>2115</v>
      </c>
      <c r="D30" s="485">
        <f t="shared" si="4"/>
        <v>3.4215679802847274E-3</v>
      </c>
      <c r="E30" s="2">
        <f>-Financials!$F$13</f>
        <v>311</v>
      </c>
      <c r="F30" s="2">
        <f t="shared" si="18"/>
        <v>323.44000000000005</v>
      </c>
      <c r="G30" s="2">
        <f t="shared" si="5"/>
        <v>336.37760000000009</v>
      </c>
      <c r="H30" s="2">
        <f t="shared" si="5"/>
        <v>349.83270400000009</v>
      </c>
      <c r="I30" s="2">
        <f t="shared" si="5"/>
        <v>363.82601216000006</v>
      </c>
      <c r="J30" s="401">
        <f t="shared" si="5"/>
        <v>378.37905264640005</v>
      </c>
      <c r="M30" s="408" t="s">
        <v>2115</v>
      </c>
      <c r="N30" s="485">
        <f t="shared" si="6"/>
        <v>3.4215679802847274E-3</v>
      </c>
      <c r="O30" s="2">
        <f>-Financials!$F$13</f>
        <v>311</v>
      </c>
      <c r="P30" s="2">
        <f t="shared" si="19"/>
        <v>323.44000000000005</v>
      </c>
      <c r="Q30" s="2">
        <f t="shared" si="7"/>
        <v>336.37760000000009</v>
      </c>
      <c r="R30" s="2">
        <f t="shared" si="7"/>
        <v>349.83270400000009</v>
      </c>
      <c r="S30" s="2">
        <f t="shared" si="7"/>
        <v>363.82601216000006</v>
      </c>
      <c r="T30" s="401">
        <f t="shared" si="7"/>
        <v>378.37905264640005</v>
      </c>
    </row>
    <row r="31" spans="2:20">
      <c r="C31" s="49" t="s">
        <v>2116</v>
      </c>
      <c r="D31" s="485">
        <f t="shared" si="4"/>
        <v>9.5550861442999541E-2</v>
      </c>
      <c r="E31" s="2">
        <f>E27-E29+E30</f>
        <v>8685</v>
      </c>
      <c r="F31" s="2">
        <f t="shared" ref="F31:J31" si="20">F27-F29+F30</f>
        <v>9032.4000000000069</v>
      </c>
      <c r="G31" s="2">
        <f t="shared" si="20"/>
        <v>9393.696000000009</v>
      </c>
      <c r="H31" s="2">
        <f t="shared" si="20"/>
        <v>9769.4438400000017</v>
      </c>
      <c r="I31" s="2">
        <f t="shared" si="20"/>
        <v>10160.221593600014</v>
      </c>
      <c r="J31" s="401">
        <f t="shared" si="20"/>
        <v>10566.630457344001</v>
      </c>
      <c r="M31" s="49" t="s">
        <v>2116</v>
      </c>
      <c r="N31" s="485">
        <f t="shared" si="6"/>
        <v>9.5550861442999541E-2</v>
      </c>
      <c r="O31" s="2">
        <f>O27-O29+O30</f>
        <v>8685</v>
      </c>
      <c r="P31" s="2">
        <f t="shared" ref="P31" si="21">P27-P29+P30</f>
        <v>9032.4000000000069</v>
      </c>
      <c r="Q31" s="2">
        <f t="shared" ref="Q31" si="22">Q27-Q29+Q30</f>
        <v>9393.696000000009</v>
      </c>
      <c r="R31" s="2">
        <f t="shared" ref="R31" si="23">R27-R29+R30</f>
        <v>9769.4438400000017</v>
      </c>
      <c r="S31" s="2">
        <f t="shared" ref="S31" si="24">S27-S29+S30</f>
        <v>10160.221593600014</v>
      </c>
      <c r="T31" s="401">
        <f t="shared" ref="T31" si="25">T27-T29+T30</f>
        <v>10566.630457344001</v>
      </c>
    </row>
    <row r="32" spans="2:20">
      <c r="C32" s="408" t="s">
        <v>2117</v>
      </c>
      <c r="D32" s="485">
        <f t="shared" si="4"/>
        <v>1.8703104715382755E-4</v>
      </c>
      <c r="E32" s="2">
        <f>Financials!$F$17</f>
        <v>17</v>
      </c>
      <c r="F32" s="2">
        <f t="shared" si="18"/>
        <v>17.680000000000003</v>
      </c>
      <c r="G32" s="2">
        <f t="shared" si="18"/>
        <v>18.387200000000004</v>
      </c>
      <c r="H32" s="2">
        <f t="shared" si="18"/>
        <v>19.122688000000004</v>
      </c>
      <c r="I32" s="2">
        <f t="shared" si="18"/>
        <v>19.887595520000005</v>
      </c>
      <c r="J32" s="401">
        <f t="shared" si="18"/>
        <v>20.683099340800005</v>
      </c>
      <c r="M32" s="408" t="s">
        <v>2117</v>
      </c>
      <c r="N32" s="485">
        <f t="shared" si="6"/>
        <v>1.8703104715382755E-4</v>
      </c>
      <c r="O32" s="2">
        <f>Financials!$F$17</f>
        <v>17</v>
      </c>
      <c r="P32" s="2">
        <f t="shared" si="19"/>
        <v>17.680000000000003</v>
      </c>
      <c r="Q32" s="2">
        <f t="shared" si="19"/>
        <v>18.387200000000004</v>
      </c>
      <c r="R32" s="2">
        <f t="shared" si="19"/>
        <v>19.122688000000004</v>
      </c>
      <c r="S32" s="2">
        <f t="shared" si="19"/>
        <v>19.887595520000005</v>
      </c>
      <c r="T32" s="401">
        <f t="shared" si="19"/>
        <v>20.683099340800005</v>
      </c>
    </row>
    <row r="33" spans="3:20">
      <c r="C33" s="487" t="s">
        <v>2068</v>
      </c>
      <c r="D33" s="485">
        <f t="shared" si="4"/>
        <v>9.4725724470262063E-3</v>
      </c>
      <c r="E33" s="2">
        <f>Financials!$F$18</f>
        <v>861</v>
      </c>
      <c r="F33" s="2">
        <f>$E$33</f>
        <v>861</v>
      </c>
      <c r="G33" s="2">
        <f t="shared" ref="G33:J33" si="26">$E$33</f>
        <v>861</v>
      </c>
      <c r="H33" s="2">
        <f t="shared" si="26"/>
        <v>861</v>
      </c>
      <c r="I33" s="2">
        <f t="shared" si="26"/>
        <v>861</v>
      </c>
      <c r="J33" s="401">
        <f t="shared" si="26"/>
        <v>861</v>
      </c>
      <c r="M33" s="487" t="s">
        <v>2068</v>
      </c>
      <c r="N33" s="485">
        <f t="shared" si="6"/>
        <v>9.4725724470262063E-3</v>
      </c>
      <c r="O33" s="2">
        <f>Financials!$F$18</f>
        <v>861</v>
      </c>
      <c r="P33" s="2">
        <f>(O60+O63)*$G$19-(O45-E45)*$G$20</f>
        <v>1250.2505740585773</v>
      </c>
      <c r="Q33" s="2">
        <f t="shared" ref="Q33:T33" si="27">(P60+P63)*$G$19-(P45-F45)*$G$20</f>
        <v>590.47192050209208</v>
      </c>
      <c r="R33" s="2">
        <f t="shared" si="27"/>
        <v>671.51927262259517</v>
      </c>
      <c r="S33" s="2">
        <f t="shared" si="27"/>
        <v>763.09752061536517</v>
      </c>
      <c r="T33" s="401">
        <f t="shared" si="27"/>
        <v>858.33889852784614</v>
      </c>
    </row>
    <row r="34" spans="3:20">
      <c r="C34" s="408" t="s">
        <v>2118</v>
      </c>
      <c r="D34" s="485">
        <f t="shared" si="4"/>
        <v>4.3897286949633636E-3</v>
      </c>
      <c r="E34" s="2">
        <f>Financials!$F$21</f>
        <v>399</v>
      </c>
      <c r="F34" s="2">
        <f t="shared" si="18"/>
        <v>414.96000000000004</v>
      </c>
      <c r="G34" s="2">
        <f t="shared" si="18"/>
        <v>431.55840000000006</v>
      </c>
      <c r="H34" s="2">
        <f t="shared" si="18"/>
        <v>448.82073600000007</v>
      </c>
      <c r="I34" s="2">
        <f t="shared" si="18"/>
        <v>466.77356544000003</v>
      </c>
      <c r="J34" s="401">
        <f t="shared" si="18"/>
        <v>485.44450805760005</v>
      </c>
      <c r="M34" s="408" t="s">
        <v>2118</v>
      </c>
      <c r="N34" s="485">
        <f t="shared" si="6"/>
        <v>4.3897286949633636E-3</v>
      </c>
      <c r="O34" s="2">
        <f>Financials!$F$21</f>
        <v>399</v>
      </c>
      <c r="P34" s="2">
        <f>P$25*$D34</f>
        <v>414.96000000000004</v>
      </c>
      <c r="Q34" s="2">
        <f>Q$25*$D34</f>
        <v>431.55840000000006</v>
      </c>
      <c r="R34" s="2">
        <f t="shared" si="19"/>
        <v>448.82073600000007</v>
      </c>
      <c r="S34" s="2">
        <f t="shared" si="19"/>
        <v>466.77356544000003</v>
      </c>
      <c r="T34" s="401">
        <f t="shared" si="19"/>
        <v>485.44450805760005</v>
      </c>
    </row>
    <row r="35" spans="3:20">
      <c r="C35" s="49" t="s">
        <v>2119</v>
      </c>
      <c r="D35" s="485">
        <f t="shared" si="4"/>
        <v>8.1875591348163801E-2</v>
      </c>
      <c r="E35" s="2">
        <f>E31+E32-E33-E34</f>
        <v>7442</v>
      </c>
      <c r="F35" s="2">
        <f t="shared" ref="F35:J35" si="28">F31+F32-F33-F34</f>
        <v>7774.1200000000072</v>
      </c>
      <c r="G35" s="2">
        <f t="shared" si="28"/>
        <v>8119.5248000000083</v>
      </c>
      <c r="H35" s="2">
        <f t="shared" si="28"/>
        <v>8478.7457920000015</v>
      </c>
      <c r="I35" s="2">
        <f t="shared" si="28"/>
        <v>8852.3356236800137</v>
      </c>
      <c r="J35" s="401">
        <f t="shared" si="28"/>
        <v>9240.8690486272008</v>
      </c>
      <c r="M35" s="49" t="s">
        <v>2119</v>
      </c>
      <c r="N35" s="485">
        <f t="shared" si="6"/>
        <v>8.1875591348163801E-2</v>
      </c>
      <c r="O35" s="2">
        <f>O31+O32-O33-O34</f>
        <v>7442</v>
      </c>
      <c r="P35" s="2">
        <f t="shared" ref="P35" si="29">P31+P32-P33-P34</f>
        <v>7384.8694259414297</v>
      </c>
      <c r="Q35" s="2">
        <f t="shared" ref="Q35" si="30">Q31+Q32-Q33-Q34</f>
        <v>8390.0528794979164</v>
      </c>
      <c r="R35" s="2">
        <f t="shared" ref="R35" si="31">R31+R32-R33-R34</f>
        <v>8668.2265193774056</v>
      </c>
      <c r="S35" s="2">
        <f t="shared" ref="S35" si="32">S31+S32-S33-S34</f>
        <v>8950.2381030646484</v>
      </c>
      <c r="T35" s="401">
        <f t="shared" ref="T35" si="33">T31+T32-T33-T34</f>
        <v>9243.5301500993555</v>
      </c>
    </row>
    <row r="36" spans="3:20">
      <c r="C36" s="408" t="s">
        <v>2069</v>
      </c>
      <c r="D36" s="485">
        <f>E36/$E$25</f>
        <v>1.8263031663256102E-2</v>
      </c>
      <c r="E36" s="2">
        <f>Financials!$F$28</f>
        <v>1660</v>
      </c>
      <c r="F36" s="2">
        <f t="shared" si="18"/>
        <v>1726.4000000000003</v>
      </c>
      <c r="G36" s="2">
        <f t="shared" si="5"/>
        <v>1795.4560000000004</v>
      </c>
      <c r="H36" s="2">
        <f t="shared" si="5"/>
        <v>1867.2742400000004</v>
      </c>
      <c r="I36" s="2">
        <f t="shared" si="5"/>
        <v>1941.9652096000004</v>
      </c>
      <c r="J36" s="401">
        <f t="shared" si="5"/>
        <v>2019.6438179840004</v>
      </c>
      <c r="M36" s="408" t="s">
        <v>2069</v>
      </c>
      <c r="N36" s="485">
        <f>O36/$E$25</f>
        <v>1.8263031663256102E-2</v>
      </c>
      <c r="O36" s="2">
        <f>Financials!$F$28</f>
        <v>1660</v>
      </c>
      <c r="P36" s="2">
        <f t="shared" si="19"/>
        <v>1726.4000000000003</v>
      </c>
      <c r="Q36" s="2">
        <f t="shared" si="7"/>
        <v>1795.4560000000004</v>
      </c>
      <c r="R36" s="2">
        <f t="shared" si="7"/>
        <v>1867.2742400000004</v>
      </c>
      <c r="S36" s="2">
        <f t="shared" si="7"/>
        <v>1941.9652096000004</v>
      </c>
      <c r="T36" s="401">
        <f t="shared" si="7"/>
        <v>2019.6438179840004</v>
      </c>
    </row>
    <row r="37" spans="3:20">
      <c r="C37" s="49" t="s">
        <v>2070</v>
      </c>
      <c r="D37" s="485">
        <f t="shared" si="4"/>
        <v>6.3612559684907699E-2</v>
      </c>
      <c r="E37" s="2">
        <f>E35-E36</f>
        <v>5782</v>
      </c>
      <c r="F37" s="2">
        <f t="shared" ref="F37:J37" si="34">F35-F36</f>
        <v>6047.7200000000066</v>
      </c>
      <c r="G37" s="2">
        <f t="shared" si="34"/>
        <v>6324.0688000000082</v>
      </c>
      <c r="H37" s="2">
        <f t="shared" si="34"/>
        <v>6611.4715520000009</v>
      </c>
      <c r="I37" s="2">
        <f t="shared" si="34"/>
        <v>6910.3704140800128</v>
      </c>
      <c r="J37" s="401">
        <f t="shared" si="34"/>
        <v>7221.2252306432001</v>
      </c>
      <c r="M37" s="49" t="s">
        <v>2070</v>
      </c>
      <c r="N37" s="485">
        <f t="shared" si="6"/>
        <v>6.3612559684907699E-2</v>
      </c>
      <c r="O37" s="2">
        <f>O35-O36</f>
        <v>5782</v>
      </c>
      <c r="P37" s="2">
        <f t="shared" ref="P37" si="35">P35-P36</f>
        <v>5658.4694259414291</v>
      </c>
      <c r="Q37" s="2">
        <f t="shared" ref="Q37" si="36">Q35-Q36</f>
        <v>6594.5968794979162</v>
      </c>
      <c r="R37" s="2">
        <f t="shared" ref="R37" si="37">R35-R36</f>
        <v>6800.9522793774049</v>
      </c>
      <c r="S37" s="2">
        <f t="shared" ref="S37" si="38">S35-S36</f>
        <v>7008.2728934646475</v>
      </c>
      <c r="T37" s="401">
        <f t="shared" ref="T37" si="39">T35-T36</f>
        <v>7223.8863321153549</v>
      </c>
    </row>
    <row r="38" spans="3:20">
      <c r="C38" s="408"/>
      <c r="D38" s="485"/>
      <c r="E38" s="2"/>
      <c r="F38" s="2"/>
      <c r="G38" s="2"/>
      <c r="H38" s="2"/>
      <c r="I38" s="2"/>
      <c r="J38" s="401"/>
      <c r="M38" s="408"/>
      <c r="N38" s="485"/>
      <c r="O38" s="2"/>
      <c r="P38" s="2"/>
      <c r="Q38" s="2"/>
      <c r="R38" s="2"/>
      <c r="S38" s="2"/>
      <c r="T38" s="401"/>
    </row>
    <row r="39" spans="3:20">
      <c r="C39" s="49" t="s">
        <v>293</v>
      </c>
      <c r="D39" s="485">
        <f t="shared" si="4"/>
        <v>5.939886021079499E-2</v>
      </c>
      <c r="E39" s="2">
        <f>-Financials!$F$150</f>
        <v>5399</v>
      </c>
      <c r="F39" s="2">
        <f t="shared" si="18"/>
        <v>5614.96</v>
      </c>
      <c r="G39" s="2">
        <f t="shared" si="5"/>
        <v>5839.5584000000008</v>
      </c>
      <c r="H39" s="2">
        <f t="shared" si="5"/>
        <v>6073.1407360000012</v>
      </c>
      <c r="I39" s="2">
        <f t="shared" si="5"/>
        <v>6316.0663654400005</v>
      </c>
      <c r="J39" s="401">
        <f t="shared" si="5"/>
        <v>6568.7090200576013</v>
      </c>
      <c r="M39" s="49" t="s">
        <v>293</v>
      </c>
      <c r="N39" s="485">
        <f t="shared" si="6"/>
        <v>5.939886021079499E-2</v>
      </c>
      <c r="O39" s="2">
        <f>-Financials!$F$150</f>
        <v>5399</v>
      </c>
      <c r="P39" s="2">
        <f t="shared" si="19"/>
        <v>5614.96</v>
      </c>
      <c r="Q39" s="2">
        <f t="shared" si="7"/>
        <v>5839.5584000000008</v>
      </c>
      <c r="R39" s="2">
        <f t="shared" si="7"/>
        <v>6073.1407360000012</v>
      </c>
      <c r="S39" s="2">
        <f t="shared" si="7"/>
        <v>6316.0663654400005</v>
      </c>
      <c r="T39" s="401">
        <f t="shared" si="7"/>
        <v>6568.7090200576013</v>
      </c>
    </row>
    <row r="40" spans="3:20">
      <c r="C40" s="49" t="s">
        <v>2143</v>
      </c>
      <c r="D40" s="485">
        <f t="shared" si="4"/>
        <v>0.22974013686271921</v>
      </c>
      <c r="E40" s="2">
        <f>Financials!$F$107</f>
        <v>20882</v>
      </c>
      <c r="F40" s="2">
        <f t="shared" si="18"/>
        <v>21717.280000000002</v>
      </c>
      <c r="G40" s="2">
        <f t="shared" si="5"/>
        <v>22585.971200000004</v>
      </c>
      <c r="H40" s="2">
        <f t="shared" si="5"/>
        <v>23489.410048000005</v>
      </c>
      <c r="I40" s="2">
        <f t="shared" si="5"/>
        <v>24428.986449920005</v>
      </c>
      <c r="J40" s="401">
        <f t="shared" si="5"/>
        <v>25406.145907916805</v>
      </c>
      <c r="M40" s="49" t="s">
        <v>2143</v>
      </c>
      <c r="N40" s="485">
        <f t="shared" si="6"/>
        <v>0.22974013686271921</v>
      </c>
      <c r="O40" s="2">
        <f>Financials!$F$107</f>
        <v>20882</v>
      </c>
      <c r="P40" s="2">
        <f t="shared" si="19"/>
        <v>21717.280000000002</v>
      </c>
      <c r="Q40" s="2">
        <f t="shared" si="7"/>
        <v>22585.971200000004</v>
      </c>
      <c r="R40" s="2">
        <f t="shared" si="7"/>
        <v>23489.410048000005</v>
      </c>
      <c r="S40" s="2">
        <f t="shared" si="7"/>
        <v>24428.986449920005</v>
      </c>
      <c r="T40" s="401">
        <f t="shared" si="7"/>
        <v>25406.145907916805</v>
      </c>
    </row>
    <row r="41" spans="3:20">
      <c r="C41" s="49"/>
      <c r="D41" s="485"/>
      <c r="E41" s="2"/>
      <c r="F41" s="2"/>
      <c r="G41" s="2"/>
      <c r="H41" s="2"/>
      <c r="I41" s="2"/>
      <c r="J41" s="401"/>
      <c r="M41" s="49" t="s">
        <v>2147</v>
      </c>
      <c r="N41" s="485"/>
      <c r="O41" s="2">
        <f>O40-E40</f>
        <v>0</v>
      </c>
      <c r="P41" s="2">
        <f t="shared" ref="P41:T41" si="40">P40-F40</f>
        <v>0</v>
      </c>
      <c r="Q41" s="2">
        <f t="shared" si="40"/>
        <v>0</v>
      </c>
      <c r="R41" s="2">
        <f t="shared" si="40"/>
        <v>0</v>
      </c>
      <c r="S41" s="2">
        <f t="shared" si="40"/>
        <v>0</v>
      </c>
      <c r="T41" s="401">
        <f t="shared" si="40"/>
        <v>0</v>
      </c>
    </row>
    <row r="42" spans="3:20">
      <c r="C42" s="408"/>
      <c r="D42" s="485"/>
      <c r="E42" s="2"/>
      <c r="F42" s="2"/>
      <c r="G42" s="2"/>
      <c r="H42" s="2"/>
      <c r="I42" s="2"/>
      <c r="J42" s="401"/>
      <c r="M42" s="408"/>
      <c r="N42" s="485"/>
      <c r="O42" s="2"/>
      <c r="P42" s="2"/>
      <c r="Q42" s="2"/>
      <c r="R42" s="2"/>
      <c r="S42" s="2"/>
      <c r="T42" s="401"/>
    </row>
    <row r="43" spans="3:20">
      <c r="C43" s="483" t="s">
        <v>2062</v>
      </c>
      <c r="D43" s="485"/>
      <c r="E43" s="2"/>
      <c r="F43" s="2"/>
      <c r="G43" s="2"/>
      <c r="H43" s="2"/>
      <c r="I43" s="2"/>
      <c r="J43" s="401"/>
      <c r="M43" s="483" t="s">
        <v>2062</v>
      </c>
      <c r="N43" s="485"/>
      <c r="O43" s="2"/>
      <c r="P43" s="2"/>
      <c r="Q43" s="2"/>
      <c r="R43" s="2"/>
      <c r="S43" s="2"/>
      <c r="T43" s="401"/>
    </row>
    <row r="44" spans="3:20">
      <c r="C44" s="100" t="s">
        <v>1716</v>
      </c>
      <c r="D44" s="485"/>
      <c r="E44" s="5">
        <v>2024</v>
      </c>
      <c r="F44" s="409">
        <v>2025</v>
      </c>
      <c r="G44" s="409">
        <v>2026</v>
      </c>
      <c r="H44" s="409">
        <v>2027</v>
      </c>
      <c r="I44" s="409">
        <v>2028</v>
      </c>
      <c r="J44" s="490">
        <v>2029</v>
      </c>
      <c r="M44" s="100" t="s">
        <v>1716</v>
      </c>
      <c r="N44" s="485"/>
      <c r="O44" s="5">
        <f>E44</f>
        <v>2024</v>
      </c>
      <c r="P44" s="409">
        <f t="shared" ref="P44:T44" si="41">F44</f>
        <v>2025</v>
      </c>
      <c r="Q44" s="409">
        <f t="shared" si="41"/>
        <v>2026</v>
      </c>
      <c r="R44" s="409">
        <f t="shared" si="41"/>
        <v>2027</v>
      </c>
      <c r="S44" s="409">
        <f t="shared" si="41"/>
        <v>2028</v>
      </c>
      <c r="T44" s="490">
        <f t="shared" si="41"/>
        <v>2029</v>
      </c>
    </row>
    <row r="45" spans="3:20">
      <c r="C45" s="408" t="s">
        <v>2120</v>
      </c>
      <c r="D45" s="485">
        <f t="shared" si="4"/>
        <v>6.9509538583404848E-2</v>
      </c>
      <c r="E45" s="2">
        <f>Financials!$F$55</f>
        <v>6318</v>
      </c>
      <c r="F45" s="2">
        <f t="shared" si="18"/>
        <v>6570.7200000000012</v>
      </c>
      <c r="G45" s="2">
        <f t="shared" si="18"/>
        <v>6833.5488000000014</v>
      </c>
      <c r="H45" s="2">
        <f t="shared" si="18"/>
        <v>7106.8907520000012</v>
      </c>
      <c r="I45" s="2">
        <f t="shared" si="18"/>
        <v>7391.1663820800013</v>
      </c>
      <c r="J45" s="401">
        <f t="shared" si="18"/>
        <v>7686.8130373632011</v>
      </c>
      <c r="M45" s="408" t="s">
        <v>2120</v>
      </c>
      <c r="N45" s="485">
        <f t="shared" si="6"/>
        <v>6.9509538583404848E-2</v>
      </c>
      <c r="O45" s="2">
        <f>Financials!$F$55</f>
        <v>6318</v>
      </c>
      <c r="P45" s="2">
        <f t="shared" si="19"/>
        <v>6570.7200000000012</v>
      </c>
      <c r="Q45" s="2">
        <f t="shared" si="19"/>
        <v>6833.5488000000014</v>
      </c>
      <c r="R45" s="2">
        <f t="shared" si="19"/>
        <v>7106.8907520000012</v>
      </c>
      <c r="S45" s="2">
        <f t="shared" si="19"/>
        <v>7391.1663820800013</v>
      </c>
      <c r="T45" s="401">
        <f t="shared" si="19"/>
        <v>7686.8130373632011</v>
      </c>
    </row>
    <row r="46" spans="3:20">
      <c r="C46" s="400" t="s">
        <v>2121</v>
      </c>
      <c r="D46" s="485">
        <f t="shared" si="4"/>
        <v>0.1244746627940238</v>
      </c>
      <c r="E46" s="2">
        <f>Financials!$F$60</f>
        <v>11314</v>
      </c>
      <c r="F46" s="2">
        <f t="shared" si="18"/>
        <v>11766.560000000001</v>
      </c>
      <c r="G46" s="2">
        <f t="shared" si="18"/>
        <v>12237.222400000002</v>
      </c>
      <c r="H46" s="2">
        <f t="shared" si="18"/>
        <v>12726.711296000001</v>
      </c>
      <c r="I46" s="2">
        <f t="shared" si="18"/>
        <v>13235.779747840003</v>
      </c>
      <c r="J46" s="401">
        <f t="shared" si="18"/>
        <v>13765.210937753602</v>
      </c>
      <c r="M46" s="400" t="s">
        <v>2121</v>
      </c>
      <c r="N46" s="485">
        <f t="shared" si="6"/>
        <v>0.1244746627940238</v>
      </c>
      <c r="O46" s="2">
        <f>Financials!$F$60</f>
        <v>11314</v>
      </c>
      <c r="P46" s="2">
        <f t="shared" si="19"/>
        <v>11766.560000000001</v>
      </c>
      <c r="Q46" s="2">
        <f t="shared" si="19"/>
        <v>12237.222400000002</v>
      </c>
      <c r="R46" s="2">
        <f t="shared" si="19"/>
        <v>12726.711296000001</v>
      </c>
      <c r="S46" s="2">
        <f t="shared" si="19"/>
        <v>13235.779747840003</v>
      </c>
      <c r="T46" s="401">
        <f t="shared" si="19"/>
        <v>13765.210937753602</v>
      </c>
    </row>
    <row r="47" spans="3:20">
      <c r="C47" s="408" t="s">
        <v>2122</v>
      </c>
      <c r="D47" s="485">
        <f t="shared" si="4"/>
        <v>1.4962483772306204E-3</v>
      </c>
      <c r="E47" s="2">
        <f>-Financials!$F$61</f>
        <v>136</v>
      </c>
      <c r="F47" s="2">
        <f t="shared" si="18"/>
        <v>141.44000000000003</v>
      </c>
      <c r="G47" s="2">
        <f t="shared" si="18"/>
        <v>147.09760000000003</v>
      </c>
      <c r="H47" s="2">
        <f t="shared" si="18"/>
        <v>152.98150400000003</v>
      </c>
      <c r="I47" s="2">
        <f t="shared" si="18"/>
        <v>159.10076416000004</v>
      </c>
      <c r="J47" s="401">
        <f t="shared" si="18"/>
        <v>165.46479472640004</v>
      </c>
      <c r="M47" s="408" t="s">
        <v>2122</v>
      </c>
      <c r="N47" s="485">
        <f t="shared" si="6"/>
        <v>1.4962483772306204E-3</v>
      </c>
      <c r="O47" s="2">
        <f>-Financials!$F$61</f>
        <v>136</v>
      </c>
      <c r="P47" s="2">
        <f t="shared" si="19"/>
        <v>141.44000000000003</v>
      </c>
      <c r="Q47" s="2">
        <f t="shared" si="19"/>
        <v>147.09760000000003</v>
      </c>
      <c r="R47" s="2">
        <f t="shared" si="19"/>
        <v>152.98150400000003</v>
      </c>
      <c r="S47" s="2">
        <f t="shared" si="19"/>
        <v>159.10076416000004</v>
      </c>
      <c r="T47" s="401">
        <f t="shared" si="19"/>
        <v>165.46479472640004</v>
      </c>
    </row>
    <row r="48" spans="3:20">
      <c r="C48" s="400" t="s">
        <v>82</v>
      </c>
      <c r="D48" s="485">
        <f t="shared" si="4"/>
        <v>9.0875085264153846E-3</v>
      </c>
      <c r="E48" s="2">
        <f>Financials!$F$63</f>
        <v>826</v>
      </c>
      <c r="F48" s="2">
        <f t="shared" si="18"/>
        <v>859.04000000000008</v>
      </c>
      <c r="G48" s="2">
        <f t="shared" si="18"/>
        <v>893.40160000000014</v>
      </c>
      <c r="H48" s="2">
        <f t="shared" si="18"/>
        <v>929.13766400000009</v>
      </c>
      <c r="I48" s="2">
        <f t="shared" si="18"/>
        <v>966.30317056000013</v>
      </c>
      <c r="J48" s="401">
        <f t="shared" si="18"/>
        <v>1004.9552973824001</v>
      </c>
      <c r="M48" s="400" t="s">
        <v>82</v>
      </c>
      <c r="N48" s="485">
        <f t="shared" si="6"/>
        <v>9.0875085264153846E-3</v>
      </c>
      <c r="O48" s="2">
        <f>Financials!$F$63</f>
        <v>826</v>
      </c>
      <c r="P48" s="2">
        <f t="shared" si="19"/>
        <v>859.04000000000008</v>
      </c>
      <c r="Q48" s="2">
        <f t="shared" si="19"/>
        <v>893.40160000000014</v>
      </c>
      <c r="R48" s="2">
        <f t="shared" si="19"/>
        <v>929.13766400000009</v>
      </c>
      <c r="S48" s="2">
        <f t="shared" si="19"/>
        <v>966.30317056000013</v>
      </c>
      <c r="T48" s="401">
        <f t="shared" si="19"/>
        <v>1004.9552973824001</v>
      </c>
    </row>
    <row r="49" spans="3:20">
      <c r="C49" s="408" t="s">
        <v>2123</v>
      </c>
      <c r="D49" s="485">
        <f t="shared" si="4"/>
        <v>1.0869804387528329E-2</v>
      </c>
      <c r="E49" s="2">
        <f>Financials!$F$65</f>
        <v>988</v>
      </c>
      <c r="F49" s="2">
        <f t="shared" si="18"/>
        <v>1027.52</v>
      </c>
      <c r="G49" s="2">
        <f t="shared" si="18"/>
        <v>1068.6208000000001</v>
      </c>
      <c r="H49" s="2">
        <f t="shared" si="18"/>
        <v>1111.365632</v>
      </c>
      <c r="I49" s="2">
        <f t="shared" si="18"/>
        <v>1155.8202572800001</v>
      </c>
      <c r="J49" s="401">
        <f t="shared" si="18"/>
        <v>1202.0530675712</v>
      </c>
      <c r="K49" s="2"/>
      <c r="M49" s="408" t="s">
        <v>2123</v>
      </c>
      <c r="N49" s="485">
        <f t="shared" si="6"/>
        <v>1.0869804387528329E-2</v>
      </c>
      <c r="O49" s="2">
        <f>Financials!$F$65</f>
        <v>988</v>
      </c>
      <c r="P49" s="2">
        <f t="shared" si="19"/>
        <v>1027.52</v>
      </c>
      <c r="Q49" s="2">
        <f t="shared" si="19"/>
        <v>1068.6208000000001</v>
      </c>
      <c r="R49" s="2">
        <f t="shared" si="19"/>
        <v>1111.365632</v>
      </c>
      <c r="S49" s="2">
        <f t="shared" si="19"/>
        <v>1155.8202572800001</v>
      </c>
      <c r="T49" s="401">
        <f t="shared" si="19"/>
        <v>1202.0530675712</v>
      </c>
    </row>
    <row r="50" spans="3:20">
      <c r="C50" s="100" t="s">
        <v>2124</v>
      </c>
      <c r="D50" s="485">
        <f t="shared" si="4"/>
        <v>0.21244526591414176</v>
      </c>
      <c r="E50" s="79">
        <f>E45+E46-E47+E48+E49</f>
        <v>19310</v>
      </c>
      <c r="F50" s="79">
        <f t="shared" ref="F50:J50" si="42">F45+F46-F47+F48+F49</f>
        <v>20082.400000000005</v>
      </c>
      <c r="G50" s="79">
        <f t="shared" si="42"/>
        <v>20885.696000000004</v>
      </c>
      <c r="H50" s="79">
        <f t="shared" si="42"/>
        <v>21721.123840000004</v>
      </c>
      <c r="I50" s="79">
        <f t="shared" si="42"/>
        <v>22589.968793600005</v>
      </c>
      <c r="J50" s="91">
        <f t="shared" si="42"/>
        <v>23493.567545344005</v>
      </c>
      <c r="M50" s="100" t="s">
        <v>2124</v>
      </c>
      <c r="N50" s="485">
        <f t="shared" si="6"/>
        <v>0.21244526591414176</v>
      </c>
      <c r="O50" s="79">
        <f>O45+O46-O47+O48+O49</f>
        <v>19310</v>
      </c>
      <c r="P50" s="79">
        <f t="shared" ref="P50" si="43">P45+P46-P47+P48+P49</f>
        <v>20082.400000000005</v>
      </c>
      <c r="Q50" s="79">
        <f t="shared" ref="Q50" si="44">Q45+Q46-Q47+Q48+Q49</f>
        <v>20885.696000000004</v>
      </c>
      <c r="R50" s="79">
        <f t="shared" ref="R50" si="45">R45+R46-R47+R48+R49</f>
        <v>21721.123840000004</v>
      </c>
      <c r="S50" s="79">
        <f t="shared" ref="S50" si="46">S45+S46-S47+S48+S49</f>
        <v>22589.968793600005</v>
      </c>
      <c r="T50" s="91">
        <f t="shared" ref="T50" si="47">T45+T46-T47+T48+T49</f>
        <v>23493.567545344005</v>
      </c>
    </row>
    <row r="51" spans="3:20">
      <c r="C51" s="408" t="s">
        <v>2125</v>
      </c>
      <c r="D51" s="485">
        <f t="shared" si="4"/>
        <v>0.85203643804871609</v>
      </c>
      <c r="E51" s="2">
        <f>Financials!$F$69</f>
        <v>77445</v>
      </c>
      <c r="F51" s="2">
        <f t="shared" si="18"/>
        <v>80542.8</v>
      </c>
      <c r="G51" s="2">
        <f t="shared" si="18"/>
        <v>83764.512000000017</v>
      </c>
      <c r="H51" s="2">
        <f t="shared" si="18"/>
        <v>87115.092480000021</v>
      </c>
      <c r="I51" s="2">
        <f t="shared" si="18"/>
        <v>90599.696179200022</v>
      </c>
      <c r="J51" s="401">
        <f t="shared" si="18"/>
        <v>94223.684026368021</v>
      </c>
      <c r="M51" s="408" t="s">
        <v>2125</v>
      </c>
      <c r="N51" s="485">
        <f t="shared" si="6"/>
        <v>0.85203643804871609</v>
      </c>
      <c r="O51" s="2">
        <f>Financials!$F$69</f>
        <v>77445</v>
      </c>
      <c r="P51" s="2">
        <f t="shared" si="19"/>
        <v>80542.8</v>
      </c>
      <c r="Q51" s="2">
        <f t="shared" si="19"/>
        <v>83764.512000000017</v>
      </c>
      <c r="R51" s="2">
        <f t="shared" si="19"/>
        <v>87115.092480000021</v>
      </c>
      <c r="S51" s="2">
        <f t="shared" si="19"/>
        <v>90599.696179200022</v>
      </c>
      <c r="T51" s="401">
        <f t="shared" si="19"/>
        <v>94223.684026368021</v>
      </c>
    </row>
    <row r="52" spans="3:20">
      <c r="C52" s="408" t="s">
        <v>2126</v>
      </c>
      <c r="D52" s="485">
        <f t="shared" si="4"/>
        <v>0.39735296059145819</v>
      </c>
      <c r="E52" s="2">
        <f>Financials!$F$77</f>
        <v>36117</v>
      </c>
      <c r="F52" s="2">
        <f t="shared" si="18"/>
        <v>37561.680000000008</v>
      </c>
      <c r="G52" s="2">
        <f t="shared" si="18"/>
        <v>39064.147200000007</v>
      </c>
      <c r="H52" s="2">
        <f t="shared" si="18"/>
        <v>40626.713088000004</v>
      </c>
      <c r="I52" s="2">
        <f t="shared" si="18"/>
        <v>42251.781611520011</v>
      </c>
      <c r="J52" s="401">
        <f t="shared" si="18"/>
        <v>43941.85287598081</v>
      </c>
      <c r="M52" s="408" t="s">
        <v>2126</v>
      </c>
      <c r="N52" s="485">
        <f t="shared" si="6"/>
        <v>0.39735296059145819</v>
      </c>
      <c r="O52" s="2">
        <f>Financials!$F$77</f>
        <v>36117</v>
      </c>
      <c r="P52" s="2">
        <f t="shared" si="19"/>
        <v>37561.680000000008</v>
      </c>
      <c r="Q52" s="2">
        <f t="shared" si="19"/>
        <v>39064.147200000007</v>
      </c>
      <c r="R52" s="2">
        <f t="shared" si="19"/>
        <v>40626.713088000004</v>
      </c>
      <c r="S52" s="2">
        <f t="shared" si="19"/>
        <v>42251.781611520011</v>
      </c>
      <c r="T52" s="401">
        <f t="shared" si="19"/>
        <v>43941.85287598081</v>
      </c>
    </row>
    <row r="53" spans="3:20">
      <c r="C53" s="49" t="s">
        <v>2127</v>
      </c>
      <c r="D53" s="485">
        <f t="shared" si="4"/>
        <v>0.4546834774572579</v>
      </c>
      <c r="E53" s="79">
        <f>E51-E52</f>
        <v>41328</v>
      </c>
      <c r="F53" s="79">
        <f t="shared" ref="F53:J53" si="48">F51-F52</f>
        <v>42981.119999999995</v>
      </c>
      <c r="G53" s="79">
        <f t="shared" si="48"/>
        <v>44700.36480000001</v>
      </c>
      <c r="H53" s="79">
        <f t="shared" si="48"/>
        <v>46488.379392000017</v>
      </c>
      <c r="I53" s="79">
        <f t="shared" si="48"/>
        <v>48347.914567680011</v>
      </c>
      <c r="J53" s="91">
        <f t="shared" si="48"/>
        <v>50281.83115038721</v>
      </c>
      <c r="M53" s="49" t="s">
        <v>2127</v>
      </c>
      <c r="N53" s="485">
        <f t="shared" si="6"/>
        <v>0.4546834774572579</v>
      </c>
      <c r="O53" s="79">
        <f>O51-O52</f>
        <v>41328</v>
      </c>
      <c r="P53" s="79">
        <f t="shared" ref="P53" si="49">P51-P52</f>
        <v>42981.119999999995</v>
      </c>
      <c r="Q53" s="79">
        <f t="shared" ref="Q53" si="50">Q51-Q52</f>
        <v>44700.36480000001</v>
      </c>
      <c r="R53" s="79">
        <f t="shared" ref="R53" si="51">R51-R52</f>
        <v>46488.379392000017</v>
      </c>
      <c r="S53" s="79">
        <f t="shared" ref="S53" si="52">S51-S52</f>
        <v>48347.914567680011</v>
      </c>
      <c r="T53" s="91">
        <f t="shared" ref="T53" si="53">T51-T52</f>
        <v>50281.83115038721</v>
      </c>
    </row>
    <row r="54" spans="3:20">
      <c r="C54" s="408" t="s">
        <v>2128</v>
      </c>
      <c r="D54" s="485">
        <f t="shared" si="4"/>
        <v>8.1017448896516825E-2</v>
      </c>
      <c r="E54" s="2">
        <f>Financials!$F$81</f>
        <v>7364</v>
      </c>
      <c r="F54" s="2">
        <f t="shared" si="18"/>
        <v>7658.5600000000013</v>
      </c>
      <c r="G54" s="2">
        <f t="shared" si="18"/>
        <v>7964.9024000000018</v>
      </c>
      <c r="H54" s="2">
        <f t="shared" si="18"/>
        <v>8283.498496000002</v>
      </c>
      <c r="I54" s="2">
        <f t="shared" si="18"/>
        <v>8614.8384358400017</v>
      </c>
      <c r="J54" s="401">
        <f t="shared" si="18"/>
        <v>8959.4319732736021</v>
      </c>
      <c r="M54" s="408" t="s">
        <v>2128</v>
      </c>
      <c r="N54" s="485">
        <f t="shared" si="6"/>
        <v>8.1017448896516825E-2</v>
      </c>
      <c r="O54" s="2">
        <f>Financials!$F$81</f>
        <v>7364</v>
      </c>
      <c r="P54" s="2">
        <f t="shared" si="19"/>
        <v>7658.5600000000013</v>
      </c>
      <c r="Q54" s="2">
        <f t="shared" si="19"/>
        <v>7964.9024000000018</v>
      </c>
      <c r="R54" s="2">
        <f t="shared" si="19"/>
        <v>8283.498496000002</v>
      </c>
      <c r="S54" s="2">
        <f t="shared" si="19"/>
        <v>8614.8384358400017</v>
      </c>
      <c r="T54" s="401">
        <f t="shared" si="19"/>
        <v>8959.4319732736021</v>
      </c>
    </row>
    <row r="55" spans="3:20">
      <c r="C55" s="408" t="s">
        <v>2129</v>
      </c>
      <c r="D55" s="485">
        <f t="shared" si="4"/>
        <v>1.6029660923713336E-2</v>
      </c>
      <c r="E55" s="2">
        <f>Financials!$F$85</f>
        <v>1457</v>
      </c>
      <c r="F55" s="2">
        <f t="shared" si="18"/>
        <v>1515.2800000000002</v>
      </c>
      <c r="G55" s="2">
        <f t="shared" si="18"/>
        <v>1575.8912000000003</v>
      </c>
      <c r="H55" s="2">
        <f t="shared" si="18"/>
        <v>1638.9268480000003</v>
      </c>
      <c r="I55" s="2">
        <f t="shared" si="18"/>
        <v>1704.4839219200003</v>
      </c>
      <c r="J55" s="401">
        <f t="shared" si="18"/>
        <v>1772.6632787968003</v>
      </c>
      <c r="M55" s="408" t="s">
        <v>2129</v>
      </c>
      <c r="N55" s="485">
        <f t="shared" si="6"/>
        <v>1.6029660923713336E-2</v>
      </c>
      <c r="O55" s="2">
        <f>Financials!$F$85</f>
        <v>1457</v>
      </c>
      <c r="P55" s="2">
        <f t="shared" si="19"/>
        <v>1515.2800000000002</v>
      </c>
      <c r="Q55" s="2">
        <f t="shared" si="19"/>
        <v>1575.8912000000003</v>
      </c>
      <c r="R55" s="2">
        <f t="shared" si="19"/>
        <v>1638.9268480000003</v>
      </c>
      <c r="S55" s="2">
        <f t="shared" si="19"/>
        <v>1704.4839219200003</v>
      </c>
      <c r="T55" s="401">
        <f t="shared" si="19"/>
        <v>1772.6632787968003</v>
      </c>
    </row>
    <row r="56" spans="3:20">
      <c r="C56" s="400" t="s">
        <v>2131</v>
      </c>
      <c r="D56" s="485">
        <f t="shared" si="4"/>
        <v>5.4899113252799966E-3</v>
      </c>
      <c r="E56" s="2">
        <f>Financials!$F$78</f>
        <v>499</v>
      </c>
      <c r="F56" s="2">
        <f t="shared" si="18"/>
        <v>518.96</v>
      </c>
      <c r="G56" s="2">
        <f t="shared" si="18"/>
        <v>539.71840000000009</v>
      </c>
      <c r="H56" s="2">
        <f t="shared" si="18"/>
        <v>561.30713600000013</v>
      </c>
      <c r="I56" s="2">
        <f t="shared" si="18"/>
        <v>583.7594214400001</v>
      </c>
      <c r="J56" s="401">
        <f t="shared" si="18"/>
        <v>607.10979829760015</v>
      </c>
      <c r="M56" s="400" t="s">
        <v>2131</v>
      </c>
      <c r="N56" s="485">
        <f t="shared" si="6"/>
        <v>5.4899113252799966E-3</v>
      </c>
      <c r="O56" s="2">
        <f>Financials!$F$78</f>
        <v>499</v>
      </c>
      <c r="P56" s="2">
        <f t="shared" si="19"/>
        <v>518.96</v>
      </c>
      <c r="Q56" s="2">
        <f t="shared" si="19"/>
        <v>539.71840000000009</v>
      </c>
      <c r="R56" s="2">
        <f t="shared" si="19"/>
        <v>561.30713600000013</v>
      </c>
      <c r="S56" s="2">
        <f t="shared" si="19"/>
        <v>583.7594214400001</v>
      </c>
      <c r="T56" s="401">
        <f t="shared" si="19"/>
        <v>607.10979829760015</v>
      </c>
    </row>
    <row r="57" spans="3:20">
      <c r="C57" s="408" t="s">
        <v>2132</v>
      </c>
      <c r="D57" s="485">
        <f t="shared" si="4"/>
        <v>1.2322045459546285E-3</v>
      </c>
      <c r="E57" s="2">
        <f>Financials!$F$84</f>
        <v>112</v>
      </c>
      <c r="F57" s="2">
        <f t="shared" si="18"/>
        <v>116.48000000000002</v>
      </c>
      <c r="G57" s="2">
        <f t="shared" si="18"/>
        <v>121.13920000000002</v>
      </c>
      <c r="H57" s="2">
        <f t="shared" si="18"/>
        <v>125.98476800000002</v>
      </c>
      <c r="I57" s="2">
        <f t="shared" si="18"/>
        <v>131.02415872000003</v>
      </c>
      <c r="J57" s="401">
        <f t="shared" si="18"/>
        <v>136.26512506880002</v>
      </c>
      <c r="M57" s="408" t="s">
        <v>2132</v>
      </c>
      <c r="N57" s="485">
        <f t="shared" si="6"/>
        <v>1.2322045459546285E-3</v>
      </c>
      <c r="O57" s="2">
        <f>Financials!$F$84</f>
        <v>112</v>
      </c>
      <c r="P57" s="2">
        <f t="shared" si="19"/>
        <v>116.48000000000002</v>
      </c>
      <c r="Q57" s="2">
        <f t="shared" si="19"/>
        <v>121.13920000000002</v>
      </c>
      <c r="R57" s="2">
        <f t="shared" si="19"/>
        <v>125.98476800000002</v>
      </c>
      <c r="S57" s="2">
        <f t="shared" si="19"/>
        <v>131.02415872000003</v>
      </c>
      <c r="T57" s="401">
        <f t="shared" si="19"/>
        <v>136.26512506880002</v>
      </c>
    </row>
    <row r="58" spans="3:20">
      <c r="C58" s="49" t="s">
        <v>2130</v>
      </c>
      <c r="D58" s="485">
        <f t="shared" si="4"/>
        <v>0.77089796906286445</v>
      </c>
      <c r="E58" s="79">
        <f>SUM(E50,E53:E57)</f>
        <v>70070</v>
      </c>
      <c r="F58" s="79">
        <f t="shared" ref="F58:J58" si="54">SUM(F50,F53:F57)</f>
        <v>72872.800000000003</v>
      </c>
      <c r="G58" s="79">
        <f t="shared" si="54"/>
        <v>75787.712000000014</v>
      </c>
      <c r="H58" s="79">
        <f t="shared" si="54"/>
        <v>78819.220480000018</v>
      </c>
      <c r="I58" s="79">
        <f t="shared" si="54"/>
        <v>81971.989299200039</v>
      </c>
      <c r="J58" s="91">
        <f t="shared" si="54"/>
        <v>85250.86887116803</v>
      </c>
      <c r="M58" s="49" t="s">
        <v>2130</v>
      </c>
      <c r="N58" s="485">
        <f t="shared" si="6"/>
        <v>0.77089796906286445</v>
      </c>
      <c r="O58" s="79">
        <f>SUM(O50,O53:O57)</f>
        <v>70070</v>
      </c>
      <c r="P58" s="79">
        <f t="shared" ref="P58" si="55">SUM(P50,P53:P57)</f>
        <v>72872.800000000003</v>
      </c>
      <c r="Q58" s="79">
        <f t="shared" ref="Q58" si="56">SUM(Q50,Q53:Q57)</f>
        <v>75787.712000000014</v>
      </c>
      <c r="R58" s="79">
        <f t="shared" ref="R58" si="57">SUM(R50,R53:R57)</f>
        <v>78819.220480000018</v>
      </c>
      <c r="S58" s="79">
        <f t="shared" ref="S58" si="58">SUM(S50,S53:S57)</f>
        <v>81971.989299200039</v>
      </c>
      <c r="T58" s="91">
        <f t="shared" ref="T58" si="59">SUM(T50,T53:T57)</f>
        <v>85250.86887116803</v>
      </c>
    </row>
    <row r="59" spans="3:20">
      <c r="C59" s="408" t="s">
        <v>2133</v>
      </c>
      <c r="D59" s="485">
        <f t="shared" si="4"/>
        <v>6.9333509362554183E-2</v>
      </c>
      <c r="E59" s="2">
        <f>Financials!$F$90</f>
        <v>6302</v>
      </c>
      <c r="F59" s="2">
        <f t="shared" si="18"/>
        <v>6554.0800000000008</v>
      </c>
      <c r="G59" s="2">
        <f t="shared" si="18"/>
        <v>6816.2432000000008</v>
      </c>
      <c r="H59" s="2">
        <f t="shared" si="18"/>
        <v>7088.8929280000011</v>
      </c>
      <c r="I59" s="2">
        <f t="shared" si="18"/>
        <v>7372.4486451200009</v>
      </c>
      <c r="J59" s="401">
        <f t="shared" si="18"/>
        <v>7667.3465909248007</v>
      </c>
      <c r="M59" s="408" t="s">
        <v>2133</v>
      </c>
      <c r="N59" s="485">
        <f t="shared" si="6"/>
        <v>6.9333509362554183E-2</v>
      </c>
      <c r="O59" s="2">
        <f>Financials!$F$90</f>
        <v>6302</v>
      </c>
      <c r="P59" s="2">
        <f t="shared" si="19"/>
        <v>6554.0800000000008</v>
      </c>
      <c r="Q59" s="2">
        <f t="shared" si="19"/>
        <v>6816.2432000000008</v>
      </c>
      <c r="R59" s="2">
        <f t="shared" si="19"/>
        <v>7088.8929280000011</v>
      </c>
      <c r="S59" s="2">
        <f t="shared" si="19"/>
        <v>7372.4486451200009</v>
      </c>
      <c r="T59" s="401">
        <f t="shared" si="19"/>
        <v>7667.3465909248007</v>
      </c>
    </row>
    <row r="60" spans="3:20">
      <c r="C60" s="488" t="s">
        <v>2134</v>
      </c>
      <c r="D60" s="485">
        <f t="shared" si="4"/>
        <v>2.8285695425440623E-2</v>
      </c>
      <c r="E60" s="2">
        <f>Financials!$F$89</f>
        <v>2571</v>
      </c>
      <c r="F60" s="2">
        <f>$E$60</f>
        <v>2571</v>
      </c>
      <c r="G60" s="2">
        <f t="shared" ref="G60:J60" si="60">$E$60</f>
        <v>2571</v>
      </c>
      <c r="H60" s="2">
        <f t="shared" si="60"/>
        <v>2571</v>
      </c>
      <c r="I60" s="2">
        <f t="shared" si="60"/>
        <v>2571</v>
      </c>
      <c r="J60" s="401">
        <f t="shared" si="60"/>
        <v>2571</v>
      </c>
      <c r="M60" s="488" t="s">
        <v>2134</v>
      </c>
      <c r="N60" s="485">
        <f t="shared" si="6"/>
        <v>2.8285695425440623E-2</v>
      </c>
      <c r="O60" s="2">
        <f>Financials!$F$89</f>
        <v>2571</v>
      </c>
      <c r="P60" s="2">
        <f>$E$60</f>
        <v>2571</v>
      </c>
      <c r="Q60" s="2">
        <f t="shared" ref="Q60:T60" si="61">$E$60</f>
        <v>2571</v>
      </c>
      <c r="R60" s="2">
        <f t="shared" si="61"/>
        <v>2571</v>
      </c>
      <c r="S60" s="2">
        <f t="shared" si="61"/>
        <v>2571</v>
      </c>
      <c r="T60" s="401">
        <f t="shared" si="61"/>
        <v>2571</v>
      </c>
    </row>
    <row r="61" spans="3:20">
      <c r="C61" s="488" t="s">
        <v>2135</v>
      </c>
      <c r="D61" s="485">
        <f t="shared" si="4"/>
        <v>8.3261821462362759E-2</v>
      </c>
      <c r="E61" s="2">
        <f>Financials!$F$91</f>
        <v>7568</v>
      </c>
      <c r="F61" s="2">
        <f>$E$61</f>
        <v>7568</v>
      </c>
      <c r="G61" s="2">
        <f t="shared" ref="G61:J61" si="62">$E$61</f>
        <v>7568</v>
      </c>
      <c r="H61" s="2">
        <f t="shared" si="62"/>
        <v>7568</v>
      </c>
      <c r="I61" s="2">
        <f t="shared" si="62"/>
        <v>7568</v>
      </c>
      <c r="J61" s="401">
        <f t="shared" si="62"/>
        <v>7568</v>
      </c>
      <c r="M61" s="488" t="s">
        <v>2135</v>
      </c>
      <c r="N61" s="485">
        <f t="shared" si="6"/>
        <v>8.3261821462362759E-2</v>
      </c>
      <c r="O61" s="2">
        <f>Financials!$F$91</f>
        <v>7568</v>
      </c>
      <c r="P61" s="2">
        <f>$E$61</f>
        <v>7568</v>
      </c>
      <c r="Q61" s="2">
        <f t="shared" ref="Q61:T61" si="63">$E$61</f>
        <v>7568</v>
      </c>
      <c r="R61" s="2">
        <f t="shared" si="63"/>
        <v>7568</v>
      </c>
      <c r="S61" s="2">
        <f t="shared" si="63"/>
        <v>7568</v>
      </c>
      <c r="T61" s="401">
        <f t="shared" si="63"/>
        <v>7568</v>
      </c>
    </row>
    <row r="62" spans="3:20">
      <c r="C62" s="100" t="s">
        <v>113</v>
      </c>
      <c r="D62" s="485">
        <f t="shared" si="4"/>
        <v>0.18088102625035757</v>
      </c>
      <c r="E62" s="79">
        <f>SUM(E59:E61)</f>
        <v>16441</v>
      </c>
      <c r="F62" s="79">
        <f t="shared" ref="F62:J62" si="64">SUM(F59:F61)</f>
        <v>16693.080000000002</v>
      </c>
      <c r="G62" s="79">
        <f t="shared" si="64"/>
        <v>16955.243200000001</v>
      </c>
      <c r="H62" s="79">
        <f t="shared" si="64"/>
        <v>17227.892928000001</v>
      </c>
      <c r="I62" s="79">
        <f t="shared" si="64"/>
        <v>17511.448645119999</v>
      </c>
      <c r="J62" s="91">
        <f t="shared" si="64"/>
        <v>17806.346590924801</v>
      </c>
      <c r="M62" s="100" t="s">
        <v>113</v>
      </c>
      <c r="N62" s="485">
        <f t="shared" si="6"/>
        <v>0.18088102625035757</v>
      </c>
      <c r="O62" s="79">
        <f>SUM(O59:O61)</f>
        <v>16441</v>
      </c>
      <c r="P62" s="79">
        <f t="shared" ref="P62" si="65">SUM(P59:P61)</f>
        <v>16693.080000000002</v>
      </c>
      <c r="Q62" s="79">
        <f t="shared" ref="Q62" si="66">SUM(Q59:Q61)</f>
        <v>16955.243200000001</v>
      </c>
      <c r="R62" s="79">
        <f t="shared" ref="R62" si="67">SUM(R59:R61)</f>
        <v>17227.892928000001</v>
      </c>
      <c r="S62" s="79">
        <f t="shared" ref="S62" si="68">SUM(S59:S61)</f>
        <v>17511.448645119999</v>
      </c>
      <c r="T62" s="91">
        <f t="shared" ref="T62" si="69">SUM(T59:T61)</f>
        <v>17806.346590924801</v>
      </c>
    </row>
    <row r="63" spans="3:20">
      <c r="C63" s="488" t="s">
        <v>2136</v>
      </c>
      <c r="D63" s="485">
        <f t="shared" si="4"/>
        <v>0.25393315290338198</v>
      </c>
      <c r="E63" s="2">
        <f>Financials!$F$95</f>
        <v>23081</v>
      </c>
      <c r="F63" s="2">
        <f>$E$63</f>
        <v>23081</v>
      </c>
      <c r="G63" s="2">
        <f t="shared" ref="G63:J64" si="70">$E$63</f>
        <v>23081</v>
      </c>
      <c r="H63" s="2">
        <f t="shared" si="70"/>
        <v>23081</v>
      </c>
      <c r="I63" s="2">
        <f t="shared" si="70"/>
        <v>23081</v>
      </c>
      <c r="J63" s="401">
        <f t="shared" si="70"/>
        <v>23081</v>
      </c>
      <c r="M63" s="488" t="s">
        <v>2136</v>
      </c>
      <c r="N63" s="485">
        <f t="shared" si="6"/>
        <v>0.25393315290338198</v>
      </c>
      <c r="O63" s="2">
        <f>Financials!$F$95</f>
        <v>23081</v>
      </c>
      <c r="P63" s="2">
        <f>F63+F70</f>
        <v>9544</v>
      </c>
      <c r="Q63" s="2">
        <f t="shared" ref="Q63:T63" si="71">G63+G70</f>
        <v>11206.888000000021</v>
      </c>
      <c r="R63" s="2">
        <f t="shared" si="71"/>
        <v>13085.843520000024</v>
      </c>
      <c r="S63" s="2">
        <f t="shared" si="71"/>
        <v>15039.957260800031</v>
      </c>
      <c r="T63" s="401">
        <f t="shared" si="71"/>
        <v>17072.235551232021</v>
      </c>
    </row>
    <row r="64" spans="3:20">
      <c r="C64" s="408" t="s">
        <v>2138</v>
      </c>
      <c r="D64" s="485">
        <f t="shared" si="4"/>
        <v>8.4306994961163548E-2</v>
      </c>
      <c r="E64" s="2">
        <f>Financials!$F$98</f>
        <v>7663</v>
      </c>
      <c r="F64" s="2">
        <f>$E$63</f>
        <v>23081</v>
      </c>
      <c r="G64" s="2">
        <f t="shared" si="70"/>
        <v>23081</v>
      </c>
      <c r="H64" s="2">
        <f t="shared" si="70"/>
        <v>23081</v>
      </c>
      <c r="I64" s="2">
        <f t="shared" si="70"/>
        <v>23081</v>
      </c>
      <c r="J64" s="401">
        <f t="shared" si="70"/>
        <v>23081</v>
      </c>
      <c r="M64" s="408" t="s">
        <v>2138</v>
      </c>
      <c r="N64" s="485">
        <f t="shared" si="6"/>
        <v>8.4306994961163548E-2</v>
      </c>
      <c r="O64" s="2">
        <f>Financials!$F$98</f>
        <v>7663</v>
      </c>
      <c r="P64" s="2">
        <f>$E$63</f>
        <v>23081</v>
      </c>
      <c r="Q64" s="2">
        <f t="shared" ref="Q64:T64" si="72">$E$63</f>
        <v>23081</v>
      </c>
      <c r="R64" s="2">
        <f t="shared" si="72"/>
        <v>23081</v>
      </c>
      <c r="S64" s="2">
        <f t="shared" si="72"/>
        <v>23081</v>
      </c>
      <c r="T64" s="401">
        <f t="shared" si="72"/>
        <v>23081</v>
      </c>
    </row>
    <row r="65" spans="2:20">
      <c r="C65" s="408" t="s">
        <v>2139</v>
      </c>
      <c r="D65" s="485">
        <f t="shared" si="4"/>
        <v>3.9551565559882942E-2</v>
      </c>
      <c r="E65" s="2">
        <f>Financials!$F$99</f>
        <v>3595</v>
      </c>
      <c r="F65" s="2">
        <f>$E$65</f>
        <v>3595</v>
      </c>
      <c r="G65" s="2">
        <f t="shared" si="18"/>
        <v>3888.3520000000008</v>
      </c>
      <c r="H65" s="2">
        <f t="shared" si="18"/>
        <v>4043.8860800000007</v>
      </c>
      <c r="I65" s="2">
        <f t="shared" si="18"/>
        <v>4205.6415232000008</v>
      </c>
      <c r="J65" s="401">
        <f t="shared" si="18"/>
        <v>4373.8671841280011</v>
      </c>
      <c r="M65" s="408" t="s">
        <v>2139</v>
      </c>
      <c r="N65" s="485">
        <f t="shared" si="6"/>
        <v>3.9551565559882942E-2</v>
      </c>
      <c r="O65" s="2">
        <f>Financials!$F$99</f>
        <v>3595</v>
      </c>
      <c r="P65" s="2">
        <f>O65</f>
        <v>3595</v>
      </c>
      <c r="Q65" s="2">
        <f t="shared" si="19"/>
        <v>3888.3520000000008</v>
      </c>
      <c r="R65" s="2">
        <f t="shared" si="19"/>
        <v>4043.8860800000007</v>
      </c>
      <c r="S65" s="2">
        <f t="shared" si="19"/>
        <v>4205.6415232000008</v>
      </c>
      <c r="T65" s="401">
        <f t="shared" si="19"/>
        <v>4373.8671841280011</v>
      </c>
    </row>
    <row r="66" spans="2:20">
      <c r="C66" s="488" t="s">
        <v>119</v>
      </c>
      <c r="D66" s="485">
        <f t="shared" si="4"/>
        <v>2.8021651594164632E-2</v>
      </c>
      <c r="E66" s="2">
        <f>Financials!$F$100</f>
        <v>2547</v>
      </c>
      <c r="F66" s="2">
        <f>$E$66</f>
        <v>2547</v>
      </c>
      <c r="G66" s="2">
        <f t="shared" ref="G66:J66" si="73">$E$66</f>
        <v>2547</v>
      </c>
      <c r="H66" s="2">
        <f t="shared" si="73"/>
        <v>2547</v>
      </c>
      <c r="I66" s="2">
        <f t="shared" si="73"/>
        <v>2547</v>
      </c>
      <c r="J66" s="401">
        <f t="shared" si="73"/>
        <v>2547</v>
      </c>
      <c r="M66" s="488" t="s">
        <v>119</v>
      </c>
      <c r="N66" s="485">
        <f t="shared" si="6"/>
        <v>2.8021651594164632E-2</v>
      </c>
      <c r="O66" s="2">
        <f>Financials!$F$100</f>
        <v>2547</v>
      </c>
      <c r="P66" s="2">
        <f>$E$66</f>
        <v>2547</v>
      </c>
      <c r="Q66" s="2">
        <f t="shared" ref="Q66:T66" si="74">$E$66</f>
        <v>2547</v>
      </c>
      <c r="R66" s="2">
        <f t="shared" si="74"/>
        <v>2547</v>
      </c>
      <c r="S66" s="2">
        <f t="shared" si="74"/>
        <v>2547</v>
      </c>
      <c r="T66" s="401">
        <f t="shared" si="74"/>
        <v>2547</v>
      </c>
    </row>
    <row r="67" spans="2:20">
      <c r="C67" s="100" t="s">
        <v>2137</v>
      </c>
      <c r="D67" s="485">
        <f t="shared" si="4"/>
        <v>0.58669439126895062</v>
      </c>
      <c r="E67" s="79">
        <f>SUM(E62:E66)</f>
        <v>53327</v>
      </c>
      <c r="F67" s="79">
        <f t="shared" ref="F67:J67" si="75">SUM(F62:F66)</f>
        <v>68997.08</v>
      </c>
      <c r="G67" s="79">
        <f t="shared" si="75"/>
        <v>69552.595199999996</v>
      </c>
      <c r="H67" s="79">
        <f t="shared" si="75"/>
        <v>69980.779007999998</v>
      </c>
      <c r="I67" s="79">
        <f t="shared" si="75"/>
        <v>70426.090168320006</v>
      </c>
      <c r="J67" s="91">
        <f t="shared" si="75"/>
        <v>70889.213775052805</v>
      </c>
      <c r="M67" s="100" t="s">
        <v>2137</v>
      </c>
      <c r="N67" s="485">
        <f t="shared" si="6"/>
        <v>0.58669439126895062</v>
      </c>
      <c r="O67" s="79">
        <f>SUM(O62:O66)</f>
        <v>53327</v>
      </c>
      <c r="P67" s="79">
        <f t="shared" ref="P67" si="76">SUM(P62:P66)</f>
        <v>55460.08</v>
      </c>
      <c r="Q67" s="79">
        <f t="shared" ref="Q67" si="77">SUM(Q62:Q66)</f>
        <v>57678.483200000017</v>
      </c>
      <c r="R67" s="79">
        <f t="shared" ref="R67" si="78">SUM(R62:R66)</f>
        <v>59985.622528000029</v>
      </c>
      <c r="S67" s="79">
        <f t="shared" ref="S67" si="79">SUM(S62:S66)</f>
        <v>62385.04742912003</v>
      </c>
      <c r="T67" s="91">
        <f t="shared" ref="T67" si="80">SUM(T62:T66)</f>
        <v>64880.449326284826</v>
      </c>
    </row>
    <row r="68" spans="2:20">
      <c r="C68" s="49" t="s">
        <v>2140</v>
      </c>
      <c r="D68" s="485">
        <f t="shared" si="4"/>
        <v>0.1842035777939138</v>
      </c>
      <c r="E68" s="79">
        <f>Financials!$F$105+Financials!$F$106+Financials!$F$107+Financials!$F$108+Financials!$F$109+Financials!$F$110+Financials!$F$111+Financials!$F$113</f>
        <v>16743</v>
      </c>
      <c r="F68" s="2">
        <f t="shared" si="18"/>
        <v>17412.72</v>
      </c>
      <c r="G68" s="2">
        <f t="shared" si="18"/>
        <v>18109.228800000004</v>
      </c>
      <c r="H68" s="2">
        <f t="shared" si="18"/>
        <v>18833.597952000004</v>
      </c>
      <c r="I68" s="2">
        <f t="shared" si="18"/>
        <v>19586.941870080005</v>
      </c>
      <c r="J68" s="401">
        <f t="shared" si="18"/>
        <v>20370.419544883203</v>
      </c>
      <c r="M68" s="49" t="s">
        <v>2140</v>
      </c>
      <c r="N68" s="485">
        <f t="shared" si="6"/>
        <v>0.1842035777939138</v>
      </c>
      <c r="O68" s="79">
        <f>Financials!$F$105+Financials!$F$106+Financials!$F$107+Financials!$F$108+Financials!$F$109+Financials!$F$110+Financials!$F$111+Financials!$F$113</f>
        <v>16743</v>
      </c>
      <c r="P68" s="79">
        <f>F68+P41</f>
        <v>17412.72</v>
      </c>
      <c r="Q68" s="79">
        <f t="shared" ref="Q68:T68" si="81">G68+Q41</f>
        <v>18109.228800000004</v>
      </c>
      <c r="R68" s="79">
        <f t="shared" si="81"/>
        <v>18833.597952000004</v>
      </c>
      <c r="S68" s="79">
        <f t="shared" si="81"/>
        <v>19586.941870080005</v>
      </c>
      <c r="T68" s="91">
        <f t="shared" si="81"/>
        <v>20370.419544883203</v>
      </c>
    </row>
    <row r="69" spans="2:20">
      <c r="C69" s="49" t="s">
        <v>2141</v>
      </c>
      <c r="D69" s="485">
        <f t="shared" si="4"/>
        <v>0.77089796906286445</v>
      </c>
      <c r="E69" s="79">
        <f>E67+E68</f>
        <v>70070</v>
      </c>
      <c r="F69" s="79">
        <f t="shared" ref="F69:J69" si="82">F67+F68</f>
        <v>86409.8</v>
      </c>
      <c r="G69" s="79">
        <f t="shared" si="82"/>
        <v>87661.823999999993</v>
      </c>
      <c r="H69" s="79">
        <f t="shared" si="82"/>
        <v>88814.376959999994</v>
      </c>
      <c r="I69" s="79">
        <f t="shared" si="82"/>
        <v>90013.032038400008</v>
      </c>
      <c r="J69" s="91">
        <f t="shared" si="82"/>
        <v>91259.633319936009</v>
      </c>
      <c r="M69" s="49" t="s">
        <v>2141</v>
      </c>
      <c r="N69" s="485">
        <f t="shared" si="6"/>
        <v>0.77089796906286445</v>
      </c>
      <c r="O69" s="79">
        <f>O67+O68</f>
        <v>70070</v>
      </c>
      <c r="P69" s="79">
        <f t="shared" ref="P69" si="83">P67+P68</f>
        <v>72872.800000000003</v>
      </c>
      <c r="Q69" s="79">
        <f t="shared" ref="Q69" si="84">Q67+Q68</f>
        <v>75787.712000000029</v>
      </c>
      <c r="R69" s="79">
        <f t="shared" ref="R69" si="85">R67+R68</f>
        <v>78819.220480000033</v>
      </c>
      <c r="S69" s="79">
        <f t="shared" ref="S69" si="86">S67+S68</f>
        <v>81971.989299200039</v>
      </c>
      <c r="T69" s="91">
        <f t="shared" ref="T69" si="87">T67+T68</f>
        <v>85250.86887116803</v>
      </c>
    </row>
    <row r="70" spans="2:20">
      <c r="C70" s="49" t="s">
        <v>2142</v>
      </c>
      <c r="D70" s="485"/>
      <c r="E70" s="2">
        <f>E58-E69</f>
        <v>0</v>
      </c>
      <c r="F70" s="2">
        <f t="shared" ref="F70:J70" si="88">F58-F69</f>
        <v>-13537</v>
      </c>
      <c r="G70" s="2">
        <f t="shared" si="88"/>
        <v>-11874.111999999979</v>
      </c>
      <c r="H70" s="2">
        <f t="shared" si="88"/>
        <v>-9995.156479999976</v>
      </c>
      <c r="I70" s="2">
        <f t="shared" si="88"/>
        <v>-8041.0427391999692</v>
      </c>
      <c r="J70" s="401">
        <f t="shared" si="88"/>
        <v>-6008.764448767979</v>
      </c>
      <c r="M70" s="49" t="s">
        <v>2142</v>
      </c>
      <c r="N70" s="485"/>
      <c r="O70" s="2">
        <f>O58-O69</f>
        <v>0</v>
      </c>
      <c r="P70" s="2">
        <f t="shared" ref="P70" si="89">P58-P69</f>
        <v>0</v>
      </c>
      <c r="Q70" s="2">
        <f t="shared" ref="Q70" si="90">Q58-Q69</f>
        <v>0</v>
      </c>
      <c r="R70" s="2">
        <f t="shared" ref="R70" si="91">R58-R69</f>
        <v>0</v>
      </c>
      <c r="S70" s="2">
        <f t="shared" ref="S70" si="92">S58-S69</f>
        <v>0</v>
      </c>
      <c r="T70" s="401">
        <f t="shared" ref="T70" si="93">T58-T69</f>
        <v>0</v>
      </c>
    </row>
    <row r="71" spans="2:20">
      <c r="C71" s="408"/>
      <c r="D71" s="2"/>
      <c r="J71" s="255"/>
      <c r="M71" s="408"/>
      <c r="N71" s="2"/>
      <c r="T71" s="255"/>
    </row>
    <row r="72" spans="2:20">
      <c r="C72" s="257" t="s">
        <v>2145</v>
      </c>
      <c r="D72" s="489"/>
      <c r="E72" s="491" t="str">
        <f>IF(E70=0,"Yes","No")</f>
        <v>Yes</v>
      </c>
      <c r="F72" s="492" t="str">
        <f t="shared" ref="F72:J72" si="94">IF(F70=0,"Yes","No")</f>
        <v>No</v>
      </c>
      <c r="G72" s="492" t="str">
        <f t="shared" si="94"/>
        <v>No</v>
      </c>
      <c r="H72" s="492" t="str">
        <f t="shared" si="94"/>
        <v>No</v>
      </c>
      <c r="I72" s="492" t="str">
        <f t="shared" si="94"/>
        <v>No</v>
      </c>
      <c r="J72" s="493" t="str">
        <f t="shared" si="94"/>
        <v>No</v>
      </c>
      <c r="M72" s="257" t="s">
        <v>2145</v>
      </c>
      <c r="N72" s="489"/>
      <c r="O72" s="491" t="str">
        <f>IF(O70=0,"Yes","No")</f>
        <v>Yes</v>
      </c>
      <c r="P72" s="491" t="str">
        <f t="shared" ref="P72:T72" si="95">IF(P70=0,"Yes","No")</f>
        <v>Yes</v>
      </c>
      <c r="Q72" s="491" t="str">
        <f t="shared" si="95"/>
        <v>Yes</v>
      </c>
      <c r="R72" s="491" t="str">
        <f t="shared" si="95"/>
        <v>Yes</v>
      </c>
      <c r="S72" s="491" t="str">
        <f t="shared" si="95"/>
        <v>Yes</v>
      </c>
      <c r="T72" s="494" t="str">
        <f t="shared" si="95"/>
        <v>Yes</v>
      </c>
    </row>
    <row r="73" spans="2:20">
      <c r="D73" s="2"/>
    </row>
    <row r="74" spans="2:20">
      <c r="D74" s="2"/>
    </row>
    <row r="75" spans="2:20">
      <c r="B75" s="395" t="s">
        <v>2150</v>
      </c>
      <c r="D75" s="2"/>
    </row>
    <row r="76" spans="2:20">
      <c r="D76" s="2"/>
      <c r="M76" t="s">
        <v>74</v>
      </c>
    </row>
    <row r="77" spans="2:20">
      <c r="D77" s="2"/>
    </row>
    <row r="78" spans="2:20">
      <c r="C78" s="484"/>
      <c r="D78" s="2"/>
    </row>
    <row r="79" spans="2:20">
      <c r="D79" s="2"/>
      <c r="E79" s="2"/>
    </row>
    <row r="80" spans="2:20">
      <c r="D80" s="2"/>
      <c r="E80" s="2"/>
    </row>
    <row r="81" spans="3:11">
      <c r="C81" s="484"/>
      <c r="D81" s="2"/>
      <c r="E81" s="2"/>
    </row>
    <row r="82" spans="3:11">
      <c r="D82" s="2"/>
    </row>
    <row r="83" spans="3:11">
      <c r="D83" s="2"/>
      <c r="E83" s="2"/>
    </row>
    <row r="84" spans="3:11">
      <c r="D84" s="2"/>
      <c r="E84" s="2"/>
    </row>
    <row r="85" spans="3:11">
      <c r="C85" s="484"/>
      <c r="D85" s="2"/>
      <c r="E85" s="2"/>
    </row>
    <row r="86" spans="3:11">
      <c r="D86" s="2"/>
      <c r="E86" s="2"/>
    </row>
    <row r="87" spans="3:11">
      <c r="D87" s="2"/>
      <c r="E87" s="2"/>
      <c r="F87" s="2"/>
    </row>
    <row r="88" spans="3:11">
      <c r="C88" s="5"/>
      <c r="D88" s="2"/>
      <c r="E88" s="2"/>
    </row>
    <row r="89" spans="3:11">
      <c r="D89" s="2"/>
    </row>
    <row r="90" spans="3:11">
      <c r="D90" s="2"/>
    </row>
    <row r="91" spans="3:11">
      <c r="C91" s="484"/>
      <c r="D91" s="2"/>
    </row>
    <row r="92" spans="3:11">
      <c r="D92" s="2"/>
    </row>
    <row r="93" spans="3:11">
      <c r="D93" s="2"/>
    </row>
    <row r="94" spans="3:11">
      <c r="C94" s="5"/>
      <c r="D94" s="10"/>
      <c r="F94" s="2"/>
    </row>
    <row r="95" spans="3:11">
      <c r="C95" s="484"/>
      <c r="D95" s="2"/>
      <c r="F95" s="2"/>
      <c r="K95" t="s">
        <v>74</v>
      </c>
    </row>
    <row r="96" spans="3:11">
      <c r="D96" s="2"/>
    </row>
    <row r="97" spans="2:13">
      <c r="D97" s="2"/>
    </row>
    <row r="98" spans="2:13">
      <c r="D98" s="2"/>
    </row>
    <row r="99" spans="2:13">
      <c r="D99" s="2"/>
    </row>
    <row r="100" spans="2:13">
      <c r="C100" s="484"/>
      <c r="D100" s="2"/>
    </row>
    <row r="101" spans="2:13">
      <c r="D101" s="2"/>
    </row>
    <row r="102" spans="2:13">
      <c r="D102" s="2"/>
    </row>
    <row r="103" spans="2:13">
      <c r="B103" s="395" t="s">
        <v>2153</v>
      </c>
      <c r="C103" s="653" t="s">
        <v>2168</v>
      </c>
      <c r="D103" s="653"/>
      <c r="E103" s="653"/>
      <c r="F103" s="653"/>
      <c r="G103" s="653"/>
      <c r="H103" s="653"/>
      <c r="I103" s="653"/>
      <c r="J103" s="653"/>
      <c r="K103" s="653"/>
      <c r="L103" s="653"/>
    </row>
    <row r="104" spans="2:13">
      <c r="B104" s="395"/>
      <c r="C104" s="653"/>
      <c r="D104" s="653"/>
      <c r="E104" s="653"/>
      <c r="F104" s="653"/>
      <c r="G104" s="653"/>
      <c r="H104" s="653"/>
      <c r="I104" s="653"/>
      <c r="J104" s="653"/>
      <c r="K104" s="653"/>
      <c r="L104" s="653"/>
    </row>
    <row r="105" spans="2:13">
      <c r="B105" s="395"/>
      <c r="C105" s="653"/>
      <c r="D105" s="653"/>
      <c r="E105" s="653"/>
      <c r="F105" s="653"/>
      <c r="G105" s="653"/>
      <c r="H105" s="653"/>
      <c r="I105" s="653"/>
      <c r="J105" s="653"/>
      <c r="K105" s="653"/>
      <c r="L105" s="653"/>
    </row>
    <row r="106" spans="2:13">
      <c r="B106" s="395"/>
      <c r="C106" s="653"/>
      <c r="D106" s="653"/>
      <c r="E106" s="653"/>
      <c r="F106" s="653"/>
      <c r="G106" s="653"/>
      <c r="H106" s="653"/>
      <c r="I106" s="653"/>
      <c r="J106" s="653"/>
      <c r="K106" s="653"/>
      <c r="L106" s="653"/>
    </row>
    <row r="107" spans="2:13">
      <c r="B107" s="395"/>
      <c r="C107" s="63"/>
      <c r="D107" s="10"/>
    </row>
    <row r="108" spans="2:13">
      <c r="B108" s="395"/>
      <c r="C108" s="63"/>
      <c r="D108" s="10"/>
    </row>
    <row r="109" spans="2:13">
      <c r="B109" s="395"/>
      <c r="C109" s="63"/>
      <c r="D109" s="10"/>
    </row>
    <row r="110" spans="2:13">
      <c r="C110" s="484"/>
      <c r="D110" s="2"/>
    </row>
    <row r="111" spans="2:13">
      <c r="B111" s="395">
        <v>3</v>
      </c>
      <c r="D111" s="251">
        <v>2020</v>
      </c>
      <c r="E111" s="252">
        <v>2021</v>
      </c>
      <c r="F111" s="252">
        <v>2022</v>
      </c>
      <c r="G111" s="252">
        <v>2023</v>
      </c>
      <c r="H111" s="252">
        <v>2024</v>
      </c>
      <c r="I111" s="252">
        <v>2025</v>
      </c>
      <c r="J111" s="252">
        <v>2026</v>
      </c>
      <c r="K111" s="252">
        <v>2027</v>
      </c>
      <c r="L111" s="252">
        <v>2028</v>
      </c>
      <c r="M111" s="486">
        <v>2029</v>
      </c>
    </row>
    <row r="112" spans="2:13">
      <c r="B112" s="395" t="s">
        <v>5</v>
      </c>
      <c r="C112" s="75" t="s">
        <v>153</v>
      </c>
      <c r="D112" s="398"/>
      <c r="E112" s="252"/>
      <c r="F112" s="252"/>
      <c r="G112" s="252"/>
      <c r="H112" s="252"/>
      <c r="I112" s="252"/>
      <c r="J112" s="252"/>
      <c r="K112" s="252"/>
      <c r="L112" s="252"/>
      <c r="M112" s="486"/>
    </row>
    <row r="113" spans="2:13">
      <c r="C113" s="497" t="s">
        <v>154</v>
      </c>
      <c r="D113" s="495">
        <f>'Workshop #2'!C272</f>
        <v>9.2808413871517906E-2</v>
      </c>
      <c r="E113" s="495">
        <f>'Workshop #2'!D272</f>
        <v>0.134840130035801</v>
      </c>
      <c r="F113" s="495">
        <f>'Workshop #2'!E272</f>
        <v>0.12963592378591279</v>
      </c>
      <c r="G113" s="495">
        <f>'Workshop #2'!F272</f>
        <v>0.10326739765276324</v>
      </c>
      <c r="H113" s="495">
        <f>'Workshop #2'!G272</f>
        <v>9.5550861442999541E-2</v>
      </c>
      <c r="I113" s="498">
        <f>P31/P25</f>
        <v>9.5550861442999596E-2</v>
      </c>
      <c r="J113" s="498">
        <f t="shared" ref="J113:M113" si="96">Q31/Q25</f>
        <v>9.555086144299961E-2</v>
      </c>
      <c r="K113" s="498">
        <f t="shared" si="96"/>
        <v>9.5550861442999541E-2</v>
      </c>
      <c r="L113" s="498">
        <f t="shared" si="96"/>
        <v>9.5550861442999652E-2</v>
      </c>
      <c r="M113" s="481">
        <f t="shared" si="96"/>
        <v>9.5550861442999527E-2</v>
      </c>
    </row>
    <row r="114" spans="2:13">
      <c r="C114" s="497" t="s">
        <v>155</v>
      </c>
      <c r="D114" s="495">
        <f>'Workshop #2'!C273</f>
        <v>1.5906291453477356E-2</v>
      </c>
      <c r="E114" s="495">
        <f>'Workshop #2'!D273</f>
        <v>0.1326077116168059</v>
      </c>
      <c r="F114" s="495">
        <f>'Workshop #2'!E273</f>
        <v>0.11544075014495071</v>
      </c>
      <c r="G114" s="495">
        <f>'Workshop #2'!F273</f>
        <v>7.3921428177861043E-2</v>
      </c>
      <c r="H114" s="495">
        <f>'Workshop #2'!G273</f>
        <v>6.3612559684907699E-2</v>
      </c>
      <c r="I114" s="498">
        <f>P37/P25</f>
        <v>5.9859132467293144E-2</v>
      </c>
      <c r="J114" s="498">
        <f t="shared" ref="J114:M114" si="97">Q37/Q25</f>
        <v>6.7078965798482562E-2</v>
      </c>
      <c r="K114" s="498">
        <f t="shared" si="97"/>
        <v>6.6517281799251551E-2</v>
      </c>
      <c r="L114" s="498">
        <f t="shared" si="97"/>
        <v>6.5908652289629707E-2</v>
      </c>
      <c r="M114" s="481">
        <f t="shared" si="97"/>
        <v>6.5323431607300794E-2</v>
      </c>
    </row>
    <row r="115" spans="2:13">
      <c r="C115" s="497" t="s">
        <v>2154</v>
      </c>
      <c r="D115" s="495">
        <f>'Workshop #2'!C274</f>
        <v>2.007473841554559</v>
      </c>
      <c r="E115" s="495">
        <f>'Workshop #2'!D274</f>
        <v>0.90335692760529818</v>
      </c>
      <c r="F115" s="495">
        <f>'Workshop #2'!E274</f>
        <v>0.58314396808564362</v>
      </c>
      <c r="G115" s="495">
        <f>'Workshop #2'!F274</f>
        <v>0.3874321358438258</v>
      </c>
      <c r="H115" s="495">
        <f>'Workshop #2'!G274</f>
        <v>0.34533835035537241</v>
      </c>
      <c r="I115" s="498">
        <f>P37/P68</f>
        <v>0.32496183398925776</v>
      </c>
      <c r="J115" s="498">
        <f t="shared" ref="J115:M115" si="98">Q37/Q68</f>
        <v>0.36415669338154888</v>
      </c>
      <c r="K115" s="498">
        <f t="shared" si="98"/>
        <v>0.36110743665180495</v>
      </c>
      <c r="L115" s="498">
        <f t="shared" si="98"/>
        <v>0.3578033232523205</v>
      </c>
      <c r="M115" s="481">
        <f t="shared" si="98"/>
        <v>0.35462629113743049</v>
      </c>
    </row>
    <row r="116" spans="2:13">
      <c r="C116" s="70" t="s">
        <v>2155</v>
      </c>
      <c r="D116" s="2"/>
      <c r="M116" s="255"/>
    </row>
    <row r="117" spans="2:13">
      <c r="C117" s="497" t="s">
        <v>158</v>
      </c>
      <c r="D117" s="496">
        <f>'Workshop #2'!C276</f>
        <v>1.0108359383857852</v>
      </c>
      <c r="E117" s="496">
        <f>'Workshop #2'!D276</f>
        <v>1.2587964306442252</v>
      </c>
      <c r="F117" s="496">
        <f>'Workshop #2'!E276</f>
        <v>1.3858654352019641</v>
      </c>
      <c r="G117" s="496">
        <f>'Workshop #2'!F276</f>
        <v>1.3233662663653512</v>
      </c>
      <c r="H117" s="496">
        <f>'Workshop #2'!G276</f>
        <v>1.3139685337633844</v>
      </c>
      <c r="I117" s="499">
        <f>P50/P62</f>
        <v>1.2030374262868209</v>
      </c>
      <c r="J117" s="499">
        <f t="shared" ref="J117:M117" si="99">Q50/Q62</f>
        <v>1.2318134133280969</v>
      </c>
      <c r="K117" s="499">
        <f t="shared" si="99"/>
        <v>1.2608114022288404</v>
      </c>
      <c r="L117" s="499">
        <f t="shared" si="99"/>
        <v>1.2900114234635442</v>
      </c>
      <c r="M117" s="500">
        <f t="shared" si="99"/>
        <v>1.3193929156314277</v>
      </c>
    </row>
    <row r="118" spans="2:13">
      <c r="C118" s="497" t="s">
        <v>159</v>
      </c>
      <c r="D118" s="495">
        <f>'Workshop #2'!C277</f>
        <v>0.28205803644570715</v>
      </c>
      <c r="E118" s="495">
        <f>'Workshop #2'!D277</f>
        <v>1.2280237566991309E-2</v>
      </c>
      <c r="F118" s="495">
        <f>'Workshop #2'!E277</f>
        <v>7.9728347576179161E-3</v>
      </c>
      <c r="G118" s="495">
        <f>'Workshop #2'!F277</f>
        <v>1.0056206522493016E-2</v>
      </c>
      <c r="H118" s="495">
        <f>'Workshop #2'!G277</f>
        <v>1.0586760975606053E-2</v>
      </c>
      <c r="I118" s="498">
        <f>(P63)/P68</f>
        <v>0.54810506342489851</v>
      </c>
      <c r="J118" s="498">
        <f t="shared" ref="J118:M118" si="100">(Q63)/Q68</f>
        <v>0.61884954482435039</v>
      </c>
      <c r="K118" s="498">
        <f t="shared" si="100"/>
        <v>0.69481378721957876</v>
      </c>
      <c r="L118" s="498">
        <f t="shared" si="100"/>
        <v>0.76785632798422132</v>
      </c>
      <c r="M118" s="481">
        <f t="shared" si="100"/>
        <v>0.83808954025791549</v>
      </c>
    </row>
    <row r="119" spans="2:13">
      <c r="C119" s="497" t="s">
        <v>161</v>
      </c>
      <c r="D119" s="496">
        <f>'Workshop #2'!C279</f>
        <v>11.456140350877194</v>
      </c>
      <c r="E119" s="496">
        <f>'Workshop #2'!D279</f>
        <v>19.190336749633968</v>
      </c>
      <c r="F119" s="496">
        <f>'Workshop #2'!E279</f>
        <v>18.685878962536023</v>
      </c>
      <c r="G119" s="496">
        <f>'Workshop #2'!F279</f>
        <v>12.091612903225807</v>
      </c>
      <c r="H119" s="496">
        <f>'Workshop #2'!G279</f>
        <v>10.087108013937282</v>
      </c>
      <c r="I119" s="501">
        <f>P37/P33</f>
        <v>4.525868288604614</v>
      </c>
      <c r="J119" s="501">
        <f t="shared" ref="J119:M119" si="101">Q37/Q33</f>
        <v>11.168349671717456</v>
      </c>
      <c r="K119" s="501">
        <f t="shared" si="101"/>
        <v>10.127709742144141</v>
      </c>
      <c r="L119" s="501">
        <f t="shared" si="101"/>
        <v>9.1839806894053932</v>
      </c>
      <c r="M119" s="502">
        <f t="shared" si="101"/>
        <v>8.4161236832038995</v>
      </c>
    </row>
    <row r="120" spans="2:13">
      <c r="C120" s="503" t="s">
        <v>162</v>
      </c>
      <c r="D120" s="504">
        <f>'Workshop #2'!C280</f>
        <v>2.6201439782087035</v>
      </c>
      <c r="E120" s="504">
        <f>'Workshop #2'!D280</f>
        <v>0.27790833111960273</v>
      </c>
      <c r="F120" s="504">
        <f>'Workshop #2'!E280</f>
        <v>0.460686331709313</v>
      </c>
      <c r="G120" s="504">
        <f>'Workshop #2'!F280</f>
        <v>0.83076923076923082</v>
      </c>
      <c r="H120" s="504">
        <f>'Workshop #2'!G280</f>
        <v>0.96412622364179457</v>
      </c>
      <c r="I120" s="403">
        <f>P39/P37</f>
        <v>0.99231074294720778</v>
      </c>
      <c r="J120" s="403">
        <f t="shared" ref="J120:M120" si="102">Q39/Q37</f>
        <v>0.88550649974598583</v>
      </c>
      <c r="K120" s="403">
        <f t="shared" si="102"/>
        <v>0.89298387733371487</v>
      </c>
      <c r="L120" s="403">
        <f t="shared" si="102"/>
        <v>0.9012300835673589</v>
      </c>
      <c r="M120" s="404">
        <f t="shared" si="102"/>
        <v>0.90930403913679803</v>
      </c>
    </row>
    <row r="121" spans="2:13">
      <c r="D121" s="2"/>
    </row>
    <row r="122" spans="2:13">
      <c r="B122" s="395" t="s">
        <v>7</v>
      </c>
    </row>
    <row r="150" spans="2:10">
      <c r="B150" s="395" t="s">
        <v>1964</v>
      </c>
      <c r="C150" s="628" t="s">
        <v>2169</v>
      </c>
      <c r="D150" s="628"/>
      <c r="E150" s="628"/>
      <c r="F150" s="628"/>
      <c r="G150" s="628"/>
      <c r="H150" s="628"/>
      <c r="I150" s="628"/>
      <c r="J150" s="628"/>
    </row>
    <row r="151" spans="2:10">
      <c r="C151" s="628"/>
      <c r="D151" s="628"/>
      <c r="E151" s="628"/>
      <c r="F151" s="628"/>
      <c r="G151" s="628"/>
      <c r="H151" s="628"/>
      <c r="I151" s="628"/>
      <c r="J151" s="628"/>
    </row>
    <row r="152" spans="2:10">
      <c r="C152" s="628"/>
      <c r="D152" s="628"/>
      <c r="E152" s="628"/>
      <c r="F152" s="628"/>
      <c r="G152" s="628"/>
      <c r="H152" s="628"/>
      <c r="I152" s="628"/>
      <c r="J152" s="628"/>
    </row>
    <row r="153" spans="2:10">
      <c r="C153" s="628"/>
      <c r="D153" s="628"/>
      <c r="E153" s="628"/>
      <c r="F153" s="628"/>
      <c r="G153" s="628"/>
      <c r="H153" s="628"/>
      <c r="I153" s="628"/>
      <c r="J153" s="628"/>
    </row>
    <row r="154" spans="2:10">
      <c r="C154" s="628"/>
      <c r="D154" s="628"/>
      <c r="E154" s="628"/>
      <c r="F154" s="628"/>
      <c r="G154" s="628"/>
      <c r="H154" s="628"/>
      <c r="I154" s="628"/>
      <c r="J154" s="628"/>
    </row>
    <row r="163" spans="2:9">
      <c r="D163" s="81">
        <v>2024</v>
      </c>
      <c r="E163" s="513">
        <v>2025</v>
      </c>
      <c r="F163" s="513">
        <v>2026</v>
      </c>
      <c r="G163" s="513">
        <v>2027</v>
      </c>
      <c r="H163" s="513">
        <v>2028</v>
      </c>
      <c r="I163" s="514">
        <v>2029</v>
      </c>
    </row>
    <row r="164" spans="2:9">
      <c r="B164" s="5">
        <v>4</v>
      </c>
      <c r="C164" s="505" t="s">
        <v>2156</v>
      </c>
      <c r="D164" s="252"/>
      <c r="E164" s="252"/>
      <c r="F164" s="252"/>
      <c r="G164" s="252"/>
      <c r="H164" s="252"/>
      <c r="I164" s="486"/>
    </row>
    <row r="165" spans="2:9">
      <c r="C165" s="506" t="s">
        <v>2157</v>
      </c>
      <c r="D165" s="2">
        <f>O50-O62</f>
        <v>2869</v>
      </c>
      <c r="E165" s="2">
        <f t="shared" ref="E165:I165" si="103">P50-P62</f>
        <v>3389.3200000000033</v>
      </c>
      <c r="F165" s="2">
        <f t="shared" si="103"/>
        <v>3930.4528000000028</v>
      </c>
      <c r="G165" s="2">
        <f t="shared" si="103"/>
        <v>4493.2309120000027</v>
      </c>
      <c r="H165" s="2">
        <f t="shared" si="103"/>
        <v>5078.5201484800054</v>
      </c>
      <c r="I165" s="401">
        <f t="shared" si="103"/>
        <v>5687.2209544192046</v>
      </c>
    </row>
    <row r="166" spans="2:9">
      <c r="C166" s="506" t="s">
        <v>2158</v>
      </c>
      <c r="E166" s="2">
        <f>E165-D165</f>
        <v>520.32000000000335</v>
      </c>
      <c r="F166" s="2">
        <f>F165-E165</f>
        <v>541.13279999999941</v>
      </c>
      <c r="G166" s="2">
        <f t="shared" ref="G166:I166" si="104">G165-F165</f>
        <v>562.77811199999996</v>
      </c>
      <c r="H166" s="2">
        <f t="shared" si="104"/>
        <v>585.28923648000273</v>
      </c>
      <c r="I166" s="401">
        <f t="shared" si="104"/>
        <v>608.7008059391992</v>
      </c>
    </row>
    <row r="167" spans="2:9">
      <c r="C167" s="506" t="s">
        <v>2159</v>
      </c>
      <c r="D167" s="2">
        <f>O53</f>
        <v>41328</v>
      </c>
      <c r="E167" s="2">
        <f>P53</f>
        <v>42981.119999999995</v>
      </c>
      <c r="F167" s="2">
        <f t="shared" ref="F167" si="105">Q53</f>
        <v>44700.36480000001</v>
      </c>
      <c r="G167" s="2">
        <f t="shared" ref="G167" si="106">R53</f>
        <v>46488.379392000017</v>
      </c>
      <c r="H167" s="2">
        <f t="shared" ref="H167" si="107">S53</f>
        <v>48347.914567680011</v>
      </c>
      <c r="I167" s="401">
        <f t="shared" ref="I167" si="108">T53</f>
        <v>50281.83115038721</v>
      </c>
    </row>
    <row r="168" spans="2:9">
      <c r="C168" s="506" t="s">
        <v>2160</v>
      </c>
      <c r="E168" s="2">
        <f>E167-D167</f>
        <v>1653.1199999999953</v>
      </c>
      <c r="F168" s="2">
        <f>F167-E167</f>
        <v>1719.2448000000149</v>
      </c>
      <c r="G168" s="2">
        <f t="shared" ref="G168:I168" si="109">G167-F167</f>
        <v>1788.0145920000068</v>
      </c>
      <c r="H168" s="2">
        <f t="shared" si="109"/>
        <v>1859.5351756799937</v>
      </c>
      <c r="I168" s="401">
        <f t="shared" si="109"/>
        <v>1933.9165827071993</v>
      </c>
    </row>
    <row r="169" spans="2:9">
      <c r="C169" s="506" t="s">
        <v>2066</v>
      </c>
      <c r="E169" s="2">
        <f>P52-O52</f>
        <v>1444.6800000000076</v>
      </c>
      <c r="F169" s="2">
        <f t="shared" ref="F169:I169" si="110">Q52-P52</f>
        <v>1502.4671999999991</v>
      </c>
      <c r="G169" s="2">
        <f t="shared" si="110"/>
        <v>1562.5658879999974</v>
      </c>
      <c r="H169" s="2">
        <f t="shared" si="110"/>
        <v>1625.0685235200071</v>
      </c>
      <c r="I169" s="401">
        <f t="shared" si="110"/>
        <v>1690.0712644607993</v>
      </c>
    </row>
    <row r="170" spans="2:9">
      <c r="C170" s="506" t="s">
        <v>2161</v>
      </c>
      <c r="E170" s="2">
        <f>E169+E168</f>
        <v>3097.8000000000029</v>
      </c>
      <c r="F170" s="2">
        <f t="shared" ref="F170:I170" si="111">F169+F168</f>
        <v>3221.7120000000141</v>
      </c>
      <c r="G170" s="2">
        <f t="shared" si="111"/>
        <v>3350.5804800000042</v>
      </c>
      <c r="H170" s="2">
        <f t="shared" si="111"/>
        <v>3484.6036992000008</v>
      </c>
      <c r="I170" s="401">
        <f t="shared" si="111"/>
        <v>3623.9878471679986</v>
      </c>
    </row>
    <row r="171" spans="2:9">
      <c r="C171" s="506" t="s">
        <v>2067</v>
      </c>
      <c r="E171" s="2">
        <f>O31</f>
        <v>8685</v>
      </c>
      <c r="F171" s="2">
        <f t="shared" ref="F171:I171" si="112">P31</f>
        <v>9032.4000000000069</v>
      </c>
      <c r="G171" s="2">
        <f t="shared" si="112"/>
        <v>9393.696000000009</v>
      </c>
      <c r="H171" s="2">
        <f t="shared" si="112"/>
        <v>9769.4438400000017</v>
      </c>
      <c r="I171" s="401">
        <f t="shared" si="112"/>
        <v>10160.221593600014</v>
      </c>
    </row>
    <row r="172" spans="2:9">
      <c r="C172" s="507" t="s">
        <v>2167</v>
      </c>
      <c r="I172" s="255"/>
    </row>
    <row r="173" spans="2:9">
      <c r="C173" s="506" t="s">
        <v>2162</v>
      </c>
      <c r="E173" s="508">
        <f>E171*(1-$G$17)</f>
        <v>6675.9870310663655</v>
      </c>
      <c r="F173" s="508">
        <f t="shared" ref="F173:I173" si="113">F171*(1-$G$17)</f>
        <v>6943.0265123090248</v>
      </c>
      <c r="G173" s="508">
        <f t="shared" si="113"/>
        <v>7220.7475728013878</v>
      </c>
      <c r="H173" s="508">
        <f t="shared" si="113"/>
        <v>7509.5774757134377</v>
      </c>
      <c r="I173" s="509">
        <f t="shared" si="113"/>
        <v>7809.9605747419837</v>
      </c>
    </row>
    <row r="174" spans="2:9">
      <c r="C174" s="506" t="s">
        <v>2163</v>
      </c>
      <c r="E174" s="2">
        <f>E169</f>
        <v>1444.6800000000076</v>
      </c>
      <c r="F174" s="2">
        <f t="shared" ref="F174:I174" si="114">F169</f>
        <v>1502.4671999999991</v>
      </c>
      <c r="G174" s="2">
        <f t="shared" si="114"/>
        <v>1562.5658879999974</v>
      </c>
      <c r="H174" s="2">
        <f t="shared" si="114"/>
        <v>1625.0685235200071</v>
      </c>
      <c r="I174" s="401">
        <f t="shared" si="114"/>
        <v>1690.0712644607993</v>
      </c>
    </row>
    <row r="175" spans="2:9">
      <c r="C175" s="506" t="s">
        <v>2164</v>
      </c>
      <c r="E175" s="2">
        <f>E170</f>
        <v>3097.8000000000029</v>
      </c>
      <c r="F175" s="2">
        <f t="shared" ref="F175:I175" si="115">F170</f>
        <v>3221.7120000000141</v>
      </c>
      <c r="G175" s="2">
        <f t="shared" si="115"/>
        <v>3350.5804800000042</v>
      </c>
      <c r="H175" s="2">
        <f t="shared" si="115"/>
        <v>3484.6036992000008</v>
      </c>
      <c r="I175" s="401">
        <f t="shared" si="115"/>
        <v>3623.9878471679986</v>
      </c>
    </row>
    <row r="176" spans="2:9">
      <c r="C176" s="506" t="s">
        <v>2165</v>
      </c>
      <c r="E176" s="2">
        <f>E166</f>
        <v>520.32000000000335</v>
      </c>
      <c r="F176" s="2">
        <f t="shared" ref="F176:I176" si="116">F166</f>
        <v>541.13279999999941</v>
      </c>
      <c r="G176" s="2">
        <f t="shared" si="116"/>
        <v>562.77811199999996</v>
      </c>
      <c r="H176" s="2">
        <f t="shared" si="116"/>
        <v>585.28923648000273</v>
      </c>
      <c r="I176" s="401">
        <f t="shared" si="116"/>
        <v>608.7008059391992</v>
      </c>
    </row>
    <row r="177" spans="3:9">
      <c r="C177" s="510" t="s">
        <v>2166</v>
      </c>
      <c r="D177" s="258"/>
      <c r="E177" s="511">
        <f>E173+E174-E175-E176</f>
        <v>4502.5470310663668</v>
      </c>
      <c r="F177" s="511">
        <f t="shared" ref="F177:I177" si="117">F173+F174-F175-F176</f>
        <v>4682.6489123090105</v>
      </c>
      <c r="G177" s="511">
        <f t="shared" si="117"/>
        <v>4869.954868801382</v>
      </c>
      <c r="H177" s="511">
        <f t="shared" si="117"/>
        <v>5064.7530635534422</v>
      </c>
      <c r="I177" s="512">
        <f t="shared" si="117"/>
        <v>5267.3431860955861</v>
      </c>
    </row>
  </sheetData>
  <mergeCells count="2">
    <mergeCell ref="C103:L106"/>
    <mergeCell ref="C150:J154"/>
  </mergeCells>
  <phoneticPr fontId="31" type="noConversion"/>
  <pageMargins left="0.7" right="0.7" top="0.75" bottom="0.75" header="0.3" footer="0.3"/>
  <ignoredErrors>
    <ignoredError sqref="F66 F27:J27 F31:J31 F33:J33 F35 G35:J35 F50:J50 F53:J53 F58:J58 P27:T27 P31:T31 P33:T33 P35:T35 P50:T50 P53:T53 P58:T58 E167:I167" formula="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F09E8-F545-614B-A123-96251CECE887}">
  <dimension ref="A3:M240"/>
  <sheetViews>
    <sheetView showGridLines="0" topLeftCell="A219" zoomScale="75" workbookViewId="0">
      <selection activeCell="E198" sqref="E198"/>
    </sheetView>
  </sheetViews>
  <sheetFormatPr baseColWidth="10" defaultColWidth="10.83203125" defaultRowHeight="16"/>
  <cols>
    <col min="1" max="2" width="10.83203125" style="63"/>
    <col min="3" max="3" width="23" style="63" customWidth="1"/>
    <col min="4" max="4" width="15.1640625" style="63" customWidth="1"/>
    <col min="5" max="5" width="14.83203125" style="63" customWidth="1"/>
    <col min="6" max="6" width="11.1640625" style="63" customWidth="1"/>
    <col min="7" max="7" width="16.83203125" style="63" customWidth="1"/>
    <col min="8" max="8" width="14.33203125" style="63" customWidth="1"/>
    <col min="9" max="16384" width="10.83203125" style="63"/>
  </cols>
  <sheetData>
    <row r="3" spans="1:13">
      <c r="B3" s="237" t="s">
        <v>1832</v>
      </c>
    </row>
    <row r="5" spans="1:13">
      <c r="B5" s="63" t="s">
        <v>1833</v>
      </c>
    </row>
    <row r="6" spans="1:13">
      <c r="B6" s="63" t="s">
        <v>23</v>
      </c>
    </row>
    <row r="7" spans="1:13">
      <c r="B7" s="63" t="s">
        <v>3</v>
      </c>
    </row>
    <row r="8" spans="1:13">
      <c r="B8" s="63" t="s">
        <v>24</v>
      </c>
    </row>
    <row r="12" spans="1:13">
      <c r="A12" s="5">
        <v>1</v>
      </c>
      <c r="C12" s="324" t="s">
        <v>1842</v>
      </c>
      <c r="D12" s="325"/>
      <c r="E12" s="325"/>
      <c r="F12" s="325"/>
      <c r="G12" s="325"/>
      <c r="H12" s="325"/>
      <c r="I12" s="325"/>
      <c r="J12" s="325"/>
      <c r="K12" s="325"/>
      <c r="L12" s="325"/>
      <c r="M12" s="325"/>
    </row>
    <row r="13" spans="1:13">
      <c r="B13" s="5" t="s">
        <v>1834</v>
      </c>
      <c r="C13" s="97" t="s">
        <v>1835</v>
      </c>
      <c r="D13" s="97" t="s">
        <v>1836</v>
      </c>
      <c r="E13" s="97" t="s">
        <v>1837</v>
      </c>
    </row>
    <row r="14" spans="1:13">
      <c r="C14" s="326">
        <f>1/12</f>
        <v>8.3333333333333329E-2</v>
      </c>
      <c r="D14" s="327">
        <v>3.7199999999999997E-2</v>
      </c>
      <c r="E14" s="89"/>
    </row>
    <row r="15" spans="1:13">
      <c r="C15" s="328">
        <f>3/12</f>
        <v>0.25</v>
      </c>
      <c r="D15" s="327">
        <v>3.6700000000000003E-2</v>
      </c>
      <c r="E15" s="65"/>
    </row>
    <row r="16" spans="1:13">
      <c r="C16" s="329">
        <f>6/12</f>
        <v>0.5</v>
      </c>
      <c r="D16" s="327">
        <v>3.61E-2</v>
      </c>
      <c r="E16" s="65"/>
    </row>
    <row r="17" spans="2:6">
      <c r="C17" s="329">
        <f>1</f>
        <v>1</v>
      </c>
      <c r="D17" s="327">
        <v>3.4799999999999998E-2</v>
      </c>
      <c r="E17" s="65"/>
    </row>
    <row r="18" spans="2:6">
      <c r="C18" s="329">
        <v>3</v>
      </c>
      <c r="D18" s="327">
        <v>3.5999999999999997E-2</v>
      </c>
      <c r="E18" s="65"/>
    </row>
    <row r="19" spans="2:6">
      <c r="C19" s="329">
        <v>5</v>
      </c>
      <c r="D19" s="327">
        <v>3.7900000000000003E-2</v>
      </c>
      <c r="E19" s="194">
        <f>1.26%</f>
        <v>1.26E-2</v>
      </c>
    </row>
    <row r="20" spans="2:6">
      <c r="C20" s="329">
        <v>7</v>
      </c>
      <c r="D20" s="327">
        <v>4.0099999999999997E-2</v>
      </c>
      <c r="E20" s="194">
        <f>1.59%</f>
        <v>1.5900000000000001E-2</v>
      </c>
    </row>
    <row r="21" spans="2:6">
      <c r="C21" s="329">
        <v>10</v>
      </c>
      <c r="D21" s="327">
        <v>4.2599999999999999E-2</v>
      </c>
      <c r="E21" s="194">
        <f>1.9%</f>
        <v>1.9E-2</v>
      </c>
    </row>
    <row r="22" spans="2:6">
      <c r="C22" s="329">
        <v>20</v>
      </c>
      <c r="D22" s="327">
        <v>4.82E-2</v>
      </c>
      <c r="E22" s="194">
        <f>2.38%</f>
        <v>2.3799999999999998E-2</v>
      </c>
    </row>
    <row r="23" spans="2:6">
      <c r="C23" s="330">
        <v>30</v>
      </c>
      <c r="D23" s="331">
        <v>4.87E-2</v>
      </c>
      <c r="E23" s="210">
        <f>2.6%</f>
        <v>2.6000000000000002E-2</v>
      </c>
    </row>
    <row r="24" spans="2:6">
      <c r="C24" s="346"/>
      <c r="D24" s="327"/>
    </row>
    <row r="25" spans="2:6">
      <c r="C25" s="346"/>
      <c r="D25" s="327"/>
    </row>
    <row r="26" spans="2:6">
      <c r="C26" s="346"/>
      <c r="D26" s="327"/>
    </row>
    <row r="27" spans="2:6">
      <c r="D27" s="322" t="s">
        <v>1840</v>
      </c>
      <c r="E27" s="323" t="s">
        <v>1837</v>
      </c>
    </row>
    <row r="28" spans="2:6">
      <c r="B28" s="5" t="s">
        <v>1838</v>
      </c>
      <c r="C28" s="347" t="s">
        <v>1839</v>
      </c>
      <c r="D28" s="348">
        <f>'Workshop #8'!D128</f>
        <v>4.2599999999999999E-2</v>
      </c>
      <c r="E28" s="349">
        <f>E21</f>
        <v>1.9E-2</v>
      </c>
    </row>
    <row r="30" spans="2:6">
      <c r="B30" s="5" t="s">
        <v>1841</v>
      </c>
      <c r="C30" s="668" t="s">
        <v>1843</v>
      </c>
      <c r="D30" s="669"/>
      <c r="E30" s="669"/>
      <c r="F30" s="89"/>
    </row>
    <row r="31" spans="2:6">
      <c r="C31" s="670" t="s">
        <v>1844</v>
      </c>
      <c r="D31" s="671"/>
      <c r="E31" s="671"/>
      <c r="F31" s="65"/>
    </row>
    <row r="32" spans="2:6">
      <c r="C32" s="92" t="s">
        <v>1845</v>
      </c>
      <c r="F32" s="65"/>
    </row>
    <row r="33" spans="2:9">
      <c r="C33" s="92" t="s">
        <v>1846</v>
      </c>
      <c r="F33" s="65"/>
    </row>
    <row r="34" spans="2:9">
      <c r="C34" s="92" t="s">
        <v>1847</v>
      </c>
      <c r="D34" s="350"/>
      <c r="E34" s="325"/>
      <c r="F34" s="351"/>
      <c r="G34" s="325"/>
      <c r="H34" s="325"/>
      <c r="I34" s="325"/>
    </row>
    <row r="35" spans="2:9">
      <c r="C35" s="92" t="s">
        <v>1949</v>
      </c>
      <c r="F35" s="65"/>
    </row>
    <row r="36" spans="2:9">
      <c r="C36" s="92" t="s">
        <v>1848</v>
      </c>
      <c r="F36" s="65"/>
    </row>
    <row r="37" spans="2:9">
      <c r="C37" s="672" t="s">
        <v>1849</v>
      </c>
      <c r="D37" s="673"/>
      <c r="E37" s="673"/>
      <c r="F37" s="217">
        <v>7.0000000000000007E-2</v>
      </c>
    </row>
    <row r="38" spans="2:9">
      <c r="C38" s="672" t="s">
        <v>1850</v>
      </c>
      <c r="D38" s="673"/>
      <c r="E38" s="673"/>
      <c r="F38" s="217">
        <f>E28</f>
        <v>1.9E-2</v>
      </c>
    </row>
    <row r="39" spans="2:9">
      <c r="C39" s="674" t="s">
        <v>1851</v>
      </c>
      <c r="D39" s="675"/>
      <c r="E39" s="675"/>
      <c r="F39" s="352">
        <f>F37-F38</f>
        <v>5.1000000000000004E-2</v>
      </c>
    </row>
    <row r="41" spans="2:9">
      <c r="B41" s="5" t="s">
        <v>9</v>
      </c>
    </row>
    <row r="57" spans="3:4">
      <c r="C57" s="171" t="s">
        <v>1861</v>
      </c>
    </row>
    <row r="58" spans="3:4" ht="17" thickBot="1"/>
    <row r="59" spans="3:4">
      <c r="C59" s="353" t="s">
        <v>1784</v>
      </c>
      <c r="D59" s="353"/>
    </row>
    <row r="60" spans="3:4">
      <c r="C60" s="63" t="s">
        <v>1785</v>
      </c>
      <c r="D60" s="63">
        <v>0.60503922251487008</v>
      </c>
    </row>
    <row r="61" spans="3:4">
      <c r="C61" s="63" t="s">
        <v>1786</v>
      </c>
      <c r="D61" s="63">
        <v>0.36607246078139843</v>
      </c>
    </row>
    <row r="62" spans="3:4">
      <c r="C62" s="63" t="s">
        <v>1787</v>
      </c>
      <c r="D62" s="63">
        <v>0.35514267562245705</v>
      </c>
    </row>
    <row r="63" spans="3:4">
      <c r="C63" s="63" t="s">
        <v>1788</v>
      </c>
      <c r="D63" s="63">
        <v>6.4425478164127775E-2</v>
      </c>
    </row>
    <row r="64" spans="3:4" ht="17" thickBot="1">
      <c r="C64" s="354" t="s">
        <v>1789</v>
      </c>
      <c r="D64" s="354">
        <v>60</v>
      </c>
    </row>
    <row r="66" spans="2:11" ht="17" thickBot="1">
      <c r="C66" s="63" t="s">
        <v>1790</v>
      </c>
    </row>
    <row r="67" spans="2:11">
      <c r="C67" s="355"/>
      <c r="D67" s="355" t="s">
        <v>1795</v>
      </c>
      <c r="E67" s="355" t="s">
        <v>1796</v>
      </c>
      <c r="F67" s="355" t="s">
        <v>1797</v>
      </c>
      <c r="G67" s="355" t="s">
        <v>1798</v>
      </c>
      <c r="H67" s="355" t="s">
        <v>1799</v>
      </c>
    </row>
    <row r="68" spans="2:11">
      <c r="C68" s="63" t="s">
        <v>1791</v>
      </c>
      <c r="D68" s="63">
        <v>1</v>
      </c>
      <c r="E68" s="63">
        <v>0.1390179033995339</v>
      </c>
      <c r="F68" s="63">
        <v>0.1390179033995339</v>
      </c>
      <c r="G68" s="63">
        <v>33.493106722406424</v>
      </c>
      <c r="H68" s="63">
        <v>3.0475921654269856E-7</v>
      </c>
    </row>
    <row r="69" spans="2:11">
      <c r="C69" s="63" t="s">
        <v>1792</v>
      </c>
      <c r="D69" s="63">
        <v>58</v>
      </c>
      <c r="E69" s="63">
        <v>0.24073724972723731</v>
      </c>
      <c r="F69" s="63">
        <v>4.1506422366765052E-3</v>
      </c>
    </row>
    <row r="70" spans="2:11" ht="17" thickBot="1">
      <c r="C70" s="354" t="s">
        <v>1793</v>
      </c>
      <c r="D70" s="354">
        <v>59</v>
      </c>
      <c r="E70" s="354">
        <v>0.37975515312677122</v>
      </c>
      <c r="F70" s="354"/>
      <c r="G70" s="354"/>
      <c r="H70" s="354"/>
    </row>
    <row r="71" spans="2:11" ht="17" thickBot="1"/>
    <row r="72" spans="2:11">
      <c r="C72" s="355"/>
      <c r="D72" s="355" t="s">
        <v>1800</v>
      </c>
      <c r="E72" s="355" t="s">
        <v>1788</v>
      </c>
      <c r="F72" s="355" t="s">
        <v>1801</v>
      </c>
      <c r="G72" s="355" t="s">
        <v>1802</v>
      </c>
      <c r="H72" s="355" t="s">
        <v>1803</v>
      </c>
      <c r="I72" s="355" t="s">
        <v>1804</v>
      </c>
      <c r="J72" s="356"/>
      <c r="K72" s="356"/>
    </row>
    <row r="73" spans="2:11">
      <c r="C73" s="63" t="s">
        <v>1794</v>
      </c>
      <c r="D73" s="63">
        <v>1.9907392292997574E-2</v>
      </c>
      <c r="E73" s="63">
        <v>8.5121208973091625E-3</v>
      </c>
      <c r="F73" s="63">
        <v>2.338711178231816</v>
      </c>
      <c r="G73" s="63">
        <v>2.2818174828350021E-2</v>
      </c>
      <c r="H73" s="63">
        <v>2.8685310656957948E-3</v>
      </c>
      <c r="I73" s="63">
        <v>3.6946253520299351E-2</v>
      </c>
    </row>
    <row r="74" spans="2:11" ht="17" thickBot="1">
      <c r="C74" s="354" t="s">
        <v>1860</v>
      </c>
      <c r="D74" s="354">
        <v>1.1110203069149525</v>
      </c>
      <c r="E74" s="354">
        <v>0.19197482496085649</v>
      </c>
      <c r="F74" s="354">
        <v>5.7873229322724402</v>
      </c>
      <c r="G74" s="354">
        <v>3.0475921654269353E-7</v>
      </c>
      <c r="H74" s="354">
        <v>0.72674094327508487</v>
      </c>
      <c r="I74" s="354">
        <v>1.49529967055482</v>
      </c>
    </row>
    <row r="77" spans="2:11">
      <c r="B77" s="5" t="s">
        <v>1862</v>
      </c>
      <c r="C77" s="87" t="s">
        <v>1863</v>
      </c>
      <c r="D77" s="88">
        <f>D61</f>
        <v>0.36607246078139843</v>
      </c>
      <c r="E77" s="88"/>
      <c r="F77" s="89"/>
    </row>
    <row r="78" spans="2:11">
      <c r="C78" s="92" t="s">
        <v>1864</v>
      </c>
      <c r="E78" s="63">
        <f>H74</f>
        <v>0.72674094327508487</v>
      </c>
      <c r="F78" s="65">
        <f>I74</f>
        <v>1.49529967055482</v>
      </c>
    </row>
    <row r="79" spans="2:11">
      <c r="C79" s="338" t="s">
        <v>1865</v>
      </c>
      <c r="D79" s="339"/>
      <c r="E79" s="357"/>
      <c r="F79" s="358">
        <f>D74</f>
        <v>1.1110203069149525</v>
      </c>
    </row>
    <row r="81" spans="2:8">
      <c r="B81" s="5" t="s">
        <v>1866</v>
      </c>
      <c r="C81" s="359" t="s">
        <v>1867</v>
      </c>
      <c r="D81" s="360">
        <f>(F79*2/3)+(1/3)*1</f>
        <v>1.0740135379433016</v>
      </c>
    </row>
    <row r="84" spans="2:8" ht="17" thickBot="1">
      <c r="B84" s="5" t="s">
        <v>1868</v>
      </c>
      <c r="C84" s="171" t="s">
        <v>1869</v>
      </c>
    </row>
    <row r="85" spans="2:8">
      <c r="C85" s="353" t="s">
        <v>1784</v>
      </c>
      <c r="D85" s="353"/>
    </row>
    <row r="86" spans="2:8">
      <c r="C86" s="63" t="s">
        <v>1785</v>
      </c>
      <c r="D86" s="63">
        <v>0.63906887201959972</v>
      </c>
    </row>
    <row r="87" spans="2:8">
      <c r="C87" s="63" t="s">
        <v>1786</v>
      </c>
      <c r="D87" s="63">
        <v>0.40840902318440353</v>
      </c>
    </row>
    <row r="88" spans="2:8">
      <c r="C88" s="63" t="s">
        <v>1787</v>
      </c>
      <c r="D88" s="63">
        <v>0.39820917875654838</v>
      </c>
    </row>
    <row r="89" spans="2:8">
      <c r="C89" s="63" t="s">
        <v>1788</v>
      </c>
      <c r="D89" s="63">
        <v>7.0910541246380548E-2</v>
      </c>
    </row>
    <row r="90" spans="2:8" ht="17" thickBot="1">
      <c r="C90" s="354" t="s">
        <v>1789</v>
      </c>
      <c r="D90" s="354">
        <v>60</v>
      </c>
    </row>
    <row r="92" spans="2:8" ht="17" thickBot="1">
      <c r="C92" s="63" t="s">
        <v>1790</v>
      </c>
    </row>
    <row r="93" spans="2:8">
      <c r="C93" s="355"/>
      <c r="D93" s="355" t="s">
        <v>1795</v>
      </c>
      <c r="E93" s="355" t="s">
        <v>1796</v>
      </c>
      <c r="F93" s="355" t="s">
        <v>1797</v>
      </c>
      <c r="G93" s="355" t="s">
        <v>1798</v>
      </c>
      <c r="H93" s="355" t="s">
        <v>1799</v>
      </c>
    </row>
    <row r="94" spans="2:8">
      <c r="C94" s="63" t="s">
        <v>1791</v>
      </c>
      <c r="D94" s="63">
        <v>1</v>
      </c>
      <c r="E94" s="63">
        <v>0.20133690181375319</v>
      </c>
      <c r="F94" s="63">
        <v>0.20133690181375319</v>
      </c>
      <c r="G94" s="63">
        <v>40.040711019970573</v>
      </c>
      <c r="H94" s="63">
        <v>3.9038773293565175E-8</v>
      </c>
    </row>
    <row r="95" spans="2:8">
      <c r="C95" s="63" t="s">
        <v>1792</v>
      </c>
      <c r="D95" s="63">
        <v>58</v>
      </c>
      <c r="E95" s="63">
        <v>0.29164168187156903</v>
      </c>
      <c r="F95" s="63">
        <v>5.0283048598546379E-3</v>
      </c>
    </row>
    <row r="96" spans="2:8" ht="17" thickBot="1">
      <c r="C96" s="354" t="s">
        <v>1793</v>
      </c>
      <c r="D96" s="354">
        <v>59</v>
      </c>
      <c r="E96" s="354">
        <v>0.49297858368532221</v>
      </c>
      <c r="F96" s="354"/>
      <c r="G96" s="354"/>
      <c r="H96" s="354"/>
    </row>
    <row r="97" spans="3:11" ht="17" thickBot="1"/>
    <row r="98" spans="3:11">
      <c r="C98" s="355"/>
      <c r="D98" s="355" t="s">
        <v>1800</v>
      </c>
      <c r="E98" s="355" t="s">
        <v>1788</v>
      </c>
      <c r="F98" s="355" t="s">
        <v>1801</v>
      </c>
      <c r="G98" s="355" t="s">
        <v>1802</v>
      </c>
      <c r="H98" s="355" t="s">
        <v>1803</v>
      </c>
      <c r="I98" s="355" t="s">
        <v>1804</v>
      </c>
      <c r="J98" s="356"/>
      <c r="K98" s="356"/>
    </row>
    <row r="99" spans="3:11">
      <c r="C99" s="63" t="s">
        <v>1794</v>
      </c>
      <c r="D99" s="63">
        <v>-5.8129976758744401E-3</v>
      </c>
      <c r="E99" s="63">
        <v>9.4696796748839022E-3</v>
      </c>
      <c r="F99" s="63">
        <v>-0.61385367567311167</v>
      </c>
      <c r="G99" s="63">
        <v>0.54171227373593633</v>
      </c>
      <c r="H99" s="63">
        <v>-2.4768621050344313E-2</v>
      </c>
      <c r="I99" s="63">
        <v>1.3142625698595433E-2</v>
      </c>
    </row>
    <row r="100" spans="3:11" ht="17" thickBot="1">
      <c r="C100" s="354" t="s">
        <v>1880</v>
      </c>
      <c r="D100" s="361">
        <v>1.3443060629974504</v>
      </c>
      <c r="E100" s="354">
        <v>0.21244536822108603</v>
      </c>
      <c r="F100" s="354">
        <v>6.3277729905528846</v>
      </c>
      <c r="G100" s="354">
        <v>3.9038773293565175E-8</v>
      </c>
      <c r="H100" s="354">
        <v>0.91905045500362992</v>
      </c>
      <c r="I100" s="354">
        <v>1.7695616709912707</v>
      </c>
    </row>
    <row r="104" spans="3:11" ht="17" thickBot="1">
      <c r="C104" s="171" t="s">
        <v>1881</v>
      </c>
    </row>
    <row r="105" spans="3:11">
      <c r="C105" s="353" t="s">
        <v>1784</v>
      </c>
      <c r="D105" s="353"/>
    </row>
    <row r="106" spans="3:11">
      <c r="C106" s="63" t="s">
        <v>1785</v>
      </c>
      <c r="D106" s="63">
        <v>0.60496513621777093</v>
      </c>
    </row>
    <row r="107" spans="3:11">
      <c r="C107" s="63" t="s">
        <v>1786</v>
      </c>
      <c r="D107" s="63">
        <v>0.36598281603898608</v>
      </c>
    </row>
    <row r="108" spans="3:11">
      <c r="C108" s="63" t="s">
        <v>1787</v>
      </c>
      <c r="D108" s="63">
        <v>0.35505148528103753</v>
      </c>
    </row>
    <row r="109" spans="3:11">
      <c r="C109" s="63" t="s">
        <v>1788</v>
      </c>
      <c r="D109" s="63">
        <v>6.531853138486661E-2</v>
      </c>
    </row>
    <row r="110" spans="3:11" ht="17" thickBot="1">
      <c r="C110" s="354" t="s">
        <v>1789</v>
      </c>
      <c r="D110" s="354">
        <v>60</v>
      </c>
    </row>
    <row r="112" spans="3:11" ht="17" thickBot="1">
      <c r="C112" s="63" t="s">
        <v>1790</v>
      </c>
    </row>
    <row r="113" spans="3:11">
      <c r="C113" s="355"/>
      <c r="D113" s="355" t="s">
        <v>1795</v>
      </c>
      <c r="E113" s="355" t="s">
        <v>1796</v>
      </c>
      <c r="F113" s="355" t="s">
        <v>1797</v>
      </c>
      <c r="G113" s="355" t="s">
        <v>1798</v>
      </c>
      <c r="H113" s="355" t="s">
        <v>1799</v>
      </c>
    </row>
    <row r="114" spans="3:11">
      <c r="C114" s="63" t="s">
        <v>1791</v>
      </c>
      <c r="D114" s="63">
        <v>1</v>
      </c>
      <c r="E114" s="63">
        <v>0.14284349979866143</v>
      </c>
      <c r="F114" s="63">
        <v>0.14284349979866143</v>
      </c>
      <c r="G114" s="63">
        <v>33.480170360124582</v>
      </c>
      <c r="H114" s="63">
        <v>3.0604595259960488E-7</v>
      </c>
    </row>
    <row r="115" spans="3:11">
      <c r="C115" s="63" t="s">
        <v>1792</v>
      </c>
      <c r="D115" s="63">
        <v>58</v>
      </c>
      <c r="E115" s="63">
        <v>0.2474576114519966</v>
      </c>
      <c r="F115" s="63">
        <v>4.2665105422758035E-3</v>
      </c>
    </row>
    <row r="116" spans="3:11" ht="17" thickBot="1">
      <c r="C116" s="354" t="s">
        <v>1793</v>
      </c>
      <c r="D116" s="354">
        <v>59</v>
      </c>
      <c r="E116" s="354">
        <v>0.39030111125065803</v>
      </c>
      <c r="F116" s="354"/>
      <c r="G116" s="354"/>
      <c r="H116" s="354"/>
    </row>
    <row r="117" spans="3:11" ht="17" thickBot="1"/>
    <row r="118" spans="3:11">
      <c r="C118" s="355"/>
      <c r="D118" s="355" t="s">
        <v>1800</v>
      </c>
      <c r="E118" s="355" t="s">
        <v>1788</v>
      </c>
      <c r="F118" s="355" t="s">
        <v>1801</v>
      </c>
      <c r="G118" s="355" t="s">
        <v>1802</v>
      </c>
      <c r="H118" s="355" t="s">
        <v>1803</v>
      </c>
      <c r="I118" s="355" t="s">
        <v>1804</v>
      </c>
      <c r="J118" s="356"/>
      <c r="K118" s="356"/>
    </row>
    <row r="119" spans="3:11">
      <c r="C119" s="63" t="s">
        <v>1794</v>
      </c>
      <c r="D119" s="63">
        <v>-7.5738790684205864E-3</v>
      </c>
      <c r="E119" s="63">
        <v>8.7229001242478798E-3</v>
      </c>
      <c r="F119" s="63">
        <v>-0.86827533968510662</v>
      </c>
      <c r="G119" s="63">
        <v>0.38882220983228877</v>
      </c>
      <c r="H119" s="63">
        <v>-2.5034660759580211E-2</v>
      </c>
      <c r="I119" s="63">
        <v>9.8869026227390387E-3</v>
      </c>
    </row>
    <row r="120" spans="3:11" ht="17" thickBot="1">
      <c r="C120" s="354" t="s">
        <v>1880</v>
      </c>
      <c r="D120" s="361">
        <v>1.1323135589043625</v>
      </c>
      <c r="E120" s="354">
        <v>0.19569191276518211</v>
      </c>
      <c r="F120" s="354">
        <v>5.7862051778453765</v>
      </c>
      <c r="G120" s="354">
        <v>3.0604595259959863E-7</v>
      </c>
      <c r="H120" s="354">
        <v>0.74059363561647329</v>
      </c>
      <c r="I120" s="354">
        <v>1.5240334821922517</v>
      </c>
    </row>
    <row r="123" spans="3:11" ht="17" thickBot="1">
      <c r="C123" s="171" t="s">
        <v>1882</v>
      </c>
    </row>
    <row r="124" spans="3:11">
      <c r="C124" s="353" t="s">
        <v>1784</v>
      </c>
      <c r="D124" s="353"/>
    </row>
    <row r="125" spans="3:11">
      <c r="C125" s="63" t="s">
        <v>1785</v>
      </c>
      <c r="D125" s="63">
        <v>0.64424908568140538</v>
      </c>
    </row>
    <row r="126" spans="3:11">
      <c r="C126" s="63" t="s">
        <v>1786</v>
      </c>
      <c r="D126" s="63">
        <v>0.41505688440132688</v>
      </c>
    </row>
    <row r="127" spans="3:11">
      <c r="C127" s="63" t="s">
        <v>1787</v>
      </c>
      <c r="D127" s="63">
        <v>0.40497165827031523</v>
      </c>
    </row>
    <row r="128" spans="3:11">
      <c r="C128" s="63" t="s">
        <v>1788</v>
      </c>
      <c r="D128" s="63">
        <v>5.8677297314602958E-2</v>
      </c>
    </row>
    <row r="129" spans="3:11" ht="17" thickBot="1">
      <c r="C129" s="354" t="s">
        <v>1789</v>
      </c>
      <c r="D129" s="354">
        <v>60</v>
      </c>
    </row>
    <row r="131" spans="3:11" ht="17" thickBot="1">
      <c r="C131" s="63" t="s">
        <v>1790</v>
      </c>
    </row>
    <row r="132" spans="3:11">
      <c r="C132" s="355"/>
      <c r="D132" s="355" t="s">
        <v>1795</v>
      </c>
      <c r="E132" s="355" t="s">
        <v>1796</v>
      </c>
      <c r="F132" s="355" t="s">
        <v>1797</v>
      </c>
      <c r="G132" s="355" t="s">
        <v>1798</v>
      </c>
      <c r="H132" s="355" t="s">
        <v>1799</v>
      </c>
    </row>
    <row r="133" spans="3:11">
      <c r="C133" s="63" t="s">
        <v>1791</v>
      </c>
      <c r="D133" s="63">
        <v>1</v>
      </c>
      <c r="E133" s="63">
        <v>0.14169749911653975</v>
      </c>
      <c r="F133" s="63">
        <v>0.14169749911653975</v>
      </c>
      <c r="G133" s="63">
        <v>41.154940802472055</v>
      </c>
      <c r="H133" s="63">
        <v>2.7920071086335673E-8</v>
      </c>
    </row>
    <row r="134" spans="3:11">
      <c r="C134" s="63" t="s">
        <v>1792</v>
      </c>
      <c r="D134" s="63">
        <v>58</v>
      </c>
      <c r="E134" s="63">
        <v>0.19969546276848607</v>
      </c>
      <c r="F134" s="63">
        <v>3.4430252201463115E-3</v>
      </c>
    </row>
    <row r="135" spans="3:11" ht="17" thickBot="1">
      <c r="C135" s="354" t="s">
        <v>1793</v>
      </c>
      <c r="D135" s="354">
        <v>59</v>
      </c>
      <c r="E135" s="354">
        <v>0.34139296188502583</v>
      </c>
      <c r="F135" s="354"/>
      <c r="G135" s="354"/>
      <c r="H135" s="354"/>
    </row>
    <row r="136" spans="3:11" ht="17" thickBot="1"/>
    <row r="137" spans="3:11">
      <c r="C137" s="355"/>
      <c r="D137" s="355" t="s">
        <v>1800</v>
      </c>
      <c r="E137" s="355" t="s">
        <v>1788</v>
      </c>
      <c r="F137" s="355" t="s">
        <v>1801</v>
      </c>
      <c r="G137" s="355" t="s">
        <v>1802</v>
      </c>
      <c r="H137" s="355" t="s">
        <v>1803</v>
      </c>
      <c r="I137" s="355" t="s">
        <v>1804</v>
      </c>
      <c r="J137" s="356"/>
      <c r="K137" s="356"/>
    </row>
    <row r="138" spans="3:11">
      <c r="C138" s="63" t="s">
        <v>1794</v>
      </c>
      <c r="D138" s="63">
        <v>-2.7869103338729571E-4</v>
      </c>
      <c r="E138" s="63">
        <v>7.8360029410377303E-3</v>
      </c>
      <c r="F138" s="63">
        <v>-3.5565457987230972E-2</v>
      </c>
      <c r="G138" s="63">
        <v>0.971750974268068</v>
      </c>
      <c r="H138" s="63">
        <v>-1.5964155126276004E-2</v>
      </c>
      <c r="I138" s="63">
        <v>1.5406773059501413E-2</v>
      </c>
    </row>
    <row r="139" spans="3:11" ht="17" thickBot="1">
      <c r="C139" s="354" t="s">
        <v>1880</v>
      </c>
      <c r="D139" s="361">
        <v>1.127762265856725</v>
      </c>
      <c r="E139" s="354">
        <v>0.17579502024820956</v>
      </c>
      <c r="F139" s="354">
        <v>6.4152116724603925</v>
      </c>
      <c r="G139" s="354">
        <v>2.7920071086335518E-8</v>
      </c>
      <c r="H139" s="354">
        <v>0.7758703002002183</v>
      </c>
      <c r="I139" s="354">
        <v>1.4796542315132317</v>
      </c>
    </row>
    <row r="142" spans="3:11" ht="17" thickBot="1">
      <c r="C142" s="171" t="s">
        <v>1898</v>
      </c>
    </row>
    <row r="143" spans="3:11">
      <c r="C143" s="353" t="s">
        <v>1784</v>
      </c>
      <c r="D143" s="353"/>
    </row>
    <row r="144" spans="3:11">
      <c r="C144" s="63" t="s">
        <v>1785</v>
      </c>
      <c r="D144" s="63">
        <v>0.17574390927183278</v>
      </c>
    </row>
    <row r="145" spans="3:11">
      <c r="C145" s="63" t="s">
        <v>1786</v>
      </c>
      <c r="D145" s="63">
        <v>3.0885921646146196E-2</v>
      </c>
    </row>
    <row r="146" spans="3:11">
      <c r="C146" s="63" t="s">
        <v>1787</v>
      </c>
      <c r="D146" s="63">
        <v>1.4177058226252166E-2</v>
      </c>
    </row>
    <row r="147" spans="3:11">
      <c r="C147" s="63" t="s">
        <v>1788</v>
      </c>
      <c r="D147" s="63">
        <v>9.1276090273108068E-2</v>
      </c>
    </row>
    <row r="148" spans="3:11" ht="17" thickBot="1">
      <c r="C148" s="354" t="s">
        <v>1789</v>
      </c>
      <c r="D148" s="354">
        <v>60</v>
      </c>
    </row>
    <row r="150" spans="3:11" ht="17" thickBot="1">
      <c r="C150" s="63" t="s">
        <v>1790</v>
      </c>
    </row>
    <row r="151" spans="3:11">
      <c r="C151" s="355"/>
      <c r="D151" s="355" t="s">
        <v>1795</v>
      </c>
      <c r="E151" s="355" t="s">
        <v>1796</v>
      </c>
      <c r="F151" s="355" t="s">
        <v>1797</v>
      </c>
      <c r="G151" s="355" t="s">
        <v>1798</v>
      </c>
      <c r="H151" s="355" t="s">
        <v>1799</v>
      </c>
    </row>
    <row r="152" spans="3:11">
      <c r="C152" s="63" t="s">
        <v>1791</v>
      </c>
      <c r="D152" s="63">
        <v>1</v>
      </c>
      <c r="E152" s="63">
        <v>1.5400248003307193E-2</v>
      </c>
      <c r="F152" s="63">
        <v>1.5400248003307193E-2</v>
      </c>
      <c r="G152" s="63">
        <v>1.8484753193549099</v>
      </c>
      <c r="H152" s="63">
        <v>0.1792232065105813</v>
      </c>
    </row>
    <row r="153" spans="3:11">
      <c r="C153" s="63" t="s">
        <v>1792</v>
      </c>
      <c r="D153" s="63">
        <v>58</v>
      </c>
      <c r="E153" s="63">
        <v>0.48321683002158528</v>
      </c>
      <c r="F153" s="63">
        <v>8.3313246555445745E-3</v>
      </c>
    </row>
    <row r="154" spans="3:11" ht="17" thickBot="1">
      <c r="C154" s="354" t="s">
        <v>1793</v>
      </c>
      <c r="D154" s="354">
        <v>59</v>
      </c>
      <c r="E154" s="354">
        <v>0.49861707802489247</v>
      </c>
      <c r="F154" s="354"/>
      <c r="G154" s="354"/>
      <c r="H154" s="354"/>
    </row>
    <row r="155" spans="3:11" ht="17" thickBot="1"/>
    <row r="156" spans="3:11">
      <c r="C156" s="355"/>
      <c r="D156" s="355" t="s">
        <v>1800</v>
      </c>
      <c r="E156" s="355" t="s">
        <v>1788</v>
      </c>
      <c r="F156" s="355" t="s">
        <v>1801</v>
      </c>
      <c r="G156" s="355" t="s">
        <v>1802</v>
      </c>
      <c r="H156" s="355" t="s">
        <v>1803</v>
      </c>
      <c r="I156" s="355" t="s">
        <v>1804</v>
      </c>
      <c r="J156" s="356"/>
      <c r="K156" s="356"/>
    </row>
    <row r="157" spans="3:11">
      <c r="C157" s="63" t="s">
        <v>1794</v>
      </c>
      <c r="D157" s="63">
        <v>1.635002037626096E-2</v>
      </c>
      <c r="E157" s="63">
        <v>1.2189377230373888E-2</v>
      </c>
      <c r="F157" s="63">
        <v>1.3413335289615491</v>
      </c>
      <c r="G157" s="63">
        <v>0.18504103657479468</v>
      </c>
      <c r="H157" s="63">
        <v>-8.0496691466202738E-3</v>
      </c>
      <c r="I157" s="63">
        <v>4.0749709899142193E-2</v>
      </c>
    </row>
    <row r="158" spans="3:11" ht="17" thickBot="1">
      <c r="C158" s="354" t="s">
        <v>1880</v>
      </c>
      <c r="D158" s="361">
        <v>-0.37179224260037513</v>
      </c>
      <c r="E158" s="354">
        <v>0.27345980254862751</v>
      </c>
      <c r="F158" s="354">
        <v>-1.3595864515928693</v>
      </c>
      <c r="G158" s="354">
        <v>0.17922320651058368</v>
      </c>
      <c r="H158" s="354">
        <v>-0.91918151057286657</v>
      </c>
      <c r="I158" s="354">
        <v>0.1755970253721163</v>
      </c>
    </row>
    <row r="161" spans="3:11" ht="17" thickBot="1">
      <c r="C161" s="171" t="s">
        <v>1899</v>
      </c>
    </row>
    <row r="162" spans="3:11">
      <c r="C162" s="353" t="s">
        <v>1784</v>
      </c>
      <c r="D162" s="353"/>
    </row>
    <row r="163" spans="3:11">
      <c r="C163" s="63" t="s">
        <v>1785</v>
      </c>
      <c r="D163" s="63">
        <v>0.61332223711488187</v>
      </c>
    </row>
    <row r="164" spans="3:11">
      <c r="C164" s="63" t="s">
        <v>1786</v>
      </c>
      <c r="D164" s="63">
        <v>0.37616416653960333</v>
      </c>
    </row>
    <row r="165" spans="3:11">
      <c r="C165" s="63" t="s">
        <v>1787</v>
      </c>
      <c r="D165" s="63">
        <v>0.36540837630752754</v>
      </c>
    </row>
    <row r="166" spans="3:11">
      <c r="C166" s="63" t="s">
        <v>1788</v>
      </c>
      <c r="D166" s="63">
        <v>8.8328233709631859E-2</v>
      </c>
    </row>
    <row r="167" spans="3:11" ht="17" thickBot="1">
      <c r="C167" s="354" t="s">
        <v>1789</v>
      </c>
      <c r="D167" s="354">
        <v>60</v>
      </c>
    </row>
    <row r="169" spans="3:11" ht="17" thickBot="1">
      <c r="C169" s="63" t="s">
        <v>1790</v>
      </c>
    </row>
    <row r="170" spans="3:11">
      <c r="C170" s="355"/>
      <c r="D170" s="355" t="s">
        <v>1795</v>
      </c>
      <c r="E170" s="355" t="s">
        <v>1796</v>
      </c>
      <c r="F170" s="355" t="s">
        <v>1797</v>
      </c>
      <c r="G170" s="355" t="s">
        <v>1798</v>
      </c>
      <c r="H170" s="355" t="s">
        <v>1799</v>
      </c>
    </row>
    <row r="171" spans="3:11">
      <c r="C171" s="63" t="s">
        <v>1791</v>
      </c>
      <c r="D171" s="63">
        <v>1</v>
      </c>
      <c r="E171" s="63">
        <v>0.27285642867923654</v>
      </c>
      <c r="F171" s="63">
        <v>0.27285642867923654</v>
      </c>
      <c r="G171" s="63">
        <v>34.973178020691634</v>
      </c>
      <c r="H171" s="63">
        <v>1.8897819596383215E-7</v>
      </c>
    </row>
    <row r="172" spans="3:11">
      <c r="C172" s="63" t="s">
        <v>1792</v>
      </c>
      <c r="D172" s="63">
        <v>58</v>
      </c>
      <c r="E172" s="63">
        <v>0.45250885847527411</v>
      </c>
      <c r="F172" s="63">
        <v>7.8018768702633468E-3</v>
      </c>
    </row>
    <row r="173" spans="3:11" ht="17" thickBot="1">
      <c r="C173" s="354" t="s">
        <v>1793</v>
      </c>
      <c r="D173" s="354">
        <v>59</v>
      </c>
      <c r="E173" s="354">
        <v>0.72536528715451065</v>
      </c>
      <c r="F173" s="354"/>
      <c r="G173" s="354"/>
      <c r="H173" s="354"/>
    </row>
    <row r="174" spans="3:11" ht="17" thickBot="1"/>
    <row r="175" spans="3:11">
      <c r="C175" s="355"/>
      <c r="D175" s="355" t="s">
        <v>1800</v>
      </c>
      <c r="E175" s="355" t="s">
        <v>1788</v>
      </c>
      <c r="F175" s="355" t="s">
        <v>1801</v>
      </c>
      <c r="G175" s="355" t="s">
        <v>1802</v>
      </c>
      <c r="H175" s="355" t="s">
        <v>1803</v>
      </c>
      <c r="I175" s="355" t="s">
        <v>1804</v>
      </c>
      <c r="J175" s="356"/>
      <c r="K175" s="356"/>
    </row>
    <row r="176" spans="3:11">
      <c r="C176" s="63" t="s">
        <v>1794</v>
      </c>
      <c r="D176" s="63">
        <v>-3.5670586945039228E-3</v>
      </c>
      <c r="E176" s="63">
        <v>1.1795708575573591E-2</v>
      </c>
      <c r="F176" s="63">
        <v>-0.30240308766957369</v>
      </c>
      <c r="G176" s="63">
        <v>0.76342663220839468</v>
      </c>
      <c r="H176" s="63">
        <v>-2.7178734788111468E-2</v>
      </c>
      <c r="I176" s="63">
        <v>2.0044617399103622E-2</v>
      </c>
    </row>
    <row r="177" spans="1:9" ht="17" thickBot="1">
      <c r="C177" s="354" t="s">
        <v>1880</v>
      </c>
      <c r="D177" s="361">
        <v>1.5649611544289668</v>
      </c>
      <c r="E177" s="354">
        <v>0.26462813292542303</v>
      </c>
      <c r="F177" s="354">
        <v>5.9138124776400893</v>
      </c>
      <c r="G177" s="354">
        <v>1.8897819596383284E-7</v>
      </c>
      <c r="H177" s="354">
        <v>1.0352503939554381</v>
      </c>
      <c r="I177" s="354">
        <v>2.0946719149024955</v>
      </c>
    </row>
    <row r="180" spans="1:9">
      <c r="C180" s="341" t="s">
        <v>1885</v>
      </c>
      <c r="D180" s="88"/>
      <c r="E180" s="342" t="s">
        <v>1893</v>
      </c>
      <c r="F180" s="342" t="s">
        <v>1894</v>
      </c>
      <c r="G180" s="342" t="s">
        <v>1895</v>
      </c>
      <c r="H180" s="89"/>
    </row>
    <row r="181" spans="1:9">
      <c r="C181" s="92" t="s">
        <v>1883</v>
      </c>
      <c r="E181" s="189">
        <f>D100</f>
        <v>1.3443060629974504</v>
      </c>
      <c r="F181" s="216">
        <f>'Selective Comparable Firms'!AF8</f>
        <v>0.55109076722908101</v>
      </c>
      <c r="G181" s="199">
        <f>E181/(1+F181)</f>
        <v>0.8666843304076669</v>
      </c>
      <c r="H181" s="65"/>
    </row>
    <row r="182" spans="1:9">
      <c r="C182" s="92" t="s">
        <v>1887</v>
      </c>
      <c r="E182" s="189">
        <f>D120</f>
        <v>1.1323135589043625</v>
      </c>
      <c r="F182" s="216">
        <f>'Selective Comparable Firms'!AF5</f>
        <v>0.50119999999999998</v>
      </c>
      <c r="G182" s="199">
        <f t="shared" ref="G182:G185" si="0">E182/(1+F182)</f>
        <v>0.75427228810575708</v>
      </c>
      <c r="H182" s="65"/>
    </row>
    <row r="183" spans="1:9">
      <c r="C183" s="92" t="s">
        <v>1884</v>
      </c>
      <c r="E183" s="189">
        <f>D139</f>
        <v>1.127762265856725</v>
      </c>
      <c r="F183" s="216">
        <f>'Selective Comparable Firms'!AF9</f>
        <v>2.8341944582339233E-2</v>
      </c>
      <c r="G183" s="199">
        <f t="shared" si="0"/>
        <v>1.0966802159516749</v>
      </c>
      <c r="H183" s="65"/>
    </row>
    <row r="184" spans="1:9">
      <c r="C184" s="92" t="s">
        <v>1900</v>
      </c>
      <c r="E184" s="189">
        <f>D158</f>
        <v>-0.37179224260037513</v>
      </c>
      <c r="F184" s="216">
        <f>'Selective Comparable Firms'!AF7</f>
        <v>5.7999999999999996E-3</v>
      </c>
      <c r="G184" s="199">
        <f t="shared" si="0"/>
        <v>-0.36964828256151833</v>
      </c>
      <c r="H184" s="65"/>
    </row>
    <row r="185" spans="1:9">
      <c r="C185" s="124" t="s">
        <v>1886</v>
      </c>
      <c r="D185" s="125"/>
      <c r="E185" s="362">
        <f>D177</f>
        <v>1.5649611544289668</v>
      </c>
      <c r="F185" s="225">
        <f>'Selective Comparable Firms'!AF6</f>
        <v>0.35170000000000001</v>
      </c>
      <c r="G185" s="363">
        <f t="shared" si="0"/>
        <v>1.1577725489598036</v>
      </c>
      <c r="H185" s="212"/>
    </row>
    <row r="187" spans="1:9">
      <c r="B187" s="5" t="s">
        <v>1891</v>
      </c>
      <c r="C187" s="117" t="s">
        <v>1888</v>
      </c>
      <c r="D187" s="88"/>
      <c r="E187" s="364">
        <f>MEDIAN(G181:G185)</f>
        <v>0.8666843304076669</v>
      </c>
    </row>
    <row r="188" spans="1:9">
      <c r="C188" s="92" t="s">
        <v>1889</v>
      </c>
      <c r="E188" s="200">
        <f>AVERAGE('Workshop #2'!C278:G278)</f>
        <v>0.16679165509699223</v>
      </c>
    </row>
    <row r="189" spans="1:9">
      <c r="B189" s="5" t="s">
        <v>1892</v>
      </c>
      <c r="C189" s="338" t="s">
        <v>1890</v>
      </c>
      <c r="D189" s="357"/>
      <c r="E189" s="365">
        <f>E187*(1+E188)</f>
        <v>1.0112400443229901</v>
      </c>
    </row>
    <row r="190" spans="1:9">
      <c r="B190" s="5"/>
      <c r="C190" s="5"/>
    </row>
    <row r="192" spans="1:9">
      <c r="A192" s="5">
        <v>2</v>
      </c>
    </row>
    <row r="193" spans="1:9">
      <c r="B193" s="5" t="s">
        <v>5</v>
      </c>
      <c r="C193" s="343" t="s">
        <v>1901</v>
      </c>
      <c r="D193" s="344" t="s">
        <v>1902</v>
      </c>
      <c r="E193" s="344" t="s">
        <v>1903</v>
      </c>
      <c r="F193" s="344" t="s">
        <v>1904</v>
      </c>
      <c r="G193" s="344" t="s">
        <v>1905</v>
      </c>
      <c r="H193" s="344" t="s">
        <v>1906</v>
      </c>
      <c r="I193" s="89"/>
    </row>
    <row r="194" spans="1:9">
      <c r="C194" s="329" t="s">
        <v>1909</v>
      </c>
      <c r="D194" s="366">
        <v>52140</v>
      </c>
      <c r="E194" s="346" t="s">
        <v>1908</v>
      </c>
      <c r="F194" s="346" t="s">
        <v>1907</v>
      </c>
      <c r="G194" s="367">
        <v>5.4199999999999998E-2</v>
      </c>
      <c r="H194" s="368">
        <v>375</v>
      </c>
      <c r="I194" s="65"/>
    </row>
    <row r="195" spans="1:9">
      <c r="C195" s="329" t="s">
        <v>1910</v>
      </c>
      <c r="D195" s="366">
        <v>50420</v>
      </c>
      <c r="E195" s="346" t="s">
        <v>1908</v>
      </c>
      <c r="F195" s="346" t="s">
        <v>1907</v>
      </c>
      <c r="G195" s="367">
        <v>4.9000000000000002E-2</v>
      </c>
      <c r="H195" s="368">
        <v>1500</v>
      </c>
      <c r="I195" s="65"/>
    </row>
    <row r="196" spans="1:9">
      <c r="C196" s="330" t="s">
        <v>1911</v>
      </c>
      <c r="D196" s="369">
        <v>47574</v>
      </c>
      <c r="E196" s="370" t="s">
        <v>1908</v>
      </c>
      <c r="F196" s="370" t="s">
        <v>1907</v>
      </c>
      <c r="G196" s="371">
        <v>3.9899999999999998E-2</v>
      </c>
      <c r="H196" s="372">
        <v>276</v>
      </c>
      <c r="I196" s="212"/>
    </row>
    <row r="198" spans="1:9">
      <c r="C198" s="87" t="s">
        <v>1948</v>
      </c>
      <c r="D198" s="88"/>
      <c r="E198" s="373">
        <f>SUMPRODUCT(G194:G196,H194:H196)/SUM(H194:H196)</f>
        <v>4.8738912133891213E-2</v>
      </c>
    </row>
    <row r="199" spans="1:9">
      <c r="C199" s="338" t="s">
        <v>1912</v>
      </c>
      <c r="D199" s="357"/>
      <c r="E199" s="374">
        <f>'Workshop #8'!D130</f>
        <v>4.8738912133891213E-2</v>
      </c>
    </row>
    <row r="201" spans="1:9">
      <c r="A201" s="5">
        <v>3</v>
      </c>
      <c r="D201" s="199"/>
    </row>
    <row r="202" spans="1:9">
      <c r="B202" s="5" t="s">
        <v>5</v>
      </c>
      <c r="C202" s="11" t="s">
        <v>1914</v>
      </c>
      <c r="D202" s="375">
        <f>Financials!F28/Financials!F49</f>
        <v>0.19113413932066781</v>
      </c>
    </row>
    <row r="203" spans="1:9">
      <c r="D203" s="216"/>
    </row>
    <row r="204" spans="1:9">
      <c r="D204" s="216"/>
    </row>
    <row r="205" spans="1:9">
      <c r="A205" s="5">
        <v>4</v>
      </c>
      <c r="D205" s="81">
        <v>2020</v>
      </c>
      <c r="E205" s="82">
        <v>2021</v>
      </c>
      <c r="F205" s="82">
        <v>2022</v>
      </c>
      <c r="G205" s="82">
        <v>2023</v>
      </c>
      <c r="H205" s="83">
        <v>2024</v>
      </c>
    </row>
    <row r="206" spans="1:9">
      <c r="C206" s="87" t="s">
        <v>1915</v>
      </c>
      <c r="D206" s="376">
        <f>Financials!B89+Financials!B95</f>
        <v>27754</v>
      </c>
      <c r="E206" s="376">
        <f>Financials!C89+Financials!C95</f>
        <v>25528</v>
      </c>
      <c r="F206" s="376">
        <f>Financials!D89+Financials!D95</f>
        <v>23521</v>
      </c>
      <c r="G206" s="376">
        <f>Financials!E89+Financials!E95</f>
        <v>26729</v>
      </c>
      <c r="H206" s="377">
        <f>Financials!F89+Financials!F95</f>
        <v>25652</v>
      </c>
    </row>
    <row r="207" spans="1:9">
      <c r="C207" s="92" t="s">
        <v>1916</v>
      </c>
      <c r="D207" s="378">
        <f>Financials!B39*'Workshop #2'!G14</f>
        <v>112895.68250000001</v>
      </c>
      <c r="E207" s="378">
        <f>Financials!C39*'Workshop #2'!H14</f>
        <v>167845.87333333332</v>
      </c>
      <c r="F207" s="378">
        <f>Financials!D39*'Workshop #2'!I14</f>
        <v>163612.995</v>
      </c>
      <c r="G207" s="378">
        <f>Financials!E39*'Workshop #2'!J14</f>
        <v>146764.44499999998</v>
      </c>
      <c r="H207" s="379">
        <f>Financials!F39*'Workshop #2'!K14</f>
        <v>117789.78750000001</v>
      </c>
    </row>
    <row r="208" spans="1:9">
      <c r="C208" s="124" t="s">
        <v>1917</v>
      </c>
      <c r="D208" s="380">
        <f>D206+D207</f>
        <v>140649.6825</v>
      </c>
      <c r="E208" s="380">
        <f t="shared" ref="E208:H208" si="1">E206+E207</f>
        <v>193373.87333333332</v>
      </c>
      <c r="F208" s="380">
        <f t="shared" si="1"/>
        <v>187133.995</v>
      </c>
      <c r="G208" s="380">
        <f t="shared" si="1"/>
        <v>173493.44499999998</v>
      </c>
      <c r="H208" s="381">
        <f t="shared" si="1"/>
        <v>143441.78750000001</v>
      </c>
    </row>
    <row r="209" spans="1:8">
      <c r="C209" s="87" t="s">
        <v>1918</v>
      </c>
      <c r="D209" s="382">
        <f>D206/D208</f>
        <v>0.19732714291765288</v>
      </c>
      <c r="E209" s="382">
        <f t="shared" ref="E209:H209" si="2">E206/E208</f>
        <v>0.13201369740365823</v>
      </c>
      <c r="F209" s="382">
        <f t="shared" si="2"/>
        <v>0.12569068490201366</v>
      </c>
      <c r="G209" s="382">
        <f t="shared" si="2"/>
        <v>0.1540634575559901</v>
      </c>
      <c r="H209" s="383">
        <f t="shared" si="2"/>
        <v>0.17883212728368991</v>
      </c>
    </row>
    <row r="210" spans="1:8">
      <c r="C210" s="92" t="s">
        <v>1919</v>
      </c>
      <c r="D210" s="193">
        <f>D207/D208</f>
        <v>0.80267285708234726</v>
      </c>
      <c r="E210" s="193">
        <f t="shared" ref="E210:H210" si="3">E207/E208</f>
        <v>0.8679863025963418</v>
      </c>
      <c r="F210" s="193">
        <f t="shared" si="3"/>
        <v>0.87430931509798637</v>
      </c>
      <c r="G210" s="193">
        <f t="shared" si="3"/>
        <v>0.84593654244400984</v>
      </c>
      <c r="H210" s="194">
        <f t="shared" si="3"/>
        <v>0.82116787271631009</v>
      </c>
    </row>
    <row r="211" spans="1:8">
      <c r="C211" s="124" t="s">
        <v>1920</v>
      </c>
      <c r="D211" s="209">
        <f>D206/D207</f>
        <v>0.24583756779184179</v>
      </c>
      <c r="E211" s="209">
        <f t="shared" ref="E211:H211" si="4">E206/E207</f>
        <v>0.15209191321196619</v>
      </c>
      <c r="F211" s="209">
        <f t="shared" si="4"/>
        <v>0.14375997456681239</v>
      </c>
      <c r="G211" s="209">
        <f t="shared" si="4"/>
        <v>0.18212176661724849</v>
      </c>
      <c r="H211" s="210">
        <f t="shared" si="4"/>
        <v>0.21777779334222841</v>
      </c>
    </row>
    <row r="213" spans="1:8">
      <c r="D213" s="5" t="s">
        <v>1923</v>
      </c>
    </row>
    <row r="214" spans="1:8">
      <c r="B214" s="5"/>
      <c r="C214" s="347" t="s">
        <v>1921</v>
      </c>
      <c r="D214" s="384">
        <f>AVERAGE(D211:H211)</f>
        <v>0.18831780310601948</v>
      </c>
    </row>
    <row r="215" spans="1:8">
      <c r="B215" s="5" t="s">
        <v>9</v>
      </c>
      <c r="C215" s="11" t="s">
        <v>1922</v>
      </c>
      <c r="D215" s="375">
        <f>D214</f>
        <v>0.18831780310601948</v>
      </c>
    </row>
    <row r="216" spans="1:8">
      <c r="B216" s="5"/>
      <c r="C216" s="5"/>
      <c r="D216" s="216"/>
    </row>
    <row r="218" spans="1:8">
      <c r="A218" s="5">
        <v>5</v>
      </c>
      <c r="E218" s="63" t="s">
        <v>1929</v>
      </c>
      <c r="F218" s="63" t="s">
        <v>1930</v>
      </c>
      <c r="G218" s="5" t="s">
        <v>1931</v>
      </c>
    </row>
    <row r="219" spans="1:8">
      <c r="B219" s="5" t="s">
        <v>1924</v>
      </c>
      <c r="C219" s="666" t="s">
        <v>1925</v>
      </c>
      <c r="D219" s="667"/>
      <c r="E219" s="385" t="s">
        <v>1926</v>
      </c>
      <c r="F219" s="385" t="s">
        <v>1927</v>
      </c>
      <c r="G219" s="386" t="s">
        <v>1928</v>
      </c>
    </row>
    <row r="220" spans="1:8">
      <c r="C220" s="87"/>
      <c r="D220" s="88"/>
      <c r="E220" s="88"/>
      <c r="F220" s="88"/>
      <c r="G220" s="89"/>
    </row>
    <row r="221" spans="1:8">
      <c r="C221" s="92" t="s">
        <v>1913</v>
      </c>
      <c r="E221" s="216">
        <f>$D$28</f>
        <v>4.2599999999999999E-2</v>
      </c>
      <c r="F221" s="216">
        <f t="shared" ref="F221:G221" si="5">$D$28</f>
        <v>4.2599999999999999E-2</v>
      </c>
      <c r="G221" s="217">
        <f t="shared" si="5"/>
        <v>4.2599999999999999E-2</v>
      </c>
    </row>
    <row r="222" spans="1:8">
      <c r="C222" s="92" t="s">
        <v>1859</v>
      </c>
      <c r="E222" s="199">
        <f>D81</f>
        <v>1.0740135379433016</v>
      </c>
      <c r="F222" s="199">
        <f>E189</f>
        <v>1.0112400443229901</v>
      </c>
      <c r="G222" s="200">
        <f>'Workshop #8'!D129</f>
        <v>1.0426267911331459</v>
      </c>
    </row>
    <row r="223" spans="1:8">
      <c r="C223" s="92" t="s">
        <v>1932</v>
      </c>
      <c r="E223" s="216">
        <f>$D$215</f>
        <v>0.18831780310601948</v>
      </c>
      <c r="F223" s="216">
        <f t="shared" ref="F223:G223" si="6">$D$215</f>
        <v>0.18831780310601948</v>
      </c>
      <c r="G223" s="217">
        <f t="shared" si="6"/>
        <v>0.18831780310601948</v>
      </c>
    </row>
    <row r="224" spans="1:8">
      <c r="C224" s="92" t="s">
        <v>1933</v>
      </c>
      <c r="E224" s="216">
        <f>$F$39</f>
        <v>5.1000000000000004E-2</v>
      </c>
      <c r="F224" s="216">
        <f t="shared" ref="F224:G224" si="7">$F$39</f>
        <v>5.1000000000000004E-2</v>
      </c>
      <c r="G224" s="217">
        <f t="shared" si="7"/>
        <v>5.1000000000000004E-2</v>
      </c>
    </row>
    <row r="225" spans="2:7">
      <c r="C225" s="92" t="s">
        <v>1934</v>
      </c>
      <c r="E225" s="387">
        <f>$E$199</f>
        <v>4.8738912133891213E-2</v>
      </c>
      <c r="F225" s="387">
        <f>$E$199</f>
        <v>4.8738912133891213E-2</v>
      </c>
      <c r="G225" s="194">
        <f>$E$199</f>
        <v>4.8738912133891213E-2</v>
      </c>
    </row>
    <row r="226" spans="2:7">
      <c r="C226" s="92" t="s">
        <v>1935</v>
      </c>
      <c r="E226" s="216">
        <f>$D$202</f>
        <v>0.19113413932066781</v>
      </c>
      <c r="F226" s="216">
        <f t="shared" ref="F226:G226" si="8">$D$202</f>
        <v>0.19113413932066781</v>
      </c>
      <c r="G226" s="217">
        <f t="shared" si="8"/>
        <v>0.19113413932066781</v>
      </c>
    </row>
    <row r="227" spans="2:7">
      <c r="C227" s="92" t="s">
        <v>1936</v>
      </c>
      <c r="E227" s="216">
        <f>E221+E222*E224</f>
        <v>9.737469043510838E-2</v>
      </c>
      <c r="F227" s="216">
        <f t="shared" ref="F227:G227" si="9">F221+F222*F224</f>
        <v>9.4173242260472495E-2</v>
      </c>
      <c r="G227" s="217">
        <f t="shared" si="9"/>
        <v>9.5773966347790451E-2</v>
      </c>
    </row>
    <row r="228" spans="2:7">
      <c r="C228" s="92" t="s">
        <v>1937</v>
      </c>
      <c r="E228" s="216">
        <f>(E227+E223*E225)/(1+E223)</f>
        <v>8.9667170697461648E-2</v>
      </c>
      <c r="F228" s="216">
        <f t="shared" ref="F228:G228" si="10">(F227+F223*F225)/(1+F223)</f>
        <v>8.6973069703377454E-2</v>
      </c>
      <c r="G228" s="217">
        <f t="shared" si="10"/>
        <v>8.8320120200419558E-2</v>
      </c>
    </row>
    <row r="229" spans="2:7">
      <c r="C229" s="124" t="s">
        <v>1938</v>
      </c>
      <c r="D229" s="125"/>
      <c r="E229" s="225">
        <f>(E227+E223*(E225*(1-E226)))/(1+E223)</f>
        <v>8.8190876638377436E-2</v>
      </c>
      <c r="F229" s="225">
        <f t="shared" ref="F229:G229" si="11">(F227+F223*(F225*(1-F226)))/(1+F223)</f>
        <v>8.5496775644293241E-2</v>
      </c>
      <c r="G229" s="388">
        <f t="shared" si="11"/>
        <v>8.6843826141335345E-2</v>
      </c>
    </row>
    <row r="231" spans="2:7">
      <c r="B231" s="5" t="s">
        <v>15</v>
      </c>
      <c r="D231" s="389" t="s">
        <v>1939</v>
      </c>
      <c r="E231" s="390" t="s">
        <v>1940</v>
      </c>
      <c r="F231" s="662" t="s">
        <v>1941</v>
      </c>
      <c r="G231" s="663"/>
    </row>
    <row r="232" spans="2:7">
      <c r="C232" s="84" t="s">
        <v>1942</v>
      </c>
      <c r="D232" s="205">
        <v>0.37140000000000001</v>
      </c>
      <c r="E232" s="207">
        <f>AVERAGE(D209:H209)</f>
        <v>0.15758542201260095</v>
      </c>
      <c r="F232" s="664">
        <f>(E232-D232)/D232</f>
        <v>-0.5756989175751186</v>
      </c>
      <c r="G232" s="665"/>
    </row>
    <row r="233" spans="2:7">
      <c r="C233" s="85" t="s">
        <v>1943</v>
      </c>
      <c r="D233" s="215">
        <v>0.62860000000000005</v>
      </c>
      <c r="E233" s="217">
        <f>AVERAGE(D210:H210)</f>
        <v>0.84241457798739905</v>
      </c>
      <c r="F233" s="658">
        <f t="shared" ref="F233:F239" si="12">(E233-D233)/D233</f>
        <v>0.34014409479382596</v>
      </c>
      <c r="G233" s="659"/>
    </row>
    <row r="234" spans="2:7">
      <c r="C234" s="85" t="s">
        <v>1944</v>
      </c>
      <c r="D234" s="391">
        <f>D232/D233</f>
        <v>0.59083678014635699</v>
      </c>
      <c r="E234" s="217">
        <f>G223</f>
        <v>0.18831780310601948</v>
      </c>
      <c r="F234" s="658">
        <f t="shared" si="12"/>
        <v>-0.68126932947645713</v>
      </c>
      <c r="G234" s="659"/>
    </row>
    <row r="235" spans="2:7">
      <c r="C235" s="85" t="s">
        <v>1859</v>
      </c>
      <c r="D235" s="393">
        <v>1.03</v>
      </c>
      <c r="E235" s="394">
        <f>G222</f>
        <v>1.0426267911331459</v>
      </c>
      <c r="F235" s="658">
        <f t="shared" si="12"/>
        <v>1.2259020517617387E-2</v>
      </c>
      <c r="G235" s="659"/>
    </row>
    <row r="236" spans="2:7">
      <c r="C236" s="85" t="s">
        <v>1934</v>
      </c>
      <c r="D236" s="215">
        <v>3.2599999999999997E-2</v>
      </c>
      <c r="E236" s="217">
        <f>G225</f>
        <v>4.8738912133891213E-2</v>
      </c>
      <c r="F236" s="658">
        <f t="shared" si="12"/>
        <v>0.495058654413841</v>
      </c>
      <c r="G236" s="659"/>
    </row>
    <row r="237" spans="2:7">
      <c r="C237" s="85" t="s">
        <v>1945</v>
      </c>
      <c r="D237" s="215">
        <v>0.2135</v>
      </c>
      <c r="E237" s="217">
        <f>G226</f>
        <v>0.19113413932066781</v>
      </c>
      <c r="F237" s="658">
        <f t="shared" si="12"/>
        <v>-0.10475812964558402</v>
      </c>
      <c r="G237" s="659"/>
    </row>
    <row r="238" spans="2:7">
      <c r="C238" s="85" t="s">
        <v>1946</v>
      </c>
      <c r="D238" s="215">
        <v>7.7299999999999994E-2</v>
      </c>
      <c r="E238" s="217">
        <f>G227</f>
        <v>9.5773966347790451E-2</v>
      </c>
      <c r="F238" s="658">
        <f t="shared" si="12"/>
        <v>0.23899050902704347</v>
      </c>
      <c r="G238" s="659"/>
    </row>
    <row r="239" spans="2:7">
      <c r="C239" s="345" t="s">
        <v>1947</v>
      </c>
      <c r="D239" s="392">
        <v>5.8099999999999999E-2</v>
      </c>
      <c r="E239" s="352">
        <f>G229</f>
        <v>8.6843826141335345E-2</v>
      </c>
      <c r="F239" s="660">
        <f t="shared" si="12"/>
        <v>0.49473022618477364</v>
      </c>
      <c r="G239" s="661"/>
    </row>
    <row r="240" spans="2:7">
      <c r="C240" s="63" t="s">
        <v>1950</v>
      </c>
    </row>
  </sheetData>
  <mergeCells count="15">
    <mergeCell ref="C219:D219"/>
    <mergeCell ref="C30:E30"/>
    <mergeCell ref="C31:E31"/>
    <mergeCell ref="C37:E37"/>
    <mergeCell ref="C38:E38"/>
    <mergeCell ref="C39:E39"/>
    <mergeCell ref="F236:G236"/>
    <mergeCell ref="F237:G237"/>
    <mergeCell ref="F238:G238"/>
    <mergeCell ref="F239:G239"/>
    <mergeCell ref="F231:G231"/>
    <mergeCell ref="F232:G232"/>
    <mergeCell ref="F233:G233"/>
    <mergeCell ref="F234:G234"/>
    <mergeCell ref="F235:G235"/>
  </mergeCells>
  <pageMargins left="0.7" right="0.7" top="0.75" bottom="0.75" header="0.3" footer="0.3"/>
  <ignoredErrors>
    <ignoredError sqref="E235" formula="1"/>
  </ignoredError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0D34A-D4AB-F14A-ACC1-E7D7FB176299}">
  <dimension ref="B2:J152"/>
  <sheetViews>
    <sheetView workbookViewId="0">
      <selection activeCell="D51" sqref="D51"/>
    </sheetView>
  </sheetViews>
  <sheetFormatPr baseColWidth="10" defaultColWidth="10.83203125" defaultRowHeight="16"/>
  <cols>
    <col min="1" max="2" width="10.83203125" style="425"/>
    <col min="3" max="3" width="40.83203125" style="425" bestFit="1" customWidth="1"/>
    <col min="4" max="4" width="20.33203125" style="425" bestFit="1" customWidth="1"/>
    <col min="5" max="6" width="11.83203125" style="425" bestFit="1" customWidth="1"/>
    <col min="7" max="8" width="16.5" style="425" bestFit="1" customWidth="1"/>
    <col min="9" max="9" width="11.83203125" style="425" bestFit="1" customWidth="1"/>
    <col min="10" max="16384" width="10.83203125" style="425"/>
  </cols>
  <sheetData>
    <row r="2" spans="2:10" ht="24">
      <c r="B2" s="423" t="s">
        <v>2170</v>
      </c>
    </row>
    <row r="3" spans="2:10">
      <c r="B3" s="424"/>
    </row>
    <row r="4" spans="2:10">
      <c r="B4" s="424" t="s">
        <v>2171</v>
      </c>
    </row>
    <row r="5" spans="2:10">
      <c r="B5" s="424" t="s">
        <v>23</v>
      </c>
    </row>
    <row r="6" spans="2:10">
      <c r="B6" s="424" t="s">
        <v>3</v>
      </c>
    </row>
    <row r="7" spans="2:10">
      <c r="B7" s="424" t="s">
        <v>24</v>
      </c>
    </row>
    <row r="10" spans="2:10">
      <c r="B10" s="425">
        <v>1</v>
      </c>
    </row>
    <row r="11" spans="2:10" ht="17" thickBot="1">
      <c r="B11" s="426" t="s">
        <v>5</v>
      </c>
      <c r="C11" s="515" t="s">
        <v>2172</v>
      </c>
      <c r="D11" s="516"/>
      <c r="E11" s="516"/>
      <c r="F11" s="516">
        <v>2020</v>
      </c>
      <c r="G11" s="516">
        <v>2021</v>
      </c>
      <c r="H11" s="516">
        <v>2022</v>
      </c>
      <c r="I11" s="516">
        <v>2023</v>
      </c>
      <c r="J11" s="517">
        <v>2024</v>
      </c>
    </row>
    <row r="12" spans="2:10">
      <c r="C12" s="471" t="s">
        <v>71</v>
      </c>
      <c r="F12" s="518">
        <f>Financials!B14</f>
        <v>7836</v>
      </c>
      <c r="G12" s="518">
        <f>Financials!C14</f>
        <v>13107</v>
      </c>
      <c r="H12" s="518">
        <f>Financials!D14</f>
        <v>12968</v>
      </c>
      <c r="I12" s="518">
        <f>Financials!E14</f>
        <v>9371</v>
      </c>
      <c r="J12" s="518">
        <f>Financials!F14</f>
        <v>8685</v>
      </c>
    </row>
    <row r="13" spans="2:10">
      <c r="C13" s="471" t="s">
        <v>2173</v>
      </c>
      <c r="F13" s="450">
        <f>1-(Financials!B28/Financials!B27)</f>
        <v>0.7283080260303687</v>
      </c>
      <c r="G13" s="450">
        <f>1-(Financials!C28/Financials!C27)</f>
        <v>0.77673998192226579</v>
      </c>
      <c r="H13" s="450">
        <f>1-(Financials!D28/Financials!D27)</f>
        <v>0.77895446880269814</v>
      </c>
      <c r="I13" s="450">
        <f>1-(Financials!E28/Financials!E27)</f>
        <v>0.78245654963256739</v>
      </c>
      <c r="J13" s="450">
        <f>1-(Financials!F28/Financials!F27)</f>
        <v>0.77694168234345606</v>
      </c>
    </row>
    <row r="14" spans="2:10">
      <c r="C14" s="471" t="s">
        <v>2174</v>
      </c>
      <c r="F14" s="520">
        <f>F12*F13</f>
        <v>5707.0216919739696</v>
      </c>
      <c r="G14" s="520">
        <f t="shared" ref="G14:J14" si="0">G12*G13</f>
        <v>10180.730943055138</v>
      </c>
      <c r="H14" s="520">
        <f t="shared" si="0"/>
        <v>10101.48155143339</v>
      </c>
      <c r="I14" s="520">
        <f t="shared" si="0"/>
        <v>7332.4003266067893</v>
      </c>
      <c r="J14" s="521">
        <f t="shared" si="0"/>
        <v>6747.7385111529156</v>
      </c>
    </row>
    <row r="15" spans="2:10">
      <c r="C15" s="471" t="s">
        <v>2175</v>
      </c>
      <c r="F15" s="518">
        <f>Financials!B68</f>
        <v>35327</v>
      </c>
      <c r="G15" s="518">
        <f>Financials!C68</f>
        <v>37037</v>
      </c>
      <c r="H15" s="518">
        <f>Financials!D68</f>
        <v>38474</v>
      </c>
      <c r="I15" s="518">
        <f>Financials!E68</f>
        <v>41253</v>
      </c>
      <c r="J15" s="518">
        <f>Financials!F68</f>
        <v>41328</v>
      </c>
    </row>
    <row r="16" spans="2:10">
      <c r="C16" s="471" t="s">
        <v>2176</v>
      </c>
      <c r="F16" s="518">
        <f>Financials!B67-Financials!B94</f>
        <v>3200</v>
      </c>
      <c r="G16" s="518">
        <f>Financials!C67-Financials!C94</f>
        <v>7365</v>
      </c>
      <c r="H16" s="518">
        <f>Financials!D67-Financials!D94</f>
        <v>4077</v>
      </c>
      <c r="I16" s="518">
        <f>Financials!E67-Financials!E94</f>
        <v>1737</v>
      </c>
      <c r="J16" s="518">
        <f>Financials!F67-Financials!F94</f>
        <v>2869</v>
      </c>
    </row>
    <row r="17" spans="2:10">
      <c r="C17" s="471" t="s">
        <v>2177</v>
      </c>
      <c r="F17" s="518">
        <f>Financials!B55</f>
        <v>6316</v>
      </c>
      <c r="G17" s="518">
        <f>Financials!C55</f>
        <v>10593</v>
      </c>
      <c r="H17" s="518">
        <f>Financials!D55</f>
        <v>7595</v>
      </c>
      <c r="I17" s="518">
        <f>Financials!E55</f>
        <v>6072</v>
      </c>
      <c r="J17" s="518">
        <f>Financials!F55</f>
        <v>6318</v>
      </c>
    </row>
    <row r="18" spans="2:10">
      <c r="C18" s="471" t="s">
        <v>2178</v>
      </c>
      <c r="F18" s="518">
        <f>F15+F16-F17</f>
        <v>32211</v>
      </c>
      <c r="G18" s="518">
        <f t="shared" ref="G18:J18" si="1">G15+G16-G17</f>
        <v>33809</v>
      </c>
      <c r="H18" s="518">
        <f t="shared" si="1"/>
        <v>34956</v>
      </c>
      <c r="I18" s="518">
        <f t="shared" si="1"/>
        <v>36918</v>
      </c>
      <c r="J18" s="519">
        <f t="shared" si="1"/>
        <v>37879</v>
      </c>
    </row>
    <row r="19" spans="2:10">
      <c r="C19" s="415" t="s">
        <v>2179</v>
      </c>
      <c r="D19" s="416"/>
      <c r="E19" s="416"/>
      <c r="F19" s="522">
        <f>F14/F18</f>
        <v>0.17717617248685139</v>
      </c>
      <c r="G19" s="522">
        <f t="shared" ref="G19:J19" si="2">G14/G18</f>
        <v>0.30112487630675672</v>
      </c>
      <c r="H19" s="522">
        <f t="shared" si="2"/>
        <v>0.28897704403917468</v>
      </c>
      <c r="I19" s="522">
        <f t="shared" si="2"/>
        <v>0.19861315148726338</v>
      </c>
      <c r="J19" s="523">
        <f t="shared" si="2"/>
        <v>0.17813929911436194</v>
      </c>
    </row>
    <row r="20" spans="2:10">
      <c r="C20" s="427"/>
      <c r="D20" s="428"/>
      <c r="E20" s="428"/>
      <c r="F20" s="478"/>
    </row>
    <row r="21" spans="2:10">
      <c r="C21" s="412" t="s">
        <v>2180</v>
      </c>
      <c r="D21" s="413"/>
      <c r="E21" s="413"/>
      <c r="F21" s="414">
        <f>AVERAGE(F19:J19)</f>
        <v>0.22880610868688164</v>
      </c>
    </row>
    <row r="22" spans="2:10">
      <c r="C22" s="415" t="s">
        <v>2181</v>
      </c>
      <c r="D22" s="416"/>
      <c r="E22" s="416"/>
      <c r="F22" s="523">
        <f>AVERAGE(F19,I19,J19)</f>
        <v>0.18464287436282559</v>
      </c>
    </row>
    <row r="24" spans="2:10" ht="17" thickBot="1">
      <c r="B24" s="426" t="s">
        <v>7</v>
      </c>
      <c r="C24" s="515" t="s">
        <v>2182</v>
      </c>
      <c r="D24" s="517" t="s">
        <v>2179</v>
      </c>
    </row>
    <row r="25" spans="2:10" ht="17" thickBot="1">
      <c r="C25" s="524" t="s">
        <v>379</v>
      </c>
      <c r="D25" s="525">
        <f>'Selective Comparable Firms'!BK5</f>
        <v>9.5500000000000002E-2</v>
      </c>
    </row>
    <row r="26" spans="2:10">
      <c r="C26" s="526" t="s">
        <v>432</v>
      </c>
      <c r="D26" s="525">
        <f>'Selective Comparable Firms'!BK6</f>
        <v>0.1145</v>
      </c>
    </row>
    <row r="27" spans="2:10">
      <c r="C27" s="527" t="s">
        <v>1774</v>
      </c>
      <c r="D27" s="451">
        <f>'Selective Comparable Firms'!BK8</f>
        <v>9.9165988146697248E-2</v>
      </c>
    </row>
    <row r="28" spans="2:10">
      <c r="C28" s="420" t="s">
        <v>2183</v>
      </c>
      <c r="D28" s="421">
        <f>AVERAGE(D25:D27)</f>
        <v>0.10305532938223243</v>
      </c>
    </row>
    <row r="30" spans="2:10">
      <c r="B30" s="426" t="s">
        <v>1964</v>
      </c>
      <c r="C30" s="427" t="s">
        <v>2184</v>
      </c>
      <c r="D30" s="428"/>
      <c r="E30" s="428"/>
      <c r="F30" s="428"/>
      <c r="G30" s="428"/>
      <c r="H30" s="447">
        <v>0.13</v>
      </c>
    </row>
    <row r="31" spans="2:10">
      <c r="C31" s="430" t="s">
        <v>2185</v>
      </c>
      <c r="D31" s="431"/>
      <c r="E31" s="431"/>
      <c r="F31" s="431"/>
      <c r="G31" s="431"/>
      <c r="H31" s="455">
        <f>AVERAGE(F22,D28)</f>
        <v>0.143849101872529</v>
      </c>
    </row>
    <row r="32" spans="2:10">
      <c r="C32" s="420" t="s">
        <v>2186</v>
      </c>
      <c r="D32" s="417"/>
      <c r="E32" s="421">
        <f>AVERAGE(H30,H31)</f>
        <v>0.13692455093626449</v>
      </c>
    </row>
    <row r="35" spans="2:9">
      <c r="B35" s="425">
        <v>2</v>
      </c>
    </row>
    <row r="36" spans="2:9">
      <c r="C36" s="528" t="s">
        <v>2187</v>
      </c>
    </row>
    <row r="37" spans="2:9">
      <c r="C37" s="427" t="s">
        <v>2188</v>
      </c>
      <c r="D37" s="428"/>
      <c r="E37" s="447">
        <f>'Workshop #6'!E239</f>
        <v>8.6843826141335345E-2</v>
      </c>
    </row>
    <row r="38" spans="2:9">
      <c r="C38" s="430" t="s">
        <v>2189</v>
      </c>
      <c r="D38" s="431"/>
      <c r="E38" s="455">
        <f>'Workshop #4'!G140</f>
        <v>2.5000000000000001E-2</v>
      </c>
    </row>
    <row r="40" spans="2:9">
      <c r="C40" s="427"/>
      <c r="D40" s="529">
        <v>2024</v>
      </c>
      <c r="E40" s="529">
        <v>2025</v>
      </c>
      <c r="F40" s="529">
        <v>2026</v>
      </c>
      <c r="G40" s="529">
        <v>2027</v>
      </c>
      <c r="H40" s="529">
        <v>2028</v>
      </c>
      <c r="I40" s="530">
        <v>2029</v>
      </c>
    </row>
    <row r="41" spans="2:9">
      <c r="C41" s="471" t="s">
        <v>2190</v>
      </c>
      <c r="D41" s="518">
        <f>Financials!$F$133+Financials!$F$135</f>
        <v>307</v>
      </c>
      <c r="E41" s="518">
        <f>D$41*(100%+'Workshop #4'!$G$139)</f>
        <v>319.28000000000003</v>
      </c>
      <c r="F41" s="518">
        <f>E$41*(100%+'Workshop #4'!$G$139)</f>
        <v>332.05120000000005</v>
      </c>
      <c r="G41" s="518">
        <f>F$41*(100%+'Workshop #4'!$G$139)</f>
        <v>345.33324800000008</v>
      </c>
      <c r="H41" s="518">
        <f>G$41*(100%+'Workshop #4'!$G$139)</f>
        <v>359.14657792000008</v>
      </c>
      <c r="I41" s="518">
        <f>H$41*(100%+'Workshop #4'!$G$139)</f>
        <v>373.51244103680011</v>
      </c>
    </row>
    <row r="42" spans="2:9">
      <c r="C42" s="471" t="s">
        <v>2191</v>
      </c>
      <c r="I42" s="531">
        <f>(I41*(100%+E38))/(E37-E38)</f>
        <v>6190.5977677993242</v>
      </c>
    </row>
    <row r="43" spans="2:9">
      <c r="C43" s="471" t="s">
        <v>2192</v>
      </c>
      <c r="E43" s="532">
        <f>E41/((100%+$E$37)^1)</f>
        <v>293.76805785754192</v>
      </c>
      <c r="F43" s="532">
        <f>F41/((100%+$E$37)^2)</f>
        <v>281.10642285795473</v>
      </c>
      <c r="G43" s="532">
        <f>G41/((100%+$E$37)^3)</f>
        <v>268.99051431355792</v>
      </c>
      <c r="H43" s="532">
        <f>H41/((100%+$E$37)^4)</f>
        <v>257.39681098369783</v>
      </c>
      <c r="I43" s="533">
        <f>I41/((100%+$E$37)^5)</f>
        <v>246.30280541174503</v>
      </c>
    </row>
    <row r="44" spans="2:9">
      <c r="C44" s="471" t="s">
        <v>2193</v>
      </c>
      <c r="D44" s="532">
        <f>I42/((100%+E37)^5)</f>
        <v>4082.2243916486673</v>
      </c>
      <c r="E44" s="427"/>
      <c r="F44" s="428"/>
      <c r="G44" s="428"/>
      <c r="H44" s="428"/>
      <c r="I44" s="428"/>
    </row>
    <row r="45" spans="2:9">
      <c r="C45" s="471"/>
      <c r="E45" s="471"/>
    </row>
    <row r="46" spans="2:9">
      <c r="B46" s="426" t="s">
        <v>1957</v>
      </c>
      <c r="C46" s="473" t="s">
        <v>2194</v>
      </c>
      <c r="D46" s="534">
        <f>SUM(E43:I43)</f>
        <v>1347.5646114244976</v>
      </c>
      <c r="G46" s="532"/>
    </row>
    <row r="47" spans="2:9">
      <c r="B47" s="426"/>
      <c r="C47" s="471" t="s">
        <v>2195</v>
      </c>
      <c r="D47" s="534">
        <f>D44</f>
        <v>4082.2243916486673</v>
      </c>
    </row>
    <row r="48" spans="2:9">
      <c r="B48" s="426"/>
      <c r="C48" s="471" t="s">
        <v>2196</v>
      </c>
      <c r="D48" s="534">
        <f>D46+D44</f>
        <v>5429.7890030731651</v>
      </c>
    </row>
    <row r="49" spans="2:9">
      <c r="B49" s="426" t="s">
        <v>1841</v>
      </c>
      <c r="C49" s="473" t="s">
        <v>2197</v>
      </c>
      <c r="D49" s="534">
        <f>((100%+E37)^0.5)*D48</f>
        <v>5660.6528912219765</v>
      </c>
    </row>
    <row r="50" spans="2:9">
      <c r="B50" s="426" t="s">
        <v>1958</v>
      </c>
      <c r="C50" s="471" t="s">
        <v>2198</v>
      </c>
      <c r="D50" s="519">
        <f>'Workshop #5'!E45</f>
        <v>6318</v>
      </c>
    </row>
    <row r="51" spans="2:9">
      <c r="B51" s="426" t="s">
        <v>2199</v>
      </c>
      <c r="C51" s="471" t="s">
        <v>2200</v>
      </c>
      <c r="D51" s="519">
        <f>'Workshop #5'!E60+'Workshop #5'!E63</f>
        <v>25652</v>
      </c>
    </row>
    <row r="52" spans="2:9">
      <c r="B52" s="426" t="s">
        <v>2201</v>
      </c>
      <c r="C52" s="483" t="s">
        <v>2202</v>
      </c>
      <c r="D52" s="535">
        <f>D49+D50-D51</f>
        <v>-13673.347108778024</v>
      </c>
    </row>
    <row r="53" spans="2:9">
      <c r="B53" s="426"/>
      <c r="C53" s="471" t="s">
        <v>2203</v>
      </c>
      <c r="D53" s="519">
        <f>Financials!F39</f>
        <v>855</v>
      </c>
    </row>
    <row r="54" spans="2:9">
      <c r="B54" s="426" t="s">
        <v>2204</v>
      </c>
      <c r="C54" s="338" t="s">
        <v>2205</v>
      </c>
      <c r="D54" s="536">
        <f>D52/D53</f>
        <v>-15.992218840676051</v>
      </c>
    </row>
    <row r="57" spans="2:9">
      <c r="B57" s="425">
        <v>3</v>
      </c>
    </row>
    <row r="58" spans="2:9">
      <c r="B58" s="426" t="s">
        <v>5</v>
      </c>
      <c r="C58" s="537" t="s">
        <v>2206</v>
      </c>
      <c r="D58" s="443"/>
      <c r="E58" s="425" t="s">
        <v>2293</v>
      </c>
    </row>
    <row r="59" spans="2:9">
      <c r="C59" s="471" t="s">
        <v>2207</v>
      </c>
      <c r="D59" s="451">
        <f>'Workshop #6'!G227</f>
        <v>9.5773966347790451E-2</v>
      </c>
    </row>
    <row r="60" spans="2:9">
      <c r="C60" s="430" t="s">
        <v>2208</v>
      </c>
      <c r="D60" s="455">
        <f>'Workshop #6'!G226</f>
        <v>0.19113413932066781</v>
      </c>
    </row>
    <row r="62" spans="2:9">
      <c r="C62" s="427"/>
      <c r="D62" s="529">
        <v>2024</v>
      </c>
      <c r="E62" s="529">
        <v>2025</v>
      </c>
      <c r="F62" s="529">
        <v>2026</v>
      </c>
      <c r="G62" s="529">
        <v>2027</v>
      </c>
      <c r="H62" s="529">
        <v>2028</v>
      </c>
      <c r="I62" s="530">
        <v>2029</v>
      </c>
    </row>
    <row r="63" spans="2:9">
      <c r="C63" s="471" t="s">
        <v>2190</v>
      </c>
      <c r="D63" s="518">
        <f>Financials!F133+Financials!F135</f>
        <v>307</v>
      </c>
      <c r="E63" s="518">
        <f>D$41*(100%+'Workshop #4'!$G$139)</f>
        <v>319.28000000000003</v>
      </c>
      <c r="F63" s="518">
        <f>E$41*(100%+'Workshop #4'!$G$139)</f>
        <v>332.05120000000005</v>
      </c>
      <c r="G63" s="518">
        <f>F$41*(100%+'Workshop #4'!$G$139)</f>
        <v>345.33324800000008</v>
      </c>
      <c r="H63" s="518">
        <f>G$41*(100%+'Workshop #4'!$G$139)</f>
        <v>359.14657792000008</v>
      </c>
      <c r="I63" s="518">
        <f>H$41*(100%+'Workshop #4'!$G$139)</f>
        <v>373.51244103680011</v>
      </c>
    </row>
    <row r="64" spans="2:9">
      <c r="C64" s="471" t="s">
        <v>42</v>
      </c>
      <c r="D64" s="518">
        <f>'Workshop #5'!E33</f>
        <v>861</v>
      </c>
      <c r="E64" s="518">
        <f>($D$64/$D$51)*($D$51*(100%+'Workshop #4'!$G$139)^3)</f>
        <v>968.50790399999994</v>
      </c>
      <c r="F64" s="518">
        <f>($D$64/$D$51)*($D$51*(100%+'Workshop #4'!$G$139)^2)</f>
        <v>931.25760000000002</v>
      </c>
      <c r="G64" s="518">
        <f>($D$64/$D$51)*($D$51*(100%+'Workshop #4'!$G$139)^3)</f>
        <v>968.50790399999994</v>
      </c>
      <c r="H64" s="518">
        <f>($D$64/$D$51)*($D$51*(100%+'Workshop #4'!$G$139)^4)</f>
        <v>1007.2482201600001</v>
      </c>
      <c r="I64" s="518">
        <f>($D$64/$D$51)*($D$51*(100%+'Workshop #4'!$G$139)^5)</f>
        <v>1047.5381489664003</v>
      </c>
    </row>
    <row r="65" spans="2:9">
      <c r="C65" s="471" t="s">
        <v>2209</v>
      </c>
      <c r="D65" s="518">
        <f>'Workshop #5'!E60</f>
        <v>2571</v>
      </c>
      <c r="E65" s="532">
        <f>($D$65/$D$67)*$E$67</f>
        <v>2673.84</v>
      </c>
      <c r="F65" s="532">
        <f>($D$65/$D$67)*$F$67</f>
        <v>2780.7936000000004</v>
      </c>
      <c r="G65" s="532">
        <f>($D$65/$D$67)*$G$67</f>
        <v>2892.0253440000006</v>
      </c>
      <c r="H65" s="532">
        <f>($D$65/$D$67)*$H$67</f>
        <v>3007.7063577600006</v>
      </c>
      <c r="I65" s="534">
        <f>($D$65/$D$67)*$I$67</f>
        <v>3128.0146120704007</v>
      </c>
    </row>
    <row r="66" spans="2:9">
      <c r="C66" s="471" t="s">
        <v>2210</v>
      </c>
      <c r="D66" s="518">
        <f>'[1]Workshop #5'!$D$115</f>
        <v>23081</v>
      </c>
      <c r="E66" s="532">
        <f>$E$67-$E$65</f>
        <v>24004.240000000002</v>
      </c>
      <c r="F66" s="532">
        <f>$F$67-$F$65</f>
        <v>24964.409600000003</v>
      </c>
      <c r="G66" s="532">
        <f>$G$67-$G$65</f>
        <v>25962.985984000003</v>
      </c>
      <c r="H66" s="532">
        <f>$H$67-$H$65</f>
        <v>27001.505423360002</v>
      </c>
      <c r="I66" s="534">
        <f>$I$67-$I$65</f>
        <v>28081.565640294404</v>
      </c>
    </row>
    <row r="67" spans="2:9">
      <c r="C67" s="471" t="s">
        <v>2211</v>
      </c>
      <c r="D67" s="518">
        <f>D65+D66</f>
        <v>25652</v>
      </c>
      <c r="E67" s="532">
        <f>D$67*(100%+'Workshop #4'!$G$139)</f>
        <v>26678.080000000002</v>
      </c>
      <c r="F67" s="532">
        <f>E$67*(100%+'Workshop #4'!$G$139)</f>
        <v>27745.203200000004</v>
      </c>
      <c r="G67" s="532">
        <f>F$67*(100%+'Workshop #4'!$G$139)</f>
        <v>28855.011328000004</v>
      </c>
      <c r="H67" s="532">
        <f>G$67*(100%+'Workshop #4'!$G$139)</f>
        <v>30009.211781120004</v>
      </c>
      <c r="I67" s="532">
        <f>H$67*(100%+'Workshop #4'!$G$139)</f>
        <v>31209.580252364805</v>
      </c>
    </row>
    <row r="68" spans="2:9">
      <c r="C68" s="471" t="s">
        <v>2212</v>
      </c>
      <c r="E68" s="532">
        <f>E67-D67</f>
        <v>1026.0800000000017</v>
      </c>
      <c r="F68" s="532">
        <f t="shared" ref="F68:I68" si="3">F67-E67</f>
        <v>1067.1232000000018</v>
      </c>
      <c r="G68" s="532">
        <f t="shared" si="3"/>
        <v>1109.8081280000006</v>
      </c>
      <c r="H68" s="532">
        <f t="shared" si="3"/>
        <v>1154.20045312</v>
      </c>
      <c r="I68" s="534">
        <f t="shared" si="3"/>
        <v>1200.3684712448012</v>
      </c>
    </row>
    <row r="69" spans="2:9">
      <c r="C69" s="471" t="s">
        <v>2213</v>
      </c>
      <c r="D69" s="532">
        <f>D63-(D64*(100%-$D$60))+D68</f>
        <v>-389.43350604490502</v>
      </c>
      <c r="E69" s="532">
        <f t="shared" ref="E69:I69" si="4">E63-(E64*(100%-$D$60))+E68</f>
        <v>561.96702065630575</v>
      </c>
      <c r="F69" s="532">
        <f t="shared" si="4"/>
        <v>645.91191986183253</v>
      </c>
      <c r="G69" s="532">
        <f t="shared" si="4"/>
        <v>671.74839665630475</v>
      </c>
      <c r="H69" s="532">
        <f t="shared" si="4"/>
        <v>698.6183325225561</v>
      </c>
      <c r="I69" s="534">
        <f t="shared" si="4"/>
        <v>726.56306582345951</v>
      </c>
    </row>
    <row r="70" spans="2:9">
      <c r="C70" s="471" t="s">
        <v>2214</v>
      </c>
      <c r="E70" s="532">
        <f>E69/(100%+$D$59)^1</f>
        <v>512.84939952473883</v>
      </c>
      <c r="F70" s="532">
        <f>F69/(100%+$D$59)^2</f>
        <v>537.93690868279486</v>
      </c>
      <c r="G70" s="532">
        <f>G69/(100%+$D$59)^3</f>
        <v>510.55637586898013</v>
      </c>
      <c r="H70" s="532">
        <f>H69/(100%+$D$59)^4</f>
        <v>484.56948897361366</v>
      </c>
      <c r="I70" s="534">
        <f>I69/(100%+$D$59)^5</f>
        <v>459.90531260039842</v>
      </c>
    </row>
    <row r="71" spans="2:9">
      <c r="C71" s="471" t="s">
        <v>2215</v>
      </c>
      <c r="D71" s="532">
        <f>SUM(E70:I70)</f>
        <v>2505.8174856505257</v>
      </c>
      <c r="I71" s="479"/>
    </row>
    <row r="72" spans="2:9">
      <c r="C72" s="471" t="s">
        <v>2191</v>
      </c>
      <c r="E72" s="431"/>
      <c r="F72" s="431"/>
      <c r="G72" s="431"/>
      <c r="H72" s="431"/>
      <c r="I72" s="533">
        <f>(I69*(100%+E38))/(D59-E38)</f>
        <v>10522.614188519281</v>
      </c>
    </row>
    <row r="73" spans="2:9">
      <c r="C73" s="471" t="s">
        <v>2195</v>
      </c>
      <c r="D73" s="534">
        <f>I72/(100%+D59)^5</f>
        <v>6660.6828717057688</v>
      </c>
    </row>
    <row r="74" spans="2:9">
      <c r="C74" s="471" t="s">
        <v>2216</v>
      </c>
      <c r="D74" s="534">
        <f>D71+D73</f>
        <v>9166.5003573562935</v>
      </c>
    </row>
    <row r="75" spans="2:9">
      <c r="C75" s="483" t="s">
        <v>2217</v>
      </c>
      <c r="D75" s="538">
        <f>((100%+D59)^0.5)*D74</f>
        <v>9595.421322173499</v>
      </c>
    </row>
    <row r="76" spans="2:9">
      <c r="C76" s="471" t="s">
        <v>2203</v>
      </c>
      <c r="D76" s="534">
        <f>D53</f>
        <v>855</v>
      </c>
    </row>
    <row r="77" spans="2:9">
      <c r="C77" s="338" t="s">
        <v>2205</v>
      </c>
      <c r="D77" s="536">
        <f>D75/D76</f>
        <v>11.222714996694151</v>
      </c>
    </row>
    <row r="80" spans="2:9">
      <c r="B80" s="426" t="s">
        <v>7</v>
      </c>
      <c r="C80" s="539" t="s">
        <v>2218</v>
      </c>
    </row>
    <row r="81" spans="2:9">
      <c r="C81" s="427" t="s">
        <v>2219</v>
      </c>
      <c r="D81" s="447">
        <f>'Workshop #6'!G228</f>
        <v>8.8320120200419558E-2</v>
      </c>
    </row>
    <row r="82" spans="2:9">
      <c r="C82" s="471" t="s">
        <v>2220</v>
      </c>
      <c r="D82" s="451">
        <f>'Workshop #6'!G225</f>
        <v>4.8738912133891213E-2</v>
      </c>
    </row>
    <row r="83" spans="2:9">
      <c r="C83" s="430" t="s">
        <v>2208</v>
      </c>
      <c r="D83" s="455">
        <f>D60</f>
        <v>0.19113413932066781</v>
      </c>
    </row>
    <row r="85" spans="2:9">
      <c r="C85" s="427"/>
      <c r="D85" s="529">
        <v>2024</v>
      </c>
      <c r="E85" s="529">
        <v>2025</v>
      </c>
      <c r="F85" s="529">
        <v>2026</v>
      </c>
      <c r="G85" s="529">
        <v>2027</v>
      </c>
      <c r="H85" s="529">
        <v>2028</v>
      </c>
      <c r="I85" s="530">
        <v>2029</v>
      </c>
    </row>
    <row r="86" spans="2:9">
      <c r="B86" s="426" t="s">
        <v>1957</v>
      </c>
      <c r="C86" s="471" t="s">
        <v>2221</v>
      </c>
      <c r="D86" s="540">
        <v>6213</v>
      </c>
      <c r="E86" s="540">
        <v>6462</v>
      </c>
      <c r="F86" s="540">
        <v>6720</v>
      </c>
      <c r="G86" s="540">
        <v>6989</v>
      </c>
      <c r="H86" s="540">
        <v>7268</v>
      </c>
      <c r="I86" s="541">
        <v>7559</v>
      </c>
    </row>
    <row r="87" spans="2:9">
      <c r="B87" s="426"/>
      <c r="C87" s="471" t="s">
        <v>2222</v>
      </c>
      <c r="E87" s="532">
        <f>E86/(100%+$D$81)</f>
        <v>5937.5912289575153</v>
      </c>
      <c r="F87" s="532">
        <f>F86/(100%+$D$81)^2</f>
        <v>5673.563978837843</v>
      </c>
      <c r="G87" s="532">
        <f>G86/(100%+$D$81)^3</f>
        <v>5421.8196324216788</v>
      </c>
      <c r="H87" s="532">
        <f>H86/(100%+$D$81)^4</f>
        <v>5180.6981097038652</v>
      </c>
      <c r="I87" s="534">
        <f>I86/(100%+$D$81)^5</f>
        <v>4950.8646589280088</v>
      </c>
    </row>
    <row r="88" spans="2:9">
      <c r="B88" s="426" t="s">
        <v>1841</v>
      </c>
      <c r="C88" s="471" t="s">
        <v>2215</v>
      </c>
      <c r="D88" s="532">
        <f>SUM(E87:I87)</f>
        <v>27164.537608848914</v>
      </c>
      <c r="I88" s="479"/>
    </row>
    <row r="89" spans="2:9">
      <c r="B89" s="426"/>
      <c r="C89" s="471" t="s">
        <v>2191</v>
      </c>
      <c r="I89" s="542">
        <f>(I86*(100%+E38))/(D81-E38)</f>
        <v>122361.97555336704</v>
      </c>
    </row>
    <row r="90" spans="2:9">
      <c r="B90" s="426"/>
      <c r="C90" s="471" t="s">
        <v>2195</v>
      </c>
      <c r="D90" s="425">
        <f>I89/(100%+D81)^5</f>
        <v>80142.55594176185</v>
      </c>
      <c r="I90" s="479"/>
    </row>
    <row r="91" spans="2:9">
      <c r="B91" s="426"/>
      <c r="C91" s="471" t="s">
        <v>2223</v>
      </c>
      <c r="D91" s="532">
        <f>D88+D90</f>
        <v>107307.09355061076</v>
      </c>
      <c r="I91" s="479"/>
    </row>
    <row r="92" spans="2:9">
      <c r="B92" s="426"/>
      <c r="C92" s="471" t="s">
        <v>2209</v>
      </c>
      <c r="D92" s="540">
        <v>2571</v>
      </c>
      <c r="E92" s="543">
        <v>2674</v>
      </c>
      <c r="F92" s="543">
        <v>2781</v>
      </c>
      <c r="G92" s="543">
        <v>2892</v>
      </c>
      <c r="H92" s="543">
        <v>3008</v>
      </c>
      <c r="I92" s="544">
        <v>3128</v>
      </c>
    </row>
    <row r="93" spans="2:9">
      <c r="B93" s="426"/>
      <c r="C93" s="471" t="s">
        <v>2210</v>
      </c>
      <c r="D93" s="518">
        <f>'Workshop #5'!$O$63</f>
        <v>23081</v>
      </c>
      <c r="E93" s="532">
        <f>$E$67-$E$65</f>
        <v>24004.240000000002</v>
      </c>
      <c r="F93" s="532">
        <f>$F$67-$F$65</f>
        <v>24964.409600000003</v>
      </c>
      <c r="G93" s="532">
        <f>$G$67-$G$65</f>
        <v>25962.985984000003</v>
      </c>
      <c r="H93" s="532">
        <f>$H$67-$H$65</f>
        <v>27001.505423360002</v>
      </c>
      <c r="I93" s="534">
        <f>$I$67-$I$65</f>
        <v>28081.565640294404</v>
      </c>
    </row>
    <row r="94" spans="2:9">
      <c r="B94" s="426"/>
      <c r="C94" s="471" t="s">
        <v>2211</v>
      </c>
      <c r="D94" s="518">
        <f>SUM(D92:D93)</f>
        <v>25652</v>
      </c>
      <c r="E94" s="518">
        <f t="shared" ref="E94:I94" si="5">SUM(E92:E93)</f>
        <v>26678.240000000002</v>
      </c>
      <c r="F94" s="518">
        <f t="shared" si="5"/>
        <v>27745.409600000003</v>
      </c>
      <c r="G94" s="518">
        <f t="shared" si="5"/>
        <v>28854.985984000003</v>
      </c>
      <c r="H94" s="518">
        <f t="shared" si="5"/>
        <v>30009.505423360002</v>
      </c>
      <c r="I94" s="519">
        <f t="shared" si="5"/>
        <v>31209.565640294404</v>
      </c>
    </row>
    <row r="95" spans="2:9">
      <c r="B95" s="426"/>
      <c r="C95" s="471" t="s">
        <v>42</v>
      </c>
      <c r="D95" s="518">
        <f>'Workshop #5'!$O$33</f>
        <v>861</v>
      </c>
      <c r="E95" s="518">
        <f>($D$64/$D$51)*($D$51*(100%+'Workshop #4'!$G$139))</f>
        <v>895.43999999999994</v>
      </c>
      <c r="F95" s="518">
        <f>($D$64/$D$51)*($D$51*(100%+'Workshop #4'!$G$139)^2)</f>
        <v>931.25760000000002</v>
      </c>
      <c r="G95" s="518">
        <f>($D$64/$D$51)*($D$51*(100%+'Workshop #4'!$G$139)^3)</f>
        <v>968.50790399999994</v>
      </c>
      <c r="H95" s="518">
        <f>($D$64/$D$51)*($D$51*(100%+'Workshop #4'!$G$139)^4)</f>
        <v>1007.2482201600001</v>
      </c>
      <c r="I95" s="518">
        <f>($D$64/$D$51)*($D$51*(100%+'Workshop #4'!$G$139)^5)</f>
        <v>1047.5381489664003</v>
      </c>
    </row>
    <row r="96" spans="2:9">
      <c r="B96" s="426"/>
      <c r="C96" s="471" t="s">
        <v>2224</v>
      </c>
      <c r="E96" s="532">
        <f>E95*$D$83</f>
        <v>171.14915371329877</v>
      </c>
      <c r="F96" s="532">
        <f t="shared" ref="F96:H96" si="6">F95*$D$83</f>
        <v>177.99511986183074</v>
      </c>
      <c r="G96" s="532">
        <f t="shared" si="6"/>
        <v>185.11492465630394</v>
      </c>
      <c r="H96" s="532">
        <f t="shared" si="6"/>
        <v>192.51952164255613</v>
      </c>
      <c r="I96" s="534">
        <f>I95*$D$83</f>
        <v>200.22030250825841</v>
      </c>
    </row>
    <row r="97" spans="2:9">
      <c r="B97" s="426"/>
      <c r="C97" s="471" t="s">
        <v>2225</v>
      </c>
      <c r="E97" s="532">
        <f>($D$95*(100%+'Workshop #4'!$G$139)^1*'Workshop #7'!$D$83)/(100%+'Workshop #7'!$D$81)^1</f>
        <v>157.25993716056709</v>
      </c>
      <c r="F97" s="532">
        <f>($D$95*(100%+'Workshop #4'!$G$139)^2*'Workshop #7'!$D$83)/(100%+'Workshop #7'!$D$81)^2</f>
        <v>150.27778280610227</v>
      </c>
      <c r="G97" s="532">
        <f>($D$95*(100%+'Workshop #4'!$G$139)^3*'Workshop #7'!$D$83)/(100%+'Workshop #7'!$D$81)^3</f>
        <v>143.60562780881509</v>
      </c>
      <c r="H97" s="532">
        <f>($D$95*(100%+'Workshop #4'!$G$139)^4*'Workshop #7'!$D$83)/(100%+'Workshop #7'!$D$81)^4</f>
        <v>137.22970856558655</v>
      </c>
      <c r="I97" s="532">
        <f>($D$95*(100%+'Workshop #4'!$G$139)^5*'Workshop #7'!$D$83)/(100%+'Workshop #7'!$D$81)^5</f>
        <v>131.13687256092228</v>
      </c>
    </row>
    <row r="98" spans="2:9">
      <c r="B98" s="426"/>
      <c r="C98" s="471" t="s">
        <v>2226</v>
      </c>
      <c r="I98" s="534">
        <f>(I96*(100%+E38))/(D81-E38)</f>
        <v>3241.0837095916481</v>
      </c>
    </row>
    <row r="99" spans="2:9">
      <c r="B99" s="426"/>
      <c r="C99" s="471" t="s">
        <v>2227</v>
      </c>
      <c r="D99" s="532">
        <f>I98/((100%+D81)^5)</f>
        <v>2122.7896275227649</v>
      </c>
      <c r="I99" s="479"/>
    </row>
    <row r="100" spans="2:9">
      <c r="B100" s="426" t="s">
        <v>1958</v>
      </c>
      <c r="C100" s="471" t="s">
        <v>2228</v>
      </c>
      <c r="D100" s="532">
        <f>SUM(E97:I97)+D99</f>
        <v>2842.2995564247581</v>
      </c>
      <c r="E100" s="431"/>
      <c r="F100" s="431"/>
      <c r="G100" s="431"/>
      <c r="H100" s="431"/>
      <c r="I100" s="545"/>
    </row>
    <row r="101" spans="2:9">
      <c r="C101" s="471" t="s">
        <v>2229</v>
      </c>
      <c r="D101" s="534">
        <f>D91+D100</f>
        <v>110149.39310703552</v>
      </c>
    </row>
    <row r="102" spans="2:9">
      <c r="C102" s="546" t="s">
        <v>2230</v>
      </c>
      <c r="D102" s="531">
        <f>D101*(100%+D81)^0.5</f>
        <v>114910.69140513342</v>
      </c>
    </row>
    <row r="103" spans="2:9">
      <c r="C103" s="471" t="s">
        <v>2198</v>
      </c>
      <c r="D103" s="534">
        <f>D50</f>
        <v>6318</v>
      </c>
    </row>
    <row r="104" spans="2:9">
      <c r="C104" s="471" t="s">
        <v>2231</v>
      </c>
      <c r="D104" s="534">
        <f>D51</f>
        <v>25652</v>
      </c>
    </row>
    <row r="105" spans="2:9">
      <c r="C105" s="546" t="s">
        <v>2202</v>
      </c>
      <c r="D105" s="531">
        <f>D102+D103-D104</f>
        <v>95576.691405133417</v>
      </c>
    </row>
    <row r="106" spans="2:9">
      <c r="C106" s="471" t="s">
        <v>2203</v>
      </c>
      <c r="D106" s="534">
        <f>D76</f>
        <v>855</v>
      </c>
    </row>
    <row r="107" spans="2:9">
      <c r="C107" s="415" t="s">
        <v>2205</v>
      </c>
      <c r="D107" s="536">
        <f>D105/D106</f>
        <v>111.78560398261219</v>
      </c>
    </row>
    <row r="110" spans="2:9">
      <c r="B110" s="425">
        <v>4</v>
      </c>
    </row>
    <row r="111" spans="2:9">
      <c r="B111" s="426" t="s">
        <v>5</v>
      </c>
      <c r="C111" s="427" t="s">
        <v>2232</v>
      </c>
      <c r="D111" s="547">
        <f>I41</f>
        <v>373.51244103680011</v>
      </c>
    </row>
    <row r="112" spans="2:9">
      <c r="C112" s="471" t="s">
        <v>2233</v>
      </c>
      <c r="D112" s="451">
        <f>E37</f>
        <v>8.6843826141335345E-2</v>
      </c>
    </row>
    <row r="113" spans="2:4">
      <c r="C113" s="471" t="s">
        <v>2234</v>
      </c>
      <c r="D113" s="451">
        <f>E38</f>
        <v>2.5000000000000001E-2</v>
      </c>
    </row>
    <row r="114" spans="2:4">
      <c r="C114" s="471" t="s">
        <v>2235</v>
      </c>
      <c r="D114" s="534">
        <f>D111*(100%+D113)</f>
        <v>382.85025206272007</v>
      </c>
    </row>
    <row r="115" spans="2:4">
      <c r="C115" s="415" t="s">
        <v>2236</v>
      </c>
      <c r="D115" s="548">
        <f>D114/(D112-D113)</f>
        <v>6190.5977677993242</v>
      </c>
    </row>
    <row r="118" spans="2:4">
      <c r="B118" s="426" t="s">
        <v>7</v>
      </c>
      <c r="C118" s="427" t="s">
        <v>2237</v>
      </c>
      <c r="D118" s="549">
        <f>J12*(100%+'Workshop #4'!G139)^5</f>
        <v>10566.630457344003</v>
      </c>
    </row>
    <row r="119" spans="2:4">
      <c r="C119" s="471" t="s">
        <v>2238</v>
      </c>
      <c r="D119" s="451">
        <f>100%-D83</f>
        <v>0.80886586067933219</v>
      </c>
    </row>
    <row r="120" spans="2:4">
      <c r="C120" s="471" t="s">
        <v>2239</v>
      </c>
      <c r="D120" s="534">
        <f>D118*D119</f>
        <v>8546.9866393600023</v>
      </c>
    </row>
    <row r="121" spans="2:4">
      <c r="C121" s="471" t="s">
        <v>2240</v>
      </c>
      <c r="D121" s="451">
        <f>E38</f>
        <v>2.5000000000000001E-2</v>
      </c>
    </row>
    <row r="122" spans="2:4">
      <c r="C122" s="471" t="s">
        <v>2241</v>
      </c>
      <c r="D122" s="451">
        <f>H30</f>
        <v>0.13</v>
      </c>
    </row>
    <row r="123" spans="2:4">
      <c r="C123" s="471" t="s">
        <v>2233</v>
      </c>
      <c r="D123" s="451">
        <f>E37</f>
        <v>8.6843826141335345E-2</v>
      </c>
    </row>
    <row r="124" spans="2:4">
      <c r="C124" s="415" t="s">
        <v>2236</v>
      </c>
      <c r="D124" s="550">
        <f>((100%-(D121/D122))*D120)/(D123-D121)</f>
        <v>111625.29541402245</v>
      </c>
    </row>
    <row r="127" spans="2:4">
      <c r="B127" s="426" t="s">
        <v>1964</v>
      </c>
      <c r="C127" s="427" t="s">
        <v>2242</v>
      </c>
      <c r="D127" s="478">
        <f>'Workshop #3'!I32</f>
        <v>11.36</v>
      </c>
    </row>
    <row r="128" spans="2:4">
      <c r="C128" s="471" t="s">
        <v>2243</v>
      </c>
      <c r="D128" s="534">
        <f>'Workshop #5'!E27*(100%+'Workshop #4'!G139)^5</f>
        <v>20753.665209139206</v>
      </c>
    </row>
    <row r="129" spans="3:8">
      <c r="C129" s="415" t="s">
        <v>2244</v>
      </c>
      <c r="D129" s="551">
        <f>D127*D128</f>
        <v>235761.63677582136</v>
      </c>
    </row>
    <row r="130" spans="3:8">
      <c r="D130" s="532"/>
    </row>
    <row r="132" spans="3:8">
      <c r="C132" s="528" t="s">
        <v>2245</v>
      </c>
    </row>
    <row r="133" spans="3:8">
      <c r="C133" s="427" t="s">
        <v>2246</v>
      </c>
      <c r="D133" s="428" t="s">
        <v>2247</v>
      </c>
      <c r="E133" s="428" t="s">
        <v>2248</v>
      </c>
      <c r="F133" s="428" t="s">
        <v>2249</v>
      </c>
      <c r="G133" s="428" t="s">
        <v>2250</v>
      </c>
      <c r="H133" s="478" t="s">
        <v>2251</v>
      </c>
    </row>
    <row r="134" spans="3:8">
      <c r="C134" s="471" t="s">
        <v>2236</v>
      </c>
      <c r="D134" s="552">
        <f>D115</f>
        <v>6190.5977677993242</v>
      </c>
      <c r="E134" s="553">
        <f>D124</f>
        <v>111625.29541402245</v>
      </c>
      <c r="F134" s="554">
        <f>D129</f>
        <v>235761.63677582136</v>
      </c>
      <c r="G134" s="555">
        <f>I42</f>
        <v>6190.5977677993242</v>
      </c>
      <c r="H134" s="556">
        <f>I89</f>
        <v>122361.97555336704</v>
      </c>
    </row>
    <row r="135" spans="3:8">
      <c r="C135" s="473" t="s">
        <v>2252</v>
      </c>
      <c r="H135" s="479"/>
    </row>
    <row r="136" spans="3:8">
      <c r="C136" s="471" t="s">
        <v>2253</v>
      </c>
      <c r="D136" s="532">
        <f>$D$47</f>
        <v>4082.2243916486673</v>
      </c>
      <c r="E136" s="532">
        <f>E134/(100%+$D$123)^5</f>
        <v>73608.320352252282</v>
      </c>
      <c r="F136" s="532">
        <f t="shared" ref="F136:G136" si="7">F134/(100%+$D$123)^5</f>
        <v>155466.71587474228</v>
      </c>
      <c r="G136" s="532">
        <f t="shared" si="7"/>
        <v>4082.2243916486673</v>
      </c>
      <c r="H136" s="479" t="s">
        <v>2254</v>
      </c>
    </row>
    <row r="137" spans="3:8">
      <c r="C137" s="471" t="s">
        <v>2255</v>
      </c>
      <c r="D137" s="518">
        <f>$D$49-$D$47</f>
        <v>1578.4284995733092</v>
      </c>
      <c r="E137" s="518">
        <f t="shared" ref="E137:G137" si="8">$D$49-$D$47</f>
        <v>1578.4284995733092</v>
      </c>
      <c r="F137" s="518">
        <f t="shared" si="8"/>
        <v>1578.4284995733092</v>
      </c>
      <c r="G137" s="518">
        <f t="shared" si="8"/>
        <v>1578.4284995733092</v>
      </c>
      <c r="H137" s="519" t="s">
        <v>2254</v>
      </c>
    </row>
    <row r="138" spans="3:8">
      <c r="C138" s="471" t="s">
        <v>2256</v>
      </c>
      <c r="D138" s="532">
        <f>D136+D137</f>
        <v>5660.6528912219765</v>
      </c>
      <c r="E138" s="532">
        <f t="shared" ref="E138:G138" si="9">E136+E137</f>
        <v>75186.748851825585</v>
      </c>
      <c r="F138" s="532">
        <f t="shared" si="9"/>
        <v>157045.1443743156</v>
      </c>
      <c r="G138" s="532">
        <f t="shared" si="9"/>
        <v>5660.6528912219765</v>
      </c>
      <c r="H138" s="479" t="s">
        <v>2254</v>
      </c>
    </row>
    <row r="139" spans="3:8">
      <c r="C139" s="473" t="s">
        <v>2257</v>
      </c>
      <c r="H139" s="479"/>
    </row>
    <row r="140" spans="3:8">
      <c r="C140" s="471" t="s">
        <v>2258</v>
      </c>
      <c r="D140" s="425">
        <f>D134*(1/((100%+$D$81)^5))</f>
        <v>4054.6119468496217</v>
      </c>
      <c r="E140" s="425">
        <f t="shared" ref="E140:H140" si="10">E134*(1/((100%+$D$81)^5))</f>
        <v>73110.428642371</v>
      </c>
      <c r="F140" s="425">
        <f t="shared" si="10"/>
        <v>154415.12838264793</v>
      </c>
      <c r="G140" s="425" t="s">
        <v>2254</v>
      </c>
      <c r="H140" s="479">
        <f t="shared" si="10"/>
        <v>80142.55594176185</v>
      </c>
    </row>
    <row r="141" spans="3:8">
      <c r="C141" s="471" t="s">
        <v>2259</v>
      </c>
      <c r="D141" s="532">
        <f>$D$88</f>
        <v>27164.537608848914</v>
      </c>
      <c r="E141" s="532">
        <f t="shared" ref="E141:H141" si="11">$D$88</f>
        <v>27164.537608848914</v>
      </c>
      <c r="F141" s="532">
        <f t="shared" si="11"/>
        <v>27164.537608848914</v>
      </c>
      <c r="G141" s="532" t="s">
        <v>2254</v>
      </c>
      <c r="H141" s="534">
        <f t="shared" si="11"/>
        <v>27164.537608848914</v>
      </c>
    </row>
    <row r="142" spans="3:8">
      <c r="C142" s="471" t="s">
        <v>2260</v>
      </c>
      <c r="D142" s="532">
        <f>$D$100</f>
        <v>2842.2995564247581</v>
      </c>
      <c r="E142" s="532">
        <f t="shared" ref="E142:H142" si="12">$D$100</f>
        <v>2842.2995564247581</v>
      </c>
      <c r="F142" s="532">
        <f t="shared" si="12"/>
        <v>2842.2995564247581</v>
      </c>
      <c r="G142" s="532" t="s">
        <v>2254</v>
      </c>
      <c r="H142" s="534">
        <f t="shared" si="12"/>
        <v>2842.2995564247581</v>
      </c>
    </row>
    <row r="143" spans="3:8">
      <c r="C143" s="430" t="s">
        <v>2256</v>
      </c>
      <c r="D143" s="557">
        <f>D141+D140+D142</f>
        <v>34061.449112123293</v>
      </c>
      <c r="E143" s="557">
        <f t="shared" ref="E143:H143" si="13">E141+E140+E142</f>
        <v>103117.26580764467</v>
      </c>
      <c r="F143" s="557">
        <f t="shared" si="13"/>
        <v>184421.9655479216</v>
      </c>
      <c r="G143" s="557" t="s">
        <v>2254</v>
      </c>
      <c r="H143" s="533">
        <f t="shared" si="13"/>
        <v>110149.39310703552</v>
      </c>
    </row>
    <row r="145" spans="2:2">
      <c r="B145" s="425">
        <v>5</v>
      </c>
    </row>
    <row r="152" spans="2:2">
      <c r="B152" s="425">
        <v>6</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83DED-0FFA-4FE4-A318-3A0E89E9F933}">
  <dimension ref="B3:P233"/>
  <sheetViews>
    <sheetView showGridLines="0" zoomScale="75" zoomScaleNormal="90" workbookViewId="0">
      <selection activeCell="F145" sqref="F145"/>
    </sheetView>
  </sheetViews>
  <sheetFormatPr baseColWidth="10" defaultColWidth="8.83203125" defaultRowHeight="16"/>
  <cols>
    <col min="3" max="3" width="24" bestFit="1" customWidth="1"/>
    <col min="4" max="4" width="11.1640625" bestFit="1" customWidth="1"/>
    <col min="5" max="5" width="13.6640625" bestFit="1" customWidth="1"/>
    <col min="6" max="6" width="19.33203125" bestFit="1" customWidth="1"/>
    <col min="7" max="7" width="22.1640625" bestFit="1" customWidth="1"/>
    <col min="8" max="12" width="13.6640625" bestFit="1" customWidth="1"/>
    <col min="13" max="13" width="12.33203125" bestFit="1" customWidth="1"/>
    <col min="14" max="16" width="13.6640625" bestFit="1" customWidth="1"/>
    <col min="19" max="19" width="11.33203125" customWidth="1"/>
  </cols>
  <sheetData>
    <row r="3" spans="2:3" ht="24">
      <c r="B3" s="231" t="s">
        <v>2261</v>
      </c>
    </row>
    <row r="4" spans="2:3">
      <c r="B4" s="63"/>
    </row>
    <row r="5" spans="2:3">
      <c r="B5" s="63" t="s">
        <v>2262</v>
      </c>
    </row>
    <row r="6" spans="2:3">
      <c r="B6" s="63" t="s">
        <v>23</v>
      </c>
    </row>
    <row r="7" spans="2:3">
      <c r="B7" s="63" t="s">
        <v>3</v>
      </c>
    </row>
    <row r="8" spans="2:3">
      <c r="B8" s="63" t="s">
        <v>24</v>
      </c>
    </row>
    <row r="10" spans="2:3">
      <c r="B10" s="238" t="s">
        <v>2264</v>
      </c>
      <c r="C10" s="238" t="s">
        <v>2265</v>
      </c>
    </row>
    <row r="51" spans="2:13" ht="17" thickBot="1"/>
    <row r="52" spans="2:13" ht="17" thickBot="1">
      <c r="B52" s="238" t="s">
        <v>2263</v>
      </c>
      <c r="C52" s="238" t="s">
        <v>2266</v>
      </c>
      <c r="D52" s="569">
        <v>2020</v>
      </c>
      <c r="E52" s="570">
        <v>2021</v>
      </c>
      <c r="F52" s="571">
        <v>2022</v>
      </c>
      <c r="G52" s="571">
        <v>2023</v>
      </c>
      <c r="H52" s="571">
        <v>2024</v>
      </c>
      <c r="I52" s="570">
        <v>2025</v>
      </c>
      <c r="J52" s="570">
        <v>2026</v>
      </c>
      <c r="K52" s="571">
        <v>2027</v>
      </c>
      <c r="L52" s="571">
        <v>2028</v>
      </c>
      <c r="M52" s="572">
        <v>2029</v>
      </c>
    </row>
    <row r="53" spans="2:13">
      <c r="C53" s="565" t="s">
        <v>153</v>
      </c>
      <c r="M53" s="561"/>
    </row>
    <row r="54" spans="2:13">
      <c r="C54" s="566" t="s">
        <v>154</v>
      </c>
      <c r="D54" s="307">
        <f>'Workshop #2'!C272</f>
        <v>9.2808413871517906E-2</v>
      </c>
      <c r="E54" s="307">
        <f>'Workshop #2'!D272</f>
        <v>0.134840130035801</v>
      </c>
      <c r="F54" s="307">
        <f>'Workshop #2'!E272</f>
        <v>0.12963592378591279</v>
      </c>
      <c r="G54" s="307">
        <f>'Workshop #2'!F272</f>
        <v>0.10326739765276324</v>
      </c>
      <c r="H54" s="307">
        <f>'Workshop #2'!G272</f>
        <v>9.5550861442999541E-2</v>
      </c>
      <c r="I54" s="307">
        <f>'Workshop #5'!P31/'Workshop #5'!P25</f>
        <v>9.5550861442999596E-2</v>
      </c>
      <c r="J54" s="307">
        <f>'Workshop #5'!Q31/'Workshop #5'!Q25</f>
        <v>9.555086144299961E-2</v>
      </c>
      <c r="K54" s="307">
        <f>'Workshop #5'!R31/'Workshop #5'!R25</f>
        <v>9.5550861442999541E-2</v>
      </c>
      <c r="L54" s="307">
        <f>'Workshop #5'!S31/'Workshop #5'!S25</f>
        <v>9.5550861442999652E-2</v>
      </c>
      <c r="M54" s="560">
        <f>'Workshop #5'!T31/'Workshop #5'!T25</f>
        <v>9.5550861442999527E-2</v>
      </c>
    </row>
    <row r="55" spans="2:13">
      <c r="C55" s="566" t="s">
        <v>155</v>
      </c>
      <c r="D55" s="307">
        <f>'Workshop #2'!C273</f>
        <v>1.5906291453477356E-2</v>
      </c>
      <c r="E55" s="307">
        <f>'Workshop #2'!D273</f>
        <v>0.1326077116168059</v>
      </c>
      <c r="F55" s="307">
        <f>'Workshop #2'!E273</f>
        <v>0.11544075014495071</v>
      </c>
      <c r="G55" s="307">
        <f>'Workshop #2'!F273</f>
        <v>7.3921428177861043E-2</v>
      </c>
      <c r="H55" s="307">
        <f>'Workshop #2'!G273</f>
        <v>6.3612559684907699E-2</v>
      </c>
      <c r="I55" s="307">
        <f>'Workshop #5'!P37/'Workshop #5'!P26</f>
        <v>7.3688119433367782E-2</v>
      </c>
      <c r="J55" s="307">
        <f>'Workshop #5'!Q37/'Workshop #5'!Q26</f>
        <v>8.257591848539024E-2</v>
      </c>
      <c r="K55" s="307">
        <f>'Workshop #5'!R37/'Workshop #5'!R26</f>
        <v>8.1884471150403204E-2</v>
      </c>
      <c r="L55" s="307">
        <f>'Workshop #5'!S37/'Workshop #5'!S26</f>
        <v>8.113523269426301E-2</v>
      </c>
      <c r="M55" s="560">
        <f>'Workshop #5'!T37/'Workshop #5'!T26</f>
        <v>8.0414811101820236E-2</v>
      </c>
    </row>
    <row r="56" spans="2:13">
      <c r="C56" s="566" t="s">
        <v>156</v>
      </c>
      <c r="D56" s="307">
        <f>'Workshop #2'!C274</f>
        <v>2.007473841554559</v>
      </c>
      <c r="E56" s="307">
        <f>'Workshop #2'!D274</f>
        <v>0.90335692760529818</v>
      </c>
      <c r="F56" s="307">
        <f>'Workshop #2'!E274</f>
        <v>0.58314396808564362</v>
      </c>
      <c r="G56" s="307">
        <f>'Workshop #2'!F274</f>
        <v>0.3874321358438258</v>
      </c>
      <c r="H56" s="307">
        <f>'Workshop #2'!G274</f>
        <v>0.34533835035537241</v>
      </c>
      <c r="I56" s="307">
        <f>'Workshop #5'!P37/'Workshop #5'!O68</f>
        <v>0.33796030734882809</v>
      </c>
      <c r="J56" s="307">
        <f>'Workshop #5'!Q37/'Workshop #5'!P68</f>
        <v>0.37872296111681092</v>
      </c>
      <c r="K56" s="307">
        <f>'Workshop #5'!R37/'Workshop #5'!Q68</f>
        <v>0.37555173411787712</v>
      </c>
      <c r="L56" s="307">
        <f>'Workshop #5'!S37/'Workshop #5'!R68</f>
        <v>0.37211545618241337</v>
      </c>
      <c r="M56" s="560">
        <f>'Workshop #5'!T37/'Workshop #5'!S68</f>
        <v>0.36881134278292765</v>
      </c>
    </row>
    <row r="57" spans="2:13">
      <c r="C57" s="567" t="s">
        <v>157</v>
      </c>
      <c r="D57" s="307"/>
      <c r="M57" s="561"/>
    </row>
    <row r="58" spans="2:13">
      <c r="C58" s="566" t="s">
        <v>158</v>
      </c>
      <c r="D58" s="499">
        <f>'Workshop #2'!C276</f>
        <v>1.0108359383857852</v>
      </c>
      <c r="E58" s="499">
        <f>'Workshop #2'!D276</f>
        <v>1.2587964306442252</v>
      </c>
      <c r="F58" s="499">
        <f>'Workshop #2'!E276</f>
        <v>1.3858654352019641</v>
      </c>
      <c r="G58" s="499">
        <f>'Workshop #2'!F276</f>
        <v>1.3233662663653512</v>
      </c>
      <c r="H58" s="499">
        <f>'Workshop #2'!G276</f>
        <v>1.3139685337633844</v>
      </c>
      <c r="I58" s="499">
        <f>'Workshop #5'!P50/'Workshop #5'!P62</f>
        <v>1.2030374262868209</v>
      </c>
      <c r="J58" s="499">
        <f>'Workshop #5'!Q50/'Workshop #5'!Q62</f>
        <v>1.2318134133280969</v>
      </c>
      <c r="K58" s="499">
        <f>'Workshop #5'!R50/'Workshop #5'!R62</f>
        <v>1.2608114022288404</v>
      </c>
      <c r="L58" s="499">
        <f>'Workshop #5'!S50/'Workshop #5'!S62</f>
        <v>1.2900114234635442</v>
      </c>
      <c r="M58" s="562">
        <f>'Workshop #5'!T50/'Workshop #5'!T62</f>
        <v>1.3193929156314277</v>
      </c>
    </row>
    <row r="59" spans="2:13">
      <c r="C59" s="566" t="s">
        <v>159</v>
      </c>
      <c r="D59" s="499">
        <f>'Workshop #2'!C277</f>
        <v>0.28205803644570715</v>
      </c>
      <c r="E59" s="499">
        <f>'Workshop #2'!D277</f>
        <v>1.2280237566991309E-2</v>
      </c>
      <c r="F59" s="499">
        <f>'Workshop #2'!E277</f>
        <v>7.9728347576179161E-3</v>
      </c>
      <c r="G59" s="499">
        <f>'Workshop #2'!F277</f>
        <v>1.0056206522493016E-2</v>
      </c>
      <c r="H59" s="499">
        <f>'Workshop #2'!G277</f>
        <v>1.0586760975606053E-2</v>
      </c>
      <c r="I59" s="499">
        <f>'Workshop #5'!P63/('Workshop #5'!P68)</f>
        <v>0.54810506342489851</v>
      </c>
      <c r="J59" s="499">
        <f>'Workshop #5'!Q63/('Workshop #5'!Q68)</f>
        <v>0.61884954482435039</v>
      </c>
      <c r="K59" s="499">
        <f>'Workshop #5'!R63/('Workshop #5'!R68)</f>
        <v>0.69481378721957876</v>
      </c>
      <c r="L59" s="499">
        <f>'Workshop #5'!S63/('Workshop #5'!S68)</f>
        <v>0.76785632798422132</v>
      </c>
      <c r="M59" s="562">
        <f>'Workshop #5'!T63/('Workshop #5'!T68)</f>
        <v>0.83808954025791549</v>
      </c>
    </row>
    <row r="60" spans="2:13">
      <c r="C60" s="566" t="s">
        <v>161</v>
      </c>
      <c r="D60" s="499">
        <f>'Workshop #2'!C279</f>
        <v>11.456140350877194</v>
      </c>
      <c r="E60" s="499">
        <f>'Workshop #2'!D279</f>
        <v>19.190336749633968</v>
      </c>
      <c r="F60" s="499">
        <f>'Workshop #2'!E279</f>
        <v>18.685878962536023</v>
      </c>
      <c r="G60" s="499">
        <f>'Workshop #2'!F279</f>
        <v>12.091612903225807</v>
      </c>
      <c r="H60" s="499">
        <f>'Workshop #2'!G279</f>
        <v>10.087108013937282</v>
      </c>
      <c r="I60" s="499">
        <f>'Workshop #5'!P37/'Workshop #5'!P33</f>
        <v>4.525868288604614</v>
      </c>
      <c r="J60" s="499">
        <f>'Workshop #5'!Q37/'Workshop #5'!Q33</f>
        <v>11.168349671717456</v>
      </c>
      <c r="K60" s="499">
        <f>'Workshop #5'!R37/'Workshop #5'!R33</f>
        <v>10.127709742144141</v>
      </c>
      <c r="L60" s="499">
        <f>'Workshop #5'!S37/'Workshop #5'!S33</f>
        <v>9.1839806894053932</v>
      </c>
      <c r="M60" s="562">
        <f>'Workshop #5'!T37/'Workshop #5'!T33</f>
        <v>8.4161236832038995</v>
      </c>
    </row>
    <row r="61" spans="2:13" ht="17" thickBot="1">
      <c r="C61" s="568" t="s">
        <v>162</v>
      </c>
      <c r="D61" s="563">
        <f>'Workshop #2'!C280</f>
        <v>2.6201439782087035</v>
      </c>
      <c r="E61" s="563">
        <f>'Workshop #2'!D280</f>
        <v>0.27790833111960273</v>
      </c>
      <c r="F61" s="563">
        <f>'Workshop #2'!E280</f>
        <v>0.460686331709313</v>
      </c>
      <c r="G61" s="563">
        <f>'Workshop #2'!F280</f>
        <v>0.83076923076923082</v>
      </c>
      <c r="H61" s="563">
        <f>'Workshop #2'!G280</f>
        <v>0.96412622364179457</v>
      </c>
      <c r="I61" s="563">
        <f>'Workshop #5'!P39/'Workshop #5'!P37</f>
        <v>0.99231074294720778</v>
      </c>
      <c r="J61" s="563">
        <f>'Workshop #5'!Q39/'Workshop #5'!Q37</f>
        <v>0.88550649974598583</v>
      </c>
      <c r="K61" s="563">
        <f>'Workshop #5'!R39/'Workshop #5'!R37</f>
        <v>0.89298387733371487</v>
      </c>
      <c r="L61" s="563">
        <f>'Workshop #5'!S39/'Workshop #5'!S37</f>
        <v>0.9012300835673589</v>
      </c>
      <c r="M61" s="564">
        <f>'Workshop #5'!T39/'Workshop #5'!T37</f>
        <v>0.90930403913679803</v>
      </c>
    </row>
    <row r="92" spans="2:6">
      <c r="C92" s="238" t="s">
        <v>2267</v>
      </c>
    </row>
    <row r="93" spans="2:6" ht="17" thickBot="1"/>
    <row r="94" spans="2:6" ht="17" thickBot="1">
      <c r="B94" s="238" t="s">
        <v>2268</v>
      </c>
      <c r="D94" s="583" t="s">
        <v>2272</v>
      </c>
      <c r="E94" s="584" t="s">
        <v>2273</v>
      </c>
      <c r="F94" s="585" t="s">
        <v>2274</v>
      </c>
    </row>
    <row r="95" spans="2:6">
      <c r="C95" s="573" t="s">
        <v>2269</v>
      </c>
      <c r="D95" s="308">
        <f>'Workshop #7'!D54</f>
        <v>-15.992218840676051</v>
      </c>
      <c r="E95" s="308">
        <f>'Workshop #7'!D107</f>
        <v>111.78560398261219</v>
      </c>
      <c r="F95" s="576">
        <f>'Workshop #2'!D11</f>
        <v>108.03</v>
      </c>
    </row>
    <row r="96" spans="2:6">
      <c r="C96" s="574" t="s">
        <v>2270</v>
      </c>
      <c r="D96" s="580">
        <f>'Workshop #7'!D52</f>
        <v>-13673.347108778024</v>
      </c>
      <c r="E96" s="581">
        <f>'Workshop #7'!D105</f>
        <v>95576.691405133417</v>
      </c>
      <c r="F96" s="582">
        <f>(F95)*Financials!F39</f>
        <v>92365.65</v>
      </c>
    </row>
    <row r="97" spans="2:8" ht="17" thickBot="1">
      <c r="C97" s="575" t="s">
        <v>2271</v>
      </c>
      <c r="D97" s="578">
        <f>(D96-F96)/F96</f>
        <v>-1.1480349795489775</v>
      </c>
      <c r="E97" s="578">
        <f>(E96-F96)/F96</f>
        <v>3.4764454157291409E-2</v>
      </c>
      <c r="F97" s="577">
        <v>0</v>
      </c>
    </row>
    <row r="98" spans="2:8" ht="17" thickBot="1"/>
    <row r="99" spans="2:8">
      <c r="C99" s="616" t="s">
        <v>2275</v>
      </c>
      <c r="D99" s="617"/>
      <c r="E99" s="606">
        <f>AVERAGE(D96:E96)</f>
        <v>40951.672148177699</v>
      </c>
    </row>
    <row r="100" spans="2:8">
      <c r="C100" s="618" t="s">
        <v>2276</v>
      </c>
      <c r="D100" s="619"/>
      <c r="E100" s="586">
        <f>AVERAGE(D95:E95)</f>
        <v>47.896692570968071</v>
      </c>
    </row>
    <row r="101" spans="2:8" ht="17" thickBot="1">
      <c r="C101" s="620" t="s">
        <v>2277</v>
      </c>
      <c r="D101" s="621"/>
      <c r="E101" s="587">
        <f>(E99-F96)/F96</f>
        <v>-0.55663526269584307</v>
      </c>
    </row>
    <row r="104" spans="2:8" ht="17" thickBot="1">
      <c r="B104" s="238" t="s">
        <v>2278</v>
      </c>
      <c r="C104" s="588" t="s">
        <v>2284</v>
      </c>
    </row>
    <row r="105" spans="2:8">
      <c r="B105" s="238" t="s">
        <v>2288</v>
      </c>
      <c r="C105" s="589" t="s">
        <v>2279</v>
      </c>
      <c r="D105" s="590" t="s">
        <v>2280</v>
      </c>
      <c r="E105" s="590" t="s">
        <v>2281</v>
      </c>
      <c r="F105" s="590" t="s">
        <v>2282</v>
      </c>
      <c r="G105" s="591" t="s">
        <v>2283</v>
      </c>
      <c r="H105" s="238"/>
    </row>
    <row r="106" spans="2:8">
      <c r="C106" s="574" t="s">
        <v>2285</v>
      </c>
      <c r="D106" t="s">
        <v>2287</v>
      </c>
      <c r="E106" s="580">
        <f>$E$99</f>
        <v>40951.672148177699</v>
      </c>
      <c r="F106" s="579">
        <v>94130</v>
      </c>
      <c r="G106" s="592">
        <f>ABS(E106-F106)</f>
        <v>53178.327851822301</v>
      </c>
    </row>
    <row r="107" spans="2:8">
      <c r="C107" s="574" t="s">
        <v>1859</v>
      </c>
      <c r="D107" t="s">
        <v>2287</v>
      </c>
      <c r="E107" s="580">
        <f t="shared" ref="E107:E109" si="0">$E$99</f>
        <v>40951.672148177699</v>
      </c>
      <c r="F107" s="579">
        <v>95013</v>
      </c>
      <c r="G107" s="592">
        <f t="shared" ref="G107:G109" si="1">ABS(E107-F107)</f>
        <v>54061.327851822301</v>
      </c>
    </row>
    <row r="108" spans="2:8">
      <c r="C108" s="574" t="s">
        <v>2060</v>
      </c>
      <c r="D108" t="s">
        <v>2287</v>
      </c>
      <c r="E108" s="580">
        <f t="shared" si="0"/>
        <v>40951.672148177699</v>
      </c>
      <c r="F108" s="579">
        <v>95276</v>
      </c>
      <c r="G108" s="592">
        <f t="shared" si="1"/>
        <v>54324.327851822301</v>
      </c>
    </row>
    <row r="109" spans="2:8" ht="17" thickBot="1">
      <c r="C109" s="575" t="s">
        <v>2286</v>
      </c>
      <c r="D109" s="289" t="s">
        <v>2287</v>
      </c>
      <c r="E109" s="594">
        <f t="shared" si="0"/>
        <v>40951.672148177699</v>
      </c>
      <c r="F109" s="593">
        <v>95767</v>
      </c>
      <c r="G109" s="595">
        <f t="shared" si="1"/>
        <v>54815.327851822301</v>
      </c>
    </row>
    <row r="125" spans="2:4">
      <c r="B125" s="238" t="s">
        <v>2267</v>
      </c>
      <c r="C125" t="s">
        <v>2289</v>
      </c>
    </row>
    <row r="127" spans="2:4" ht="17" thickBot="1">
      <c r="B127" s="238" t="s">
        <v>2290</v>
      </c>
    </row>
    <row r="128" spans="2:4">
      <c r="B128" s="238" t="s">
        <v>2265</v>
      </c>
      <c r="C128" s="573" t="s">
        <v>2291</v>
      </c>
      <c r="D128" s="602">
        <f>'Workshop #6'!D21</f>
        <v>4.2599999999999999E-2</v>
      </c>
    </row>
    <row r="129" spans="3:16">
      <c r="C129" s="574" t="s">
        <v>239</v>
      </c>
      <c r="D129" s="562">
        <f>AVERAGE('Workshop #6'!D81,'Workshop #6'!E189)</f>
        <v>1.0426267911331459</v>
      </c>
    </row>
    <row r="130" spans="3:16">
      <c r="C130" s="574" t="s">
        <v>2060</v>
      </c>
      <c r="D130" s="560">
        <f>'Workshop #6'!E198</f>
        <v>4.8738912133891213E-2</v>
      </c>
    </row>
    <row r="131" spans="3:16" ht="17" thickBot="1">
      <c r="C131" s="575" t="s">
        <v>2286</v>
      </c>
      <c r="D131" s="564">
        <v>2.5000000000000001E-2</v>
      </c>
    </row>
    <row r="134" spans="3:16" ht="28" thickBot="1">
      <c r="D134" s="615" t="s">
        <v>239</v>
      </c>
      <c r="E134" s="615"/>
      <c r="F134" s="615"/>
      <c r="G134" s="615"/>
      <c r="H134" s="615"/>
      <c r="I134" s="615"/>
      <c r="J134" s="615"/>
      <c r="K134" s="615"/>
      <c r="L134" s="615"/>
      <c r="M134" s="615"/>
      <c r="N134" s="615"/>
      <c r="O134" s="615"/>
      <c r="P134" s="615"/>
    </row>
    <row r="135" spans="3:16" ht="17" thickBot="1">
      <c r="C135" s="596" t="s">
        <v>2292</v>
      </c>
      <c r="D135" s="601">
        <f>E99</f>
        <v>40951.672148177699</v>
      </c>
      <c r="E135" s="600">
        <f t="shared" ref="E135:G135" si="2">F135*0.99</f>
        <v>1.0015431354816033</v>
      </c>
      <c r="F135" s="600">
        <f t="shared" si="2"/>
        <v>1.0116597328097003</v>
      </c>
      <c r="G135" s="600">
        <f t="shared" si="2"/>
        <v>1.0218785179895964</v>
      </c>
      <c r="H135" s="600">
        <f>I135*0.99</f>
        <v>1.0322005232218145</v>
      </c>
      <c r="I135" s="597">
        <f>AVERAGE('Workshop #6'!E222:F222)</f>
        <v>1.0426267911331459</v>
      </c>
      <c r="J135" s="600">
        <f>I135*1.01</f>
        <v>1.0530530590444773</v>
      </c>
      <c r="K135" s="600">
        <f t="shared" ref="K135:P135" si="3">J135*1.01</f>
        <v>1.0635835896349222</v>
      </c>
      <c r="L135" s="600">
        <f t="shared" si="3"/>
        <v>1.0742194255312714</v>
      </c>
      <c r="M135" s="600">
        <f t="shared" si="3"/>
        <v>1.0849616197865841</v>
      </c>
      <c r="N135" s="600">
        <f t="shared" si="3"/>
        <v>1.0958112359844501</v>
      </c>
      <c r="O135" s="600">
        <f t="shared" si="3"/>
        <v>1.1067693483442946</v>
      </c>
      <c r="P135" s="600">
        <f t="shared" si="3"/>
        <v>1.1178370418277377</v>
      </c>
    </row>
    <row r="136" spans="3:16">
      <c r="C136" s="613" t="s">
        <v>2285</v>
      </c>
      <c r="D136" s="598">
        <f t="shared" ref="D136:D139" si="4">D137*0.99</f>
        <v>4.0512176125739999E-2</v>
      </c>
      <c r="E136" s="603">
        <f t="dataTable" ref="E136:P147" dt2D="1" dtr="1" r1="D129" r2="D128" ca="1"/>
        <v>44426.174470993079</v>
      </c>
      <c r="F136" s="603">
        <v>43975.639612099418</v>
      </c>
      <c r="G136" s="603">
        <v>43527.109061681593</v>
      </c>
      <c r="H136" s="603">
        <v>43080.591990180998</v>
      </c>
      <c r="I136" s="603">
        <v>42636.097283568619</v>
      </c>
      <c r="J136" s="603">
        <v>42198.026210223892</v>
      </c>
      <c r="K136" s="603">
        <v>41761.953963237058</v>
      </c>
      <c r="L136" s="603">
        <v>41327.888347619351</v>
      </c>
      <c r="M136" s="603">
        <v>40895.836899080401</v>
      </c>
      <c r="N136" s="603">
        <v>40465.806885182297</v>
      </c>
      <c r="O136" s="603">
        <v>40037.805306553695</v>
      </c>
      <c r="P136" s="604">
        <v>39611.83889816211</v>
      </c>
    </row>
    <row r="137" spans="3:16">
      <c r="C137" s="614"/>
      <c r="D137" s="598">
        <f t="shared" si="4"/>
        <v>4.0921390025999996E-2</v>
      </c>
      <c r="E137" s="605">
        <v>44068.30626868632</v>
      </c>
      <c r="F137" s="605">
        <v>43622.904477377342</v>
      </c>
      <c r="G137" s="605">
        <v>43179.447546162417</v>
      </c>
      <c r="H137" s="605">
        <v>42737.945028094793</v>
      </c>
      <c r="I137" s="605">
        <v>42298.40619580698</v>
      </c>
      <c r="J137" s="605">
        <v>41865.184261053306</v>
      </c>
      <c r="K137" s="605">
        <v>41433.904400931395</v>
      </c>
      <c r="L137" s="605">
        <v>41004.574806506731</v>
      </c>
      <c r="M137" s="605">
        <v>40577.20340283354</v>
      </c>
      <c r="N137" s="605">
        <v>40151.797849962313</v>
      </c>
      <c r="O137" s="605">
        <v>39728.365544008666</v>
      </c>
      <c r="P137" s="592">
        <v>39306.913618281447</v>
      </c>
    </row>
    <row r="138" spans="3:16">
      <c r="C138" s="614"/>
      <c r="D138" s="598">
        <f t="shared" si="4"/>
        <v>4.1334737399999995E-2</v>
      </c>
      <c r="E138" s="605">
        <v>43710.96533008603</v>
      </c>
      <c r="F138" s="605">
        <v>43270.659918159341</v>
      </c>
      <c r="G138" s="605">
        <v>42832.240966369718</v>
      </c>
      <c r="H138" s="605">
        <v>42395.718390500457</v>
      </c>
      <c r="I138" s="605">
        <v>41961.101830156134</v>
      </c>
      <c r="J138" s="605">
        <v>41532.696740674248</v>
      </c>
      <c r="K138" s="605">
        <v>41106.177925137636</v>
      </c>
      <c r="L138" s="605">
        <v>40681.553942130602</v>
      </c>
      <c r="M138" s="605">
        <v>40258.833087711129</v>
      </c>
      <c r="N138" s="605">
        <v>39838.023396273937</v>
      </c>
      <c r="O138" s="605">
        <v>39419.13264147599</v>
      </c>
      <c r="P138" s="592">
        <v>39002.168337222196</v>
      </c>
    </row>
    <row r="139" spans="3:16">
      <c r="C139" s="614"/>
      <c r="D139" s="598">
        <f t="shared" si="4"/>
        <v>4.1752259999999992E-2</v>
      </c>
      <c r="E139" s="605">
        <v>43354.168504808607</v>
      </c>
      <c r="F139" s="605">
        <v>42918.922671029904</v>
      </c>
      <c r="G139" s="605">
        <v>42485.50593735891</v>
      </c>
      <c r="H139" s="605">
        <v>42053.928562888846</v>
      </c>
      <c r="I139" s="605">
        <v>41624.200534955387</v>
      </c>
      <c r="J139" s="605">
        <v>41200.579854592448</v>
      </c>
      <c r="K139" s="605">
        <v>40778.790591928228</v>
      </c>
      <c r="L139" s="605">
        <v>40358.841654928685</v>
      </c>
      <c r="M139" s="605">
        <v>39940.741692700911</v>
      </c>
      <c r="N139" s="605">
        <v>39524.499096214247</v>
      </c>
      <c r="O139" s="605">
        <v>39110.121999084367</v>
      </c>
      <c r="P139" s="592">
        <v>38697.618278419017</v>
      </c>
    </row>
    <row r="140" spans="3:16">
      <c r="C140" s="614"/>
      <c r="D140" s="598">
        <f>D141*0.99</f>
        <v>4.2173999999999996E-2</v>
      </c>
      <c r="E140" s="605">
        <v>42997.932536438973</v>
      </c>
      <c r="F140" s="605">
        <v>42567.709373346406</v>
      </c>
      <c r="G140" s="605">
        <v>42139.258981633335</v>
      </c>
      <c r="H140" s="605">
        <v>41712.591944741012</v>
      </c>
      <c r="I140" s="605">
        <v>41287.718578940257</v>
      </c>
      <c r="J140" s="605">
        <v>40868.849734916017</v>
      </c>
      <c r="K140" s="605">
        <v>40451.758390046562</v>
      </c>
      <c r="L140" s="605">
        <v>40036.45378393829</v>
      </c>
      <c r="M140" s="605">
        <v>39622.944901177689</v>
      </c>
      <c r="N140" s="605">
        <v>39211.240471912337</v>
      </c>
      <c r="O140" s="605">
        <v>38801.348972496155</v>
      </c>
      <c r="P140" s="592">
        <v>38393.278626197141</v>
      </c>
    </row>
    <row r="141" spans="3:16">
      <c r="C141" s="614"/>
      <c r="D141" s="599">
        <v>4.2599999999999999E-2</v>
      </c>
      <c r="E141" s="605">
        <v>42642.274059520685</v>
      </c>
      <c r="F141" s="605">
        <v>42217.036560208995</v>
      </c>
      <c r="G141" s="605">
        <v>41793.516526097985</v>
      </c>
      <c r="H141" s="605">
        <v>41371.724846469973</v>
      </c>
      <c r="I141" s="605">
        <v>40951.672148177699</v>
      </c>
      <c r="J141" s="605">
        <v>40537.522437288128</v>
      </c>
      <c r="K141" s="605">
        <v>40125.097237840324</v>
      </c>
      <c r="L141" s="605">
        <v>39714.406103734917</v>
      </c>
      <c r="M141" s="605">
        <v>39305.458337850599</v>
      </c>
      <c r="N141" s="605">
        <v>38898.262992488679</v>
      </c>
      <c r="O141" s="605">
        <v>38492.828869881589</v>
      </c>
      <c r="P141" s="592">
        <v>38089.164522765022</v>
      </c>
    </row>
    <row r="142" spans="3:16">
      <c r="C142" s="614"/>
      <c r="D142" s="598">
        <f>D141*1.01</f>
        <v>4.3026000000000002E-2</v>
      </c>
      <c r="E142" s="605">
        <v>42290.73965527054</v>
      </c>
      <c r="F142" s="605">
        <v>41870.401662918506</v>
      </c>
      <c r="G142" s="605">
        <v>41451.727378534953</v>
      </c>
      <c r="H142" s="605">
        <v>41034.727976411232</v>
      </c>
      <c r="I142" s="605">
        <v>40619.414373242864</v>
      </c>
      <c r="J142" s="605">
        <v>40209.904499466051</v>
      </c>
      <c r="K142" s="605">
        <v>39802.067586777841</v>
      </c>
      <c r="L142" s="605">
        <v>39395.913483541932</v>
      </c>
      <c r="M142" s="605">
        <v>38991.451791205254</v>
      </c>
      <c r="N142" s="605">
        <v>38588.691864609355</v>
      </c>
      <c r="O142" s="605">
        <v>38187.642812366641</v>
      </c>
      <c r="P142" s="592">
        <v>37788.313497300493</v>
      </c>
    </row>
    <row r="143" spans="3:16">
      <c r="C143" s="614"/>
      <c r="D143" s="598">
        <f t="shared" ref="D143:D147" si="5">D142*1.01</f>
        <v>4.3456260000000003E-2</v>
      </c>
      <c r="E143" s="605">
        <v>41939.803425886021</v>
      </c>
      <c r="F143" s="605">
        <v>41524.328492094777</v>
      </c>
      <c r="G143" s="605">
        <v>41110.464493923399</v>
      </c>
      <c r="H143" s="605">
        <v>40698.222873408784</v>
      </c>
      <c r="I143" s="605">
        <v>40287.614819952607</v>
      </c>
      <c r="J143" s="605">
        <v>39882.712491314596</v>
      </c>
      <c r="K143" s="605">
        <v>39479.432472032866</v>
      </c>
      <c r="L143" s="605">
        <v>39077.784888693634</v>
      </c>
      <c r="M143" s="605">
        <v>38677.779625206836</v>
      </c>
      <c r="N143" s="605">
        <v>38279.426322987259</v>
      </c>
      <c r="O143" s="605">
        <v>37882.734381201015</v>
      </c>
      <c r="P143" s="592">
        <v>37487.71295707651</v>
      </c>
    </row>
    <row r="144" spans="3:16">
      <c r="C144" s="614"/>
      <c r="D144" s="598">
        <f t="shared" si="5"/>
        <v>4.3890822600000004E-2</v>
      </c>
      <c r="E144" s="605">
        <v>41589.481181461044</v>
      </c>
      <c r="F144" s="605">
        <v>41178.832780836608</v>
      </c>
      <c r="G144" s="605">
        <v>40769.743519539363</v>
      </c>
      <c r="H144" s="605">
        <v>40362.225090518303</v>
      </c>
      <c r="I144" s="605">
        <v>39956.288939164733</v>
      </c>
      <c r="J144" s="605">
        <v>39555.961755053046</v>
      </c>
      <c r="K144" s="605">
        <v>39157.207120153071</v>
      </c>
      <c r="L144" s="605">
        <v>38760.035423409026</v>
      </c>
      <c r="M144" s="605">
        <v>38364.456815454483</v>
      </c>
      <c r="N144" s="605">
        <v>37970.481208666024</v>
      </c>
      <c r="O144" s="605">
        <v>37578.118277283102</v>
      </c>
      <c r="P144" s="592">
        <v>37187.377457592476</v>
      </c>
    </row>
    <row r="145" spans="3:16">
      <c r="C145" s="614"/>
      <c r="D145" s="598">
        <f t="shared" si="5"/>
        <v>4.4329730826000002E-2</v>
      </c>
      <c r="E145" s="605">
        <v>41239.788616245962</v>
      </c>
      <c r="F145" s="605">
        <v>40833.930152814981</v>
      </c>
      <c r="G145" s="605">
        <v>40429.579999544105</v>
      </c>
      <c r="H145" s="605">
        <v>40026.750083888241</v>
      </c>
      <c r="I145" s="605">
        <v>39625.4520909278</v>
      </c>
      <c r="J145" s="605">
        <v>39229.667548017467</v>
      </c>
      <c r="K145" s="605">
        <v>38835.406678615989</v>
      </c>
      <c r="L145" s="605">
        <v>38442.680118534467</v>
      </c>
      <c r="M145" s="605">
        <v>38051.498269753902</v>
      </c>
      <c r="N145" s="605">
        <v>37661.871300355073</v>
      </c>
      <c r="O145" s="605">
        <v>37273.809144514482</v>
      </c>
      <c r="P145" s="592">
        <v>36887.321502564941</v>
      </c>
    </row>
    <row r="146" spans="3:16">
      <c r="C146" s="614"/>
      <c r="D146" s="598">
        <f t="shared" si="5"/>
        <v>4.4773028134260005E-2</v>
      </c>
      <c r="E146" s="605">
        <v>40890.741306004973</v>
      </c>
      <c r="F146" s="605">
        <v>40489.636119598552</v>
      </c>
      <c r="G146" s="605">
        <v>40089.989372283293</v>
      </c>
      <c r="H146" s="605">
        <v>39691.813210036336</v>
      </c>
      <c r="I146" s="605">
        <v>39295.119541739085</v>
      </c>
      <c r="J146" s="605">
        <v>38903.845039904925</v>
      </c>
      <c r="K146" s="605">
        <v>38514.046213062829</v>
      </c>
      <c r="L146" s="605">
        <v>38125.733928770336</v>
      </c>
      <c r="M146" s="605">
        <v>37738.91882534101</v>
      </c>
      <c r="N146" s="605">
        <v>37353.611311653891</v>
      </c>
      <c r="O146" s="605">
        <v>36969.821567028222</v>
      </c>
      <c r="P146" s="592">
        <v>36587.559541163602</v>
      </c>
    </row>
    <row r="147" spans="3:16" ht="17" thickBot="1">
      <c r="C147" s="614"/>
      <c r="D147" s="598">
        <f t="shared" si="5"/>
        <v>4.5220758415602608E-2</v>
      </c>
      <c r="E147" s="593">
        <v>40542.354705418606</v>
      </c>
      <c r="F147" s="593">
        <v>40145.966078023223</v>
      </c>
      <c r="G147" s="593">
        <v>39750.986967627148</v>
      </c>
      <c r="H147" s="593">
        <v>39357.429723165151</v>
      </c>
      <c r="I147" s="593">
        <v>38965.306461839937</v>
      </c>
      <c r="J147" s="593">
        <v>38578.509310052235</v>
      </c>
      <c r="K147" s="593">
        <v>38193.140704565005</v>
      </c>
      <c r="L147" s="593">
        <v>37809.211729929477</v>
      </c>
      <c r="M147" s="593">
        <v>37426.733246135605</v>
      </c>
      <c r="N147" s="593">
        <v>37045.715888303865</v>
      </c>
      <c r="O147" s="593">
        <v>36666.170066442355</v>
      </c>
      <c r="P147" s="595">
        <v>36288.105965269388</v>
      </c>
    </row>
    <row r="151" spans="3:16" ht="28" thickBot="1">
      <c r="D151" s="615" t="s">
        <v>2294</v>
      </c>
      <c r="E151" s="615"/>
      <c r="F151" s="615"/>
      <c r="G151" s="615"/>
      <c r="H151" s="615"/>
      <c r="I151" s="615"/>
      <c r="J151" s="615"/>
      <c r="K151" s="615"/>
      <c r="L151" s="615"/>
      <c r="M151" s="615"/>
      <c r="N151" s="615"/>
      <c r="O151" s="615"/>
      <c r="P151" s="615"/>
    </row>
    <row r="152" spans="3:16" ht="17" thickBot="1">
      <c r="C152" s="596" t="s">
        <v>2292</v>
      </c>
      <c r="D152" s="601">
        <f>E99</f>
        <v>40951.672148177699</v>
      </c>
      <c r="E152" s="607">
        <f t="shared" ref="E152:G152" si="6">F152*(0.99)</f>
        <v>4.6818404527556479E-2</v>
      </c>
      <c r="F152" s="607">
        <f t="shared" si="6"/>
        <v>4.7291317704602501E-2</v>
      </c>
      <c r="G152" s="607">
        <f t="shared" si="6"/>
        <v>4.7769007782426771E-2</v>
      </c>
      <c r="H152" s="607">
        <f>I152*(0.99)</f>
        <v>4.8251523012552297E-2</v>
      </c>
      <c r="I152" s="608">
        <f>SUMPRODUCT('Workshop #6'!G194:G196,'Workshop #6'!H194:H196)/SUM('Workshop #6'!H194:H196)</f>
        <v>4.8738912133891213E-2</v>
      </c>
      <c r="J152" s="607">
        <f>I152*(1.01)</f>
        <v>4.9226301255230129E-2</v>
      </c>
      <c r="K152" s="607">
        <f t="shared" ref="K152:P152" si="7">J152*(1.01)</f>
        <v>4.9718564267782428E-2</v>
      </c>
      <c r="L152" s="607">
        <f t="shared" si="7"/>
        <v>5.0215749910460253E-2</v>
      </c>
      <c r="M152" s="607">
        <f t="shared" si="7"/>
        <v>5.0717907409564854E-2</v>
      </c>
      <c r="N152" s="607">
        <f t="shared" si="7"/>
        <v>5.1225086483660504E-2</v>
      </c>
      <c r="O152" s="607">
        <f t="shared" si="7"/>
        <v>5.1737337348497107E-2</v>
      </c>
      <c r="P152" s="607">
        <f t="shared" si="7"/>
        <v>5.2254710721982081E-2</v>
      </c>
    </row>
    <row r="153" spans="3:16">
      <c r="C153" s="613" t="s">
        <v>2285</v>
      </c>
      <c r="D153" s="598">
        <f>D136</f>
        <v>4.0512176125739999E-2</v>
      </c>
      <c r="E153" s="605">
        <f t="dataTable" ref="E153:P164" dt2D="1" dtr="1" r1="D130" r2="D128" ca="1"/>
        <v>42934.930807469951</v>
      </c>
      <c r="F153" s="605">
        <v>42861.071466406283</v>
      </c>
      <c r="G153" s="605">
        <v>42786.647888733562</v>
      </c>
      <c r="H153" s="605">
        <v>42711.657385315106</v>
      </c>
      <c r="I153" s="605">
        <v>42636.097283568619</v>
      </c>
      <c r="J153" s="605">
        <v>42560.725303930536</v>
      </c>
      <c r="K153" s="605">
        <v>42484.789842535291</v>
      </c>
      <c r="L153" s="605">
        <v>42408.288357475423</v>
      </c>
      <c r="M153" s="605">
        <v>42331.218325244387</v>
      </c>
      <c r="N153" s="605">
        <v>42253.577241375016</v>
      </c>
      <c r="O153" s="605">
        <v>42175.362621083899</v>
      </c>
      <c r="P153" s="605">
        <v>42096.571999923057</v>
      </c>
    </row>
    <row r="154" spans="3:16">
      <c r="C154" s="614"/>
      <c r="D154" s="598">
        <f t="shared" ref="D154:D164" si="8">D137</f>
        <v>4.0921390025999996E-2</v>
      </c>
      <c r="E154" s="605">
        <v>42593.912550504654</v>
      </c>
      <c r="F154" s="605">
        <v>42520.877058619873</v>
      </c>
      <c r="G154" s="605">
        <v>42447.28262096164</v>
      </c>
      <c r="H154" s="605">
        <v>42373.126555388306</v>
      </c>
      <c r="I154" s="605">
        <v>42298.40619580698</v>
      </c>
      <c r="J154" s="605">
        <v>42223.870833832196</v>
      </c>
      <c r="K154" s="605">
        <v>42148.777200535304</v>
      </c>
      <c r="L154" s="605">
        <v>42073.122758790589</v>
      </c>
      <c r="M154" s="605">
        <v>41996.904989353789</v>
      </c>
      <c r="N154" s="605">
        <v>41920.12139149171</v>
      </c>
      <c r="O154" s="605">
        <v>41842.769483618904</v>
      </c>
      <c r="P154" s="605">
        <v>41764.846803940382</v>
      </c>
    </row>
    <row r="155" spans="3:16">
      <c r="C155" s="614"/>
      <c r="D155" s="598">
        <f t="shared" si="8"/>
        <v>4.1334737399999995E-2</v>
      </c>
      <c r="E155" s="605">
        <v>42253.303496287008</v>
      </c>
      <c r="F155" s="605">
        <v>42181.08626176403</v>
      </c>
      <c r="G155" s="605">
        <v>42108.31535320924</v>
      </c>
      <c r="H155" s="605">
        <v>42034.988095773166</v>
      </c>
      <c r="I155" s="605">
        <v>41961.101830156134</v>
      </c>
      <c r="J155" s="605">
        <v>41887.397475932892</v>
      </c>
      <c r="K155" s="605">
        <v>41813.140043308966</v>
      </c>
      <c r="L155" s="605">
        <v>41738.327000255435</v>
      </c>
      <c r="M155" s="605">
        <v>41662.955832112129</v>
      </c>
      <c r="N155" s="605">
        <v>41587.024042208745</v>
      </c>
      <c r="O155" s="605">
        <v>41510.529152493153</v>
      </c>
      <c r="P155" s="605">
        <v>41433.468704166131</v>
      </c>
    </row>
    <row r="156" spans="3:16">
      <c r="C156" s="614"/>
      <c r="D156" s="598">
        <f t="shared" si="8"/>
        <v>4.1752259999999992E-2</v>
      </c>
      <c r="E156" s="605">
        <v>41913.120086414325</v>
      </c>
      <c r="F156" s="605">
        <v>41841.715494720505</v>
      </c>
      <c r="G156" s="605">
        <v>41769.762481246296</v>
      </c>
      <c r="H156" s="605">
        <v>41697.258378726896</v>
      </c>
      <c r="I156" s="605">
        <v>41624.200534955387</v>
      </c>
      <c r="J156" s="605">
        <v>41551.321554488633</v>
      </c>
      <c r="K156" s="605">
        <v>41477.894670623049</v>
      </c>
      <c r="L156" s="605">
        <v>41403.917356737598</v>
      </c>
      <c r="M156" s="605">
        <v>41329.38710307367</v>
      </c>
      <c r="N156" s="605">
        <v>41254.301417348521</v>
      </c>
      <c r="O156" s="605">
        <v>41178.657825374765</v>
      </c>
      <c r="P156" s="605">
        <v>41102.453871686688</v>
      </c>
    </row>
    <row r="157" spans="3:16">
      <c r="C157" s="614"/>
      <c r="D157" s="598">
        <f t="shared" si="8"/>
        <v>4.2173999999999996E-2</v>
      </c>
      <c r="E157" s="605">
        <v>41573.378678587134</v>
      </c>
      <c r="F157" s="605">
        <v>41502.781093540005</v>
      </c>
      <c r="G157" s="605">
        <v>41431.64031908226</v>
      </c>
      <c r="H157" s="605">
        <v>41359.953695822136</v>
      </c>
      <c r="I157" s="605">
        <v>41287.718578940257</v>
      </c>
      <c r="J157" s="605">
        <v>41215.659315226454</v>
      </c>
      <c r="K157" s="605">
        <v>41143.057304795366</v>
      </c>
      <c r="L157" s="605">
        <v>41069.910026740246</v>
      </c>
      <c r="M157" s="605">
        <v>40996.214976517629</v>
      </c>
      <c r="N157" s="605">
        <v>40921.969666552337</v>
      </c>
      <c r="O157" s="605">
        <v>40847.171626848714</v>
      </c>
      <c r="P157" s="605">
        <v>40771.81840560877</v>
      </c>
    </row>
    <row r="158" spans="3:16">
      <c r="C158" s="614"/>
      <c r="D158" s="609">
        <f t="shared" si="8"/>
        <v>4.2599999999999999E-2</v>
      </c>
      <c r="E158" s="605">
        <v>41234.095543548603</v>
      </c>
      <c r="F158" s="605">
        <v>41164.299308380127</v>
      </c>
      <c r="G158" s="605">
        <v>41093.965095903375</v>
      </c>
      <c r="H158" s="605">
        <v>41023.090254882838</v>
      </c>
      <c r="I158" s="605">
        <v>40951.672148177699</v>
      </c>
      <c r="J158" s="605">
        <v>40880.426922279206</v>
      </c>
      <c r="K158" s="605">
        <v>40808.644087628607</v>
      </c>
      <c r="L158" s="605">
        <v>40736.321129335513</v>
      </c>
      <c r="M158" s="605">
        <v>40663.455548380844</v>
      </c>
      <c r="N158" s="605">
        <v>40590.044862212701</v>
      </c>
      <c r="O158" s="605">
        <v>40516.086605349898</v>
      </c>
      <c r="P158" s="605">
        <v>40441.578329991658</v>
      </c>
    </row>
    <row r="159" spans="3:16">
      <c r="C159" s="614"/>
      <c r="D159" s="598">
        <f t="shared" si="8"/>
        <v>4.3026000000000002E-2</v>
      </c>
      <c r="E159" s="605">
        <v>40898.655758970657</v>
      </c>
      <c r="F159" s="605">
        <v>40829.647308129577</v>
      </c>
      <c r="G159" s="605">
        <v>40760.106019880135</v>
      </c>
      <c r="H159" s="605">
        <v>40690.029251336971</v>
      </c>
      <c r="I159" s="605">
        <v>40619.414373242864</v>
      </c>
      <c r="J159" s="605">
        <v>40548.969470204298</v>
      </c>
      <c r="K159" s="605">
        <v>40477.992026431908</v>
      </c>
      <c r="L159" s="605">
        <v>40406.479533285557</v>
      </c>
      <c r="M159" s="605">
        <v>40334.429497515317</v>
      </c>
      <c r="N159" s="605">
        <v>40261.839441849661</v>
      </c>
      <c r="O159" s="605">
        <v>40188.706905590458</v>
      </c>
      <c r="P159" s="605">
        <v>40115.029445214583</v>
      </c>
    </row>
    <row r="160" spans="3:16">
      <c r="C160" s="614"/>
      <c r="D160" s="598">
        <f t="shared" si="8"/>
        <v>4.3456260000000003E-2</v>
      </c>
      <c r="E160" s="605">
        <v>40563.69664582728</v>
      </c>
      <c r="F160" s="605">
        <v>40495.470397500787</v>
      </c>
      <c r="G160" s="605">
        <v>40426.716431062174</v>
      </c>
      <c r="H160" s="605">
        <v>40357.43211224534</v>
      </c>
      <c r="I160" s="605">
        <v>40287.614819952607</v>
      </c>
      <c r="J160" s="605">
        <v>40217.964633629825</v>
      </c>
      <c r="K160" s="605">
        <v>40147.786955488191</v>
      </c>
      <c r="L160" s="605">
        <v>40077.079283425264</v>
      </c>
      <c r="M160" s="605">
        <v>40005.839130254601</v>
      </c>
      <c r="N160" s="605">
        <v>39934.064024285835</v>
      </c>
      <c r="O160" s="605">
        <v>39861.75150991165</v>
      </c>
      <c r="P160" s="605">
        <v>39788.899148201046</v>
      </c>
    </row>
    <row r="161" spans="3:16">
      <c r="C161" s="614"/>
      <c r="D161" s="598">
        <f t="shared" si="8"/>
        <v>4.3890822600000004E-2</v>
      </c>
      <c r="E161" s="605">
        <v>40229.233724765567</v>
      </c>
      <c r="F161" s="605">
        <v>40161.784080236372</v>
      </c>
      <c r="G161" s="605">
        <v>40093.811815928631</v>
      </c>
      <c r="H161" s="605">
        <v>40025.314306460379</v>
      </c>
      <c r="I161" s="605">
        <v>39956.288939164733</v>
      </c>
      <c r="J161" s="605">
        <v>39887.427845231214</v>
      </c>
      <c r="K161" s="605">
        <v>39818.044288921097</v>
      </c>
      <c r="L161" s="605">
        <v>39748.135774952832</v>
      </c>
      <c r="M161" s="605">
        <v>39677.699822493247</v>
      </c>
      <c r="N161" s="605">
        <v>39606.73396572972</v>
      </c>
      <c r="O161" s="605">
        <v>39535.235754448935</v>
      </c>
      <c r="P161" s="605">
        <v>39463.202754622282</v>
      </c>
    </row>
    <row r="162" spans="3:16">
      <c r="C162" s="614"/>
      <c r="D162" s="598">
        <f t="shared" si="8"/>
        <v>4.4329730826000002E-2</v>
      </c>
      <c r="E162" s="605">
        <v>39895.282421534474</v>
      </c>
      <c r="F162" s="605">
        <v>39828.603766194821</v>
      </c>
      <c r="G162" s="605">
        <v>39761.407568094364</v>
      </c>
      <c r="H162" s="605">
        <v>39693.691210995021</v>
      </c>
      <c r="I162" s="605">
        <v>39625.4520909278</v>
      </c>
      <c r="J162" s="605">
        <v>39557.37444789998</v>
      </c>
      <c r="K162" s="605">
        <v>39488.779352100821</v>
      </c>
      <c r="L162" s="605">
        <v>39419.664315348331</v>
      </c>
      <c r="M162" s="605">
        <v>39350.026863448249</v>
      </c>
      <c r="N162" s="605">
        <v>39279.864536757792</v>
      </c>
      <c r="O162" s="605">
        <v>39209.174890756556</v>
      </c>
      <c r="P162" s="605">
        <v>39137.955496623668</v>
      </c>
    </row>
    <row r="163" spans="3:16">
      <c r="C163" s="614"/>
      <c r="D163" s="598">
        <f t="shared" si="8"/>
        <v>4.4773028134260005E-2</v>
      </c>
      <c r="E163" s="605">
        <v>39561.858064254484</v>
      </c>
      <c r="F163" s="605">
        <v>39495.944768617366</v>
      </c>
      <c r="G163" s="605">
        <v>39429.518985573188</v>
      </c>
      <c r="H163" s="605">
        <v>39362.5781082834</v>
      </c>
      <c r="I163" s="605">
        <v>39295.119541739085</v>
      </c>
      <c r="J163" s="605">
        <v>39227.819691998797</v>
      </c>
      <c r="K163" s="605">
        <v>39160.007378896364</v>
      </c>
      <c r="L163" s="605">
        <v>39091.680121623991</v>
      </c>
      <c r="M163" s="605">
        <v>39022.835452906998</v>
      </c>
      <c r="N163" s="605">
        <v>38953.470919560285</v>
      </c>
      <c r="O163" s="605">
        <v>38883.584083050664</v>
      </c>
      <c r="P163" s="605">
        <v>38813.172520066088</v>
      </c>
    </row>
    <row r="164" spans="3:16">
      <c r="C164" s="614"/>
      <c r="D164" s="598">
        <f t="shared" si="8"/>
        <v>4.5220758415602608E-2</v>
      </c>
      <c r="E164" s="605">
        <v>39228.97588072611</v>
      </c>
      <c r="F164" s="605">
        <v>39163.822301432941</v>
      </c>
      <c r="G164" s="605">
        <v>39098.16126808009</v>
      </c>
      <c r="H164" s="605">
        <v>39031.990183479473</v>
      </c>
      <c r="I164" s="605">
        <v>38965.306461839937</v>
      </c>
      <c r="J164" s="605">
        <v>38898.778732653875</v>
      </c>
      <c r="K164" s="605">
        <v>38831.743508965468</v>
      </c>
      <c r="L164" s="605">
        <v>38764.198317610571</v>
      </c>
      <c r="M164" s="605">
        <v>38696.140698510942</v>
      </c>
      <c r="N164" s="605">
        <v>38627.56820522208</v>
      </c>
      <c r="O164" s="605">
        <v>38558.47840548784</v>
      </c>
      <c r="P164" s="605">
        <v>38488.868881801907</v>
      </c>
    </row>
    <row r="168" spans="3:16" ht="28" thickBot="1">
      <c r="D168" s="615" t="s">
        <v>2295</v>
      </c>
      <c r="E168" s="615"/>
      <c r="F168" s="615"/>
      <c r="G168" s="615"/>
      <c r="H168" s="615"/>
      <c r="I168" s="615"/>
      <c r="J168" s="615"/>
      <c r="K168" s="615"/>
      <c r="L168" s="615"/>
      <c r="M168" s="615"/>
      <c r="N168" s="615"/>
      <c r="O168" s="615"/>
      <c r="P168" s="615"/>
    </row>
    <row r="169" spans="3:16" ht="17" thickBot="1">
      <c r="C169" s="596" t="s">
        <v>2292</v>
      </c>
      <c r="D169" s="601">
        <f>E99</f>
        <v>40951.672148177699</v>
      </c>
      <c r="E169" s="607">
        <f t="shared" ref="E169:G169" si="9">F169*(0.99)</f>
        <v>2.4014900249999999E-2</v>
      </c>
      <c r="F169" s="607">
        <f t="shared" si="9"/>
        <v>2.4257475000000001E-2</v>
      </c>
      <c r="G169" s="607">
        <f t="shared" si="9"/>
        <v>2.45025E-2</v>
      </c>
      <c r="H169" s="607">
        <f>I169*(0.99)</f>
        <v>2.4750000000000001E-2</v>
      </c>
      <c r="I169" s="608">
        <v>2.5000000000000001E-2</v>
      </c>
      <c r="J169" s="607">
        <f>I169*1.01</f>
        <v>2.5250000000000002E-2</v>
      </c>
      <c r="K169" s="607">
        <f t="shared" ref="K169:P169" si="10">J169*1.01</f>
        <v>2.5502500000000001E-2</v>
      </c>
      <c r="L169" s="607">
        <f t="shared" si="10"/>
        <v>2.5757525E-2</v>
      </c>
      <c r="M169" s="607">
        <f t="shared" si="10"/>
        <v>2.6015100249999999E-2</v>
      </c>
      <c r="N169" s="607">
        <f t="shared" si="10"/>
        <v>2.62752512525E-2</v>
      </c>
      <c r="O169" s="607">
        <f t="shared" si="10"/>
        <v>2.6538003765024999E-2</v>
      </c>
      <c r="P169" s="607">
        <f t="shared" si="10"/>
        <v>2.6803383802675249E-2</v>
      </c>
    </row>
    <row r="170" spans="3:16">
      <c r="C170" s="613" t="s">
        <v>2285</v>
      </c>
      <c r="D170" s="598">
        <f>D153</f>
        <v>4.0512176125739999E-2</v>
      </c>
      <c r="E170">
        <f t="dataTable" ref="E170:P181" dt2D="1" dtr="1" r1="D131" r2="D128" ca="1"/>
        <v>41856.194159274506</v>
      </c>
      <c r="F170">
        <v>42045.949117283817</v>
      </c>
      <c r="G170">
        <v>42239.128494796292</v>
      </c>
      <c r="H170">
        <v>42435.815810579385</v>
      </c>
      <c r="I170">
        <v>42636.097283568619</v>
      </c>
      <c r="J170">
        <v>42838.013970004176</v>
      </c>
      <c r="K170">
        <v>43043.630127122095</v>
      </c>
      <c r="L170">
        <v>43253.037904236953</v>
      </c>
      <c r="M170">
        <v>43466.332498391625</v>
      </c>
      <c r="N170">
        <v>43683.612281571463</v>
      </c>
      <c r="O170">
        <v>43904.978934347164</v>
      </c>
      <c r="P170">
        <v>44130.53758632901</v>
      </c>
    </row>
    <row r="171" spans="3:16">
      <c r="C171" s="614"/>
      <c r="D171" s="598">
        <f t="shared" ref="D171:D180" si="11">D154</f>
        <v>4.0921390025999996E-2</v>
      </c>
      <c r="E171">
        <v>41527.952918657742</v>
      </c>
      <c r="F171">
        <v>41715.421131794181</v>
      </c>
      <c r="G171">
        <v>41906.264266774626</v>
      </c>
      <c r="H171">
        <v>42100.564385841084</v>
      </c>
      <c r="I171">
        <v>42298.40619580698</v>
      </c>
      <c r="J171">
        <v>42497.854267367744</v>
      </c>
      <c r="K171">
        <v>42700.94726030239</v>
      </c>
      <c r="L171">
        <v>42907.775679776576</v>
      </c>
      <c r="M171">
        <v>43118.433014392351</v>
      </c>
      <c r="N171">
        <v>43333.015860303589</v>
      </c>
      <c r="O171">
        <v>43551.624051582752</v>
      </c>
      <c r="P171">
        <v>43774.36079720928</v>
      </c>
    </row>
    <row r="172" spans="3:16">
      <c r="C172" s="614"/>
      <c r="D172" s="598">
        <f t="shared" si="11"/>
        <v>4.1334737399999995E-2</v>
      </c>
      <c r="E172">
        <v>41200.030162095252</v>
      </c>
      <c r="F172">
        <v>41385.227917224191</v>
      </c>
      <c r="G172">
        <v>41573.751598389608</v>
      </c>
      <c r="H172">
        <v>41765.681830945483</v>
      </c>
      <c r="I172">
        <v>41961.101830156134</v>
      </c>
      <c r="J172">
        <v>42158.099516638787</v>
      </c>
      <c r="K172">
        <v>42358.688149580266</v>
      </c>
      <c r="L172">
        <v>42562.956612990201</v>
      </c>
      <c r="M172">
        <v>42770.996711143474</v>
      </c>
      <c r="N172">
        <v>42982.903289661859</v>
      </c>
      <c r="O172">
        <v>43198.774362673328</v>
      </c>
      <c r="P172">
        <v>43418.711246408267</v>
      </c>
    </row>
    <row r="173" spans="3:16">
      <c r="C173" s="614"/>
      <c r="D173" s="598">
        <f t="shared" si="11"/>
        <v>4.1752259999999992E-2</v>
      </c>
      <c r="E173">
        <v>40872.441971853274</v>
      </c>
      <c r="F173">
        <v>41055.385623764159</v>
      </c>
      <c r="G173">
        <v>41241.606706905011</v>
      </c>
      <c r="H173">
        <v>41431.184429251764</v>
      </c>
      <c r="I173">
        <v>41624.200534955387</v>
      </c>
      <c r="J173">
        <v>41818.766129245807</v>
      </c>
      <c r="K173">
        <v>42016.869268080074</v>
      </c>
      <c r="L173">
        <v>42218.597237137546</v>
      </c>
      <c r="M173">
        <v>42424.040180299955</v>
      </c>
      <c r="N173">
        <v>42633.29121776254</v>
      </c>
      <c r="O173">
        <v>42846.446570053777</v>
      </c>
      <c r="P173">
        <v>43063.60568831196</v>
      </c>
    </row>
    <row r="174" spans="3:16">
      <c r="C174" s="614"/>
      <c r="D174" s="598">
        <f t="shared" si="11"/>
        <v>4.2173999999999996E-2</v>
      </c>
      <c r="E174">
        <v>40545.204363779318</v>
      </c>
      <c r="F174">
        <v>40725.910332018997</v>
      </c>
      <c r="G174">
        <v>40909.845736747724</v>
      </c>
      <c r="H174">
        <v>41097.088387943651</v>
      </c>
      <c r="I174">
        <v>41287.718578940257</v>
      </c>
      <c r="J174">
        <v>41479.870433528929</v>
      </c>
      <c r="K174">
        <v>41675.507002260427</v>
      </c>
      <c r="L174">
        <v>41874.713995140402</v>
      </c>
      <c r="M174">
        <v>42077.579919409087</v>
      </c>
      <c r="N174">
        <v>42284.196194744494</v>
      </c>
      <c r="O174">
        <v>42494.657274209516</v>
      </c>
      <c r="P174">
        <v>42709.060771279816</v>
      </c>
    </row>
    <row r="175" spans="3:16">
      <c r="C175" s="614"/>
      <c r="D175" s="609">
        <f t="shared" si="11"/>
        <v>4.2599999999999999E-2</v>
      </c>
      <c r="E175">
        <v>40218.333284225861</v>
      </c>
      <c r="F175">
        <v>40396.818049932968</v>
      </c>
      <c r="G175">
        <v>40578.484756434751</v>
      </c>
      <c r="H175">
        <v>40763.409834959719</v>
      </c>
      <c r="I175">
        <v>40951.672148177699</v>
      </c>
      <c r="J175">
        <v>41141.4286716809</v>
      </c>
      <c r="K175">
        <v>41334.617648862783</v>
      </c>
      <c r="L175">
        <v>41531.323236540127</v>
      </c>
      <c r="M175">
        <v>41731.63232887855</v>
      </c>
      <c r="N175">
        <v>41935.634669749692</v>
      </c>
      <c r="O175">
        <v>42143.422970671032</v>
      </c>
      <c r="P175">
        <v>42355.09303465535</v>
      </c>
    </row>
    <row r="176" spans="3:16">
      <c r="C176" s="614"/>
      <c r="D176" s="598">
        <f t="shared" si="11"/>
        <v>4.3026000000000002E-2</v>
      </c>
      <c r="E176">
        <v>39895.091369151232</v>
      </c>
      <c r="F176">
        <v>40071.393327549631</v>
      </c>
      <c r="G176">
        <v>40250.830694191252</v>
      </c>
      <c r="H176">
        <v>40433.478554104295</v>
      </c>
      <c r="I176">
        <v>40619.414373242864</v>
      </c>
      <c r="J176">
        <v>40806.817586671241</v>
      </c>
      <c r="K176">
        <v>40997.602073149494</v>
      </c>
      <c r="L176">
        <v>41191.850473739847</v>
      </c>
      <c r="M176">
        <v>41389.648108617024</v>
      </c>
      <c r="N176">
        <v>41591.083086667139</v>
      </c>
      <c r="O176">
        <v>41796.246420514028</v>
      </c>
      <c r="P176">
        <v>42005.232147289709</v>
      </c>
    </row>
    <row r="177" spans="3:16">
      <c r="C177" s="614"/>
      <c r="D177" s="598">
        <f t="shared" si="11"/>
        <v>4.3456260000000003E-2</v>
      </c>
      <c r="E177">
        <v>39572.239615979219</v>
      </c>
      <c r="F177">
        <v>39746.375032778473</v>
      </c>
      <c r="G177">
        <v>39923.599812206689</v>
      </c>
      <c r="H177">
        <v>40103.987711694914</v>
      </c>
      <c r="I177">
        <v>40287.614819952607</v>
      </c>
      <c r="J177">
        <v>40472.682866770592</v>
      </c>
      <c r="K177">
        <v>40661.08156132423</v>
      </c>
      <c r="L177">
        <v>40852.892050619521</v>
      </c>
      <c r="M177">
        <v>41048.198103573835</v>
      </c>
      <c r="N177">
        <v>41247.086217915312</v>
      </c>
      <c r="O177">
        <v>41449.645732357836</v>
      </c>
      <c r="P177">
        <v>41655.968944358945</v>
      </c>
    </row>
    <row r="178" spans="3:16">
      <c r="C178" s="614"/>
      <c r="D178" s="598">
        <f t="shared" si="11"/>
        <v>4.3890822600000004E-2</v>
      </c>
      <c r="E178">
        <v>39249.793280984057</v>
      </c>
      <c r="F178">
        <v>39421.778472513397</v>
      </c>
      <c r="G178">
        <v>39596.807466769882</v>
      </c>
      <c r="H178">
        <v>39774.952712056387</v>
      </c>
      <c r="I178">
        <v>39956.288939164733</v>
      </c>
      <c r="J178">
        <v>40139.040007274118</v>
      </c>
      <c r="K178">
        <v>40325.071651333565</v>
      </c>
      <c r="L178">
        <v>40514.463545818144</v>
      </c>
      <c r="M178">
        <v>40707.297930936067</v>
      </c>
      <c r="N178">
        <v>40903.659716885901</v>
      </c>
      <c r="O178">
        <v>41103.636593241747</v>
      </c>
      <c r="P178">
        <v>41307.319143763729</v>
      </c>
    </row>
    <row r="179" spans="3:16">
      <c r="C179" s="614"/>
      <c r="D179" s="598">
        <f t="shared" si="11"/>
        <v>4.4329730826000002E-2</v>
      </c>
      <c r="E179">
        <v>38927.767542194728</v>
      </c>
      <c r="F179">
        <v>39097.618872377614</v>
      </c>
      <c r="G179">
        <v>39270.46892979784</v>
      </c>
      <c r="H179">
        <v>39446.388871962859</v>
      </c>
      <c r="I179">
        <v>39625.4520909278</v>
      </c>
      <c r="J179">
        <v>39805.904409361239</v>
      </c>
      <c r="K179">
        <v>39989.587783619922</v>
      </c>
      <c r="L179">
        <v>40176.580436998491</v>
      </c>
      <c r="M179">
        <v>40366.963103356757</v>
      </c>
      <c r="N179">
        <v>40560.819128791292</v>
      </c>
      <c r="O179">
        <v>40758.234578291034</v>
      </c>
      <c r="P179">
        <v>40959.29834766456</v>
      </c>
    </row>
    <row r="180" spans="3:16">
      <c r="C180" s="614"/>
      <c r="D180" s="598">
        <f t="shared" si="11"/>
        <v>4.4773028134260005E-2</v>
      </c>
      <c r="E180">
        <v>38606.177496617769</v>
      </c>
      <c r="F180">
        <v>38773.911373953561</v>
      </c>
      <c r="G180">
        <v>38944.599386073693</v>
      </c>
      <c r="H180">
        <v>39118.311417885016</v>
      </c>
      <c r="I180">
        <v>39295.119541739085</v>
      </c>
      <c r="J180">
        <v>39473.291377365662</v>
      </c>
      <c r="K180">
        <v>39654.645298405092</v>
      </c>
      <c r="L180">
        <v>39839.258098145612</v>
      </c>
      <c r="M180">
        <v>40027.209026270197</v>
      </c>
      <c r="N180">
        <v>40218.579887998283</v>
      </c>
      <c r="O180">
        <v>40413.455148070934</v>
      </c>
      <c r="P180">
        <v>40611.922039858211</v>
      </c>
    </row>
    <row r="181" spans="3:16">
      <c r="C181" s="614"/>
      <c r="D181" s="598">
        <f>D164</f>
        <v>4.5220758415602608E-2</v>
      </c>
      <c r="E181">
        <v>38285.03815749276</v>
      </c>
      <c r="F181">
        <v>38450.671032046339</v>
      </c>
      <c r="G181">
        <v>38619.213930519509</v>
      </c>
      <c r="H181">
        <v>38790.73548327358</v>
      </c>
      <c r="I181">
        <v>38965.306461839937</v>
      </c>
      <c r="J181">
        <v>39141.216116083866</v>
      </c>
      <c r="K181">
        <v>39320.259433013511</v>
      </c>
      <c r="L181">
        <v>39502.511796906452</v>
      </c>
      <c r="M181">
        <v>39688.050995249505</v>
      </c>
      <c r="N181">
        <v>39876.957315405292</v>
      </c>
      <c r="O181">
        <v>40069.313645985458</v>
      </c>
      <c r="P181">
        <v>40265.205583199975</v>
      </c>
    </row>
    <row r="185" spans="3:16" ht="28" thickBot="1">
      <c r="D185" s="615" t="s">
        <v>2294</v>
      </c>
      <c r="E185" s="615"/>
      <c r="F185" s="615"/>
      <c r="G185" s="615"/>
      <c r="H185" s="615"/>
      <c r="I185" s="615"/>
      <c r="J185" s="615"/>
      <c r="K185" s="615"/>
      <c r="L185" s="615"/>
      <c r="M185" s="615"/>
      <c r="N185" s="615"/>
      <c r="O185" s="615"/>
      <c r="P185" s="615"/>
    </row>
    <row r="186" spans="3:16" ht="17" thickBot="1">
      <c r="C186" s="596" t="s">
        <v>2292</v>
      </c>
      <c r="D186" s="601">
        <f>E99</f>
        <v>40951.672148177699</v>
      </c>
      <c r="E186" s="607">
        <f t="shared" ref="E186:G186" si="12">F186*(0.99)</f>
        <v>4.6818404527556479E-2</v>
      </c>
      <c r="F186" s="607">
        <f t="shared" si="12"/>
        <v>4.7291317704602501E-2</v>
      </c>
      <c r="G186" s="607">
        <f t="shared" si="12"/>
        <v>4.7769007782426771E-2</v>
      </c>
      <c r="H186" s="607">
        <f>I186*(0.99)</f>
        <v>4.8251523012552297E-2</v>
      </c>
      <c r="I186" s="608">
        <f>SUMPRODUCT('Workshop #6'!G194:G196,'Workshop #6'!H194:H196)/SUM('Workshop #6'!H194:H196)</f>
        <v>4.8738912133891213E-2</v>
      </c>
      <c r="J186" s="607">
        <f>I186*1.01</f>
        <v>4.9226301255230129E-2</v>
      </c>
      <c r="K186" s="607">
        <f t="shared" ref="K186:P186" si="13">J186*1.01</f>
        <v>4.9718564267782428E-2</v>
      </c>
      <c r="L186" s="607">
        <f t="shared" si="13"/>
        <v>5.0215749910460253E-2</v>
      </c>
      <c r="M186" s="607">
        <f t="shared" si="13"/>
        <v>5.0717907409564854E-2</v>
      </c>
      <c r="N186" s="607">
        <f t="shared" si="13"/>
        <v>5.1225086483660504E-2</v>
      </c>
      <c r="O186" s="607">
        <f t="shared" si="13"/>
        <v>5.1737337348497107E-2</v>
      </c>
      <c r="P186" s="607">
        <f t="shared" si="13"/>
        <v>5.2254710721982081E-2</v>
      </c>
    </row>
    <row r="187" spans="3:16">
      <c r="C187" s="626" t="s">
        <v>239</v>
      </c>
      <c r="D187" s="610">
        <f t="shared" ref="D187:D190" si="14">D188*0.99</f>
        <v>0.9890296518959999</v>
      </c>
      <c r="E187">
        <f t="dataTable" ref="E187:P198" dt2D="1" dtr="1" r1="D130" r2="D129" ca="1"/>
        <v>43480.843162640267</v>
      </c>
      <c r="F187">
        <v>43405.655379136333</v>
      </c>
      <c r="G187">
        <v>43329.894863187619</v>
      </c>
      <c r="H187">
        <v>43253.558915103436</v>
      </c>
      <c r="I187">
        <v>43176.644852570396</v>
      </c>
      <c r="J187">
        <v>43099.923986447007</v>
      </c>
      <c r="K187">
        <v>43022.631274551393</v>
      </c>
      <c r="L187">
        <v>42944.764167997571</v>
      </c>
      <c r="M187">
        <v>42866.320137145332</v>
      </c>
      <c r="N187">
        <v>42787.296672251512</v>
      </c>
      <c r="O187">
        <v>42707.691284128385</v>
      </c>
      <c r="P187">
        <v>42627.501504808621</v>
      </c>
    </row>
    <row r="188" spans="3:16">
      <c r="C188" s="627"/>
      <c r="D188" s="610">
        <f t="shared" si="14"/>
        <v>0.99901985039999985</v>
      </c>
      <c r="E188">
        <v>43049.227357088894</v>
      </c>
      <c r="F188">
        <v>42975.090860829776</v>
      </c>
      <c r="G188">
        <v>42900.388351847774</v>
      </c>
      <c r="H188">
        <v>42825.117138730719</v>
      </c>
      <c r="I188">
        <v>42749.274546791741</v>
      </c>
      <c r="J188">
        <v>42673.621131952219</v>
      </c>
      <c r="K188">
        <v>42597.402486522857</v>
      </c>
      <c r="L188">
        <v>42520.616067065959</v>
      </c>
      <c r="M188">
        <v>42443.259348720348</v>
      </c>
      <c r="N188">
        <v>42365.329825842491</v>
      </c>
      <c r="O188">
        <v>42286.825012653608</v>
      </c>
      <c r="P188">
        <v>42207.742443894618</v>
      </c>
    </row>
    <row r="189" spans="3:16">
      <c r="C189" s="627"/>
      <c r="D189" s="610">
        <f t="shared" si="14"/>
        <v>1.0091109599999999</v>
      </c>
      <c r="E189">
        <v>42619.361726026676</v>
      </c>
      <c r="F189">
        <v>42546.264911964536</v>
      </c>
      <c r="G189">
        <v>42472.608757728078</v>
      </c>
      <c r="H189">
        <v>42398.390580643194</v>
      </c>
      <c r="I189">
        <v>42323.607714121848</v>
      </c>
      <c r="J189">
        <v>42249.010077182131</v>
      </c>
      <c r="K189">
        <v>42173.853780468278</v>
      </c>
      <c r="L189">
        <v>42098.136286486457</v>
      </c>
      <c r="M189">
        <v>42021.855075663014</v>
      </c>
      <c r="N189">
        <v>41945.007646974562</v>
      </c>
      <c r="O189">
        <v>41867.591518585141</v>
      </c>
      <c r="P189">
        <v>41789.604228489959</v>
      </c>
    </row>
    <row r="190" spans="3:16">
      <c r="C190" s="627"/>
      <c r="D190" s="610">
        <f t="shared" si="14"/>
        <v>1.019304</v>
      </c>
      <c r="E190">
        <v>42191.257237102524</v>
      </c>
      <c r="F190">
        <v>42119.188563178352</v>
      </c>
      <c r="G190">
        <v>42046.567174150638</v>
      </c>
      <c r="H190">
        <v>41973.390396530885</v>
      </c>
      <c r="I190">
        <v>41899.65557229027</v>
      </c>
      <c r="J190">
        <v>41826.102100952703</v>
      </c>
      <c r="K190">
        <v>41751.996495943735</v>
      </c>
      <c r="L190">
        <v>41677.336226197112</v>
      </c>
      <c r="M190">
        <v>41602.118777922689</v>
      </c>
      <c r="N190">
        <v>41526.341655226039</v>
      </c>
      <c r="O190">
        <v>41450.002380734906</v>
      </c>
      <c r="P190">
        <v>41373.098496232655</v>
      </c>
    </row>
    <row r="191" spans="3:16">
      <c r="C191" s="627"/>
      <c r="D191" s="610">
        <f>D192*0.99</f>
        <v>1.0296000000000001</v>
      </c>
      <c r="E191">
        <v>41764.924591252689</v>
      </c>
      <c r="F191">
        <v>41693.872579413117</v>
      </c>
      <c r="G191">
        <v>41622.274429772988</v>
      </c>
      <c r="H191">
        <v>41550.127478465176</v>
      </c>
      <c r="I191">
        <v>41477.42907646815</v>
      </c>
      <c r="J191">
        <v>41404.908220585567</v>
      </c>
      <c r="K191">
        <v>41331.841712089619</v>
      </c>
      <c r="L191">
        <v>41258.227026813496</v>
      </c>
      <c r="M191">
        <v>41184.061657234291</v>
      </c>
      <c r="N191">
        <v>41109.343113082905</v>
      </c>
      <c r="O191">
        <v>41034.06892195969</v>
      </c>
      <c r="P191">
        <v>40958.236629957348</v>
      </c>
    </row>
    <row r="192" spans="3:16">
      <c r="C192" s="627"/>
      <c r="D192" s="611">
        <v>1.04</v>
      </c>
      <c r="E192">
        <v>41340.37422291754</v>
      </c>
      <c r="F192">
        <v>41270.32746010118</v>
      </c>
      <c r="G192">
        <v>41199.741088743773</v>
      </c>
      <c r="H192">
        <v>41128.61245502346</v>
      </c>
      <c r="I192">
        <v>41056.938919362023</v>
      </c>
      <c r="J192">
        <v>40985.439191971294</v>
      </c>
      <c r="K192">
        <v>40913.400247663471</v>
      </c>
      <c r="L192">
        <v>40840.819569630425</v>
      </c>
      <c r="M192">
        <v>40767.694657088832</v>
      </c>
      <c r="N192">
        <v>40694.023025878792</v>
      </c>
      <c r="O192">
        <v>40619.802209069829</v>
      </c>
      <c r="P192">
        <v>40545.029757573342</v>
      </c>
    </row>
    <row r="193" spans="3:16">
      <c r="C193" s="627"/>
      <c r="D193" s="610">
        <f>D192*1.01</f>
        <v>1.0504</v>
      </c>
      <c r="E193">
        <v>40921.8140549612</v>
      </c>
      <c r="F193">
        <v>40852.751359993563</v>
      </c>
      <c r="G193">
        <v>40783.155473190323</v>
      </c>
      <c r="H193">
        <v>40713.023751080531</v>
      </c>
      <c r="I193">
        <v>40642.353563853394</v>
      </c>
      <c r="J193">
        <v>40571.853551242086</v>
      </c>
      <c r="K193">
        <v>40500.820648387155</v>
      </c>
      <c r="L193">
        <v>40429.252346207511</v>
      </c>
      <c r="M193">
        <v>40357.14615104501</v>
      </c>
      <c r="N193">
        <v>40284.499585253681</v>
      </c>
      <c r="O193">
        <v>40211.310187795039</v>
      </c>
      <c r="P193">
        <v>40137.575514840268</v>
      </c>
    </row>
    <row r="194" spans="3:16">
      <c r="C194" s="627"/>
      <c r="D194" s="610">
        <f t="shared" ref="D194:D198" si="15">D193*1.01</f>
        <v>1.0609040000000001</v>
      </c>
      <c r="E194">
        <v>40505.02045050724</v>
      </c>
      <c r="F194">
        <v>40436.930765858626</v>
      </c>
      <c r="G194">
        <v>40368.314258491329</v>
      </c>
      <c r="H194">
        <v>40299.168295678042</v>
      </c>
      <c r="I194">
        <v>40229.49025777958</v>
      </c>
      <c r="J194">
        <v>40159.978826590857</v>
      </c>
      <c r="K194">
        <v>40089.940786791121</v>
      </c>
      <c r="L194">
        <v>40019.373637453245</v>
      </c>
      <c r="M194">
        <v>39948.274892483969</v>
      </c>
      <c r="N194">
        <v>39876.642081202102</v>
      </c>
      <c r="O194">
        <v>39804.472748924156</v>
      </c>
      <c r="P194">
        <v>39731.764457556521</v>
      </c>
    </row>
    <row r="195" spans="3:16">
      <c r="C195" s="627"/>
      <c r="D195" s="610">
        <f t="shared" si="15"/>
        <v>1.0715130400000001</v>
      </c>
      <c r="E195">
        <v>40090.00276555345</v>
      </c>
      <c r="F195">
        <v>40022.875099446159</v>
      </c>
      <c r="G195">
        <v>39955.226931922261</v>
      </c>
      <c r="H195">
        <v>39887.055641379004</v>
      </c>
      <c r="I195">
        <v>39818.358618742059</v>
      </c>
      <c r="J195">
        <v>39749.82469975391</v>
      </c>
      <c r="K195">
        <v>39680.770408479104</v>
      </c>
      <c r="L195">
        <v>39611.193252561119</v>
      </c>
      <c r="M195">
        <v>39541.090753898927</v>
      </c>
      <c r="N195">
        <v>39470.460449215883</v>
      </c>
      <c r="O195">
        <v>39399.29989063496</v>
      </c>
      <c r="P195">
        <v>39327.606646260909</v>
      </c>
    </row>
    <row r="196" spans="3:16">
      <c r="C196" s="627"/>
      <c r="D196" s="610">
        <f t="shared" si="15"/>
        <v>1.0822281704000001</v>
      </c>
      <c r="E196">
        <v>39676.770101567417</v>
      </c>
      <c r="F196">
        <v>39610.5935288072</v>
      </c>
      <c r="G196">
        <v>39543.902727904439</v>
      </c>
      <c r="H196">
        <v>39476.695088750756</v>
      </c>
      <c r="I196">
        <v>39408.968013218342</v>
      </c>
      <c r="J196">
        <v>39341.400602219685</v>
      </c>
      <c r="K196">
        <v>39273.319009697479</v>
      </c>
      <c r="L196">
        <v>39204.720752270376</v>
      </c>
      <c r="M196">
        <v>39135.603360246198</v>
      </c>
      <c r="N196">
        <v>39065.964378180943</v>
      </c>
      <c r="O196">
        <v>38995.801365443855</v>
      </c>
      <c r="P196">
        <v>38925.111896789553</v>
      </c>
    </row>
    <row r="197" spans="3:16">
      <c r="C197" s="627"/>
      <c r="D197" s="610">
        <f t="shared" si="15"/>
        <v>1.0930504521040001</v>
      </c>
      <c r="E197">
        <v>39265.331306029606</v>
      </c>
      <c r="F197">
        <v>39200.094968808662</v>
      </c>
      <c r="G197">
        <v>39134.350628490894</v>
      </c>
      <c r="H197">
        <v>39068.095686821616</v>
      </c>
      <c r="I197">
        <v>39001.327556989825</v>
      </c>
      <c r="J197">
        <v>38934.715715628306</v>
      </c>
      <c r="K197">
        <v>38867.595837705005</v>
      </c>
      <c r="L197">
        <v>38799.965449207506</v>
      </c>
      <c r="M197">
        <v>38731.822089257563</v>
      </c>
      <c r="N197">
        <v>38663.163310660428</v>
      </c>
      <c r="O197">
        <v>38593.98668045985</v>
      </c>
      <c r="P197">
        <v>38524.289780500774</v>
      </c>
    </row>
    <row r="198" spans="3:16">
      <c r="C198" s="627"/>
      <c r="D198" s="610">
        <f t="shared" si="15"/>
        <v>1.10398095662504</v>
      </c>
      <c r="E198">
        <v>38855.694973040532</v>
      </c>
      <c r="F198">
        <v>38791.388081711309</v>
      </c>
      <c r="G198">
        <v>38726.579363916288</v>
      </c>
      <c r="H198">
        <v>38661.266233602058</v>
      </c>
      <c r="I198">
        <v>38595.446115633924</v>
      </c>
      <c r="J198">
        <v>38529.778972235166</v>
      </c>
      <c r="K198">
        <v>38463.6098912085</v>
      </c>
      <c r="L198">
        <v>38396.936408292699</v>
      </c>
      <c r="M198">
        <v>38329.756071817625</v>
      </c>
      <c r="N198">
        <v>38262.066443242969</v>
      </c>
      <c r="O198">
        <v>38193.865097704213</v>
      </c>
      <c r="P198">
        <v>38125.149624564787</v>
      </c>
    </row>
    <row r="203" spans="3:16" ht="28" thickBot="1">
      <c r="C203" s="615" t="s">
        <v>2295</v>
      </c>
      <c r="D203" s="615"/>
      <c r="E203" s="615"/>
      <c r="F203" s="615"/>
      <c r="G203" s="615"/>
      <c r="H203" s="615"/>
      <c r="I203" s="615"/>
      <c r="J203" s="615"/>
      <c r="K203" s="615"/>
      <c r="L203" s="615"/>
      <c r="M203" s="615"/>
      <c r="N203" s="615"/>
      <c r="O203" s="615"/>
      <c r="P203" s="615"/>
    </row>
    <row r="204" spans="3:16" ht="17" thickBot="1">
      <c r="C204" s="596" t="s">
        <v>2292</v>
      </c>
      <c r="D204" s="601">
        <f>E99</f>
        <v>40951.672148177699</v>
      </c>
      <c r="E204" s="607">
        <f t="shared" ref="E204:G204" si="16">F204*(0.99)</f>
        <v>2.4014900249999999E-2</v>
      </c>
      <c r="F204" s="607">
        <f t="shared" si="16"/>
        <v>2.4257475000000001E-2</v>
      </c>
      <c r="G204" s="607">
        <f t="shared" si="16"/>
        <v>2.45025E-2</v>
      </c>
      <c r="H204" s="607">
        <f>I204*(0.99)</f>
        <v>2.4750000000000001E-2</v>
      </c>
      <c r="I204" s="608">
        <v>2.5000000000000001E-2</v>
      </c>
      <c r="J204" s="607">
        <f>I204*1.01</f>
        <v>2.5250000000000002E-2</v>
      </c>
      <c r="K204" s="607">
        <f t="shared" ref="K204:P204" si="17">J204*1.01</f>
        <v>2.5502500000000001E-2</v>
      </c>
      <c r="L204" s="607">
        <f t="shared" si="17"/>
        <v>2.5757525E-2</v>
      </c>
      <c r="M204" s="607">
        <f t="shared" si="17"/>
        <v>2.6015100249999999E-2</v>
      </c>
      <c r="N204" s="607">
        <f t="shared" si="17"/>
        <v>2.62752512525E-2</v>
      </c>
      <c r="O204" s="607">
        <f t="shared" si="17"/>
        <v>2.6538003765024999E-2</v>
      </c>
      <c r="P204" s="607">
        <f t="shared" si="17"/>
        <v>2.6803383802675249E-2</v>
      </c>
    </row>
    <row r="205" spans="3:16">
      <c r="C205" s="622" t="s">
        <v>239</v>
      </c>
      <c r="D205" s="610">
        <f t="shared" ref="D205:D208" si="18">D206*0.99</f>
        <v>0.9890296518959999</v>
      </c>
      <c r="E205">
        <f t="dataTable" ref="E205:P216" dt2D="1" dtr="1" r1="D131" r2="D129" ca="1"/>
        <v>42381.495520595818</v>
      </c>
      <c r="F205">
        <v>42574.93939240335</v>
      </c>
      <c r="G205">
        <v>42771.88784779649</v>
      </c>
      <c r="H205">
        <v>42972.426774831722</v>
      </c>
      <c r="I205">
        <v>43176.644852570396</v>
      </c>
      <c r="J205">
        <v>43382.545210687094</v>
      </c>
      <c r="K205">
        <v>43592.233430404776</v>
      </c>
      <c r="L205">
        <v>43805.804337301917</v>
      </c>
      <c r="M205">
        <v>44023.35590981337</v>
      </c>
      <c r="N205">
        <v>44244.989411534174</v>
      </c>
      <c r="O205">
        <v>44470.809530245417</v>
      </c>
      <c r="P205">
        <v>44700.924524063659</v>
      </c>
    </row>
    <row r="206" spans="3:16">
      <c r="C206" s="623"/>
      <c r="D206" s="610">
        <f t="shared" si="18"/>
        <v>0.99901985039999985</v>
      </c>
      <c r="E206">
        <v>41966.191437559522</v>
      </c>
      <c r="F206">
        <v>42156.715861064098</v>
      </c>
      <c r="G206">
        <v>42350.681393289095</v>
      </c>
      <c r="H206">
        <v>42548.172045207757</v>
      </c>
      <c r="I206">
        <v>42749.274546791741</v>
      </c>
      <c r="J206">
        <v>42952.022042586774</v>
      </c>
      <c r="K206">
        <v>43158.487406401342</v>
      </c>
      <c r="L206">
        <v>43368.763343348306</v>
      </c>
      <c r="M206">
        <v>43582.945628053181</v>
      </c>
      <c r="N206">
        <v>43801.133232920649</v>
      </c>
      <c r="O206">
        <v>44023.428462890333</v>
      </c>
      <c r="P206">
        <v>44249.937097068265</v>
      </c>
    </row>
    <row r="207" spans="3:16">
      <c r="C207" s="623"/>
      <c r="D207" s="610">
        <f t="shared" si="18"/>
        <v>1.0091109599999999</v>
      </c>
      <c r="E207">
        <v>41552.451190978769</v>
      </c>
      <c r="F207">
        <v>41740.089588701507</v>
      </c>
      <c r="G207">
        <v>41931.106586806061</v>
      </c>
      <c r="H207">
        <v>42125.584355610205</v>
      </c>
      <c r="I207">
        <v>42323.607714121848</v>
      </c>
      <c r="J207">
        <v>42523.239482936304</v>
      </c>
      <c r="K207">
        <v>42726.520226345652</v>
      </c>
      <c r="L207">
        <v>42933.540571484344</v>
      </c>
      <c r="M207">
        <v>43144.394133684786</v>
      </c>
      <c r="N207">
        <v>43359.177640822032</v>
      </c>
      <c r="O207">
        <v>43577.991063922746</v>
      </c>
      <c r="P207">
        <v>43800.937754409839</v>
      </c>
    </row>
    <row r="208" spans="3:16">
      <c r="C208" s="623"/>
      <c r="D208" s="610">
        <f t="shared" si="18"/>
        <v>1.019304</v>
      </c>
      <c r="E208">
        <v>41140.286758781484</v>
      </c>
      <c r="F208">
        <v>41325.072379151839</v>
      </c>
      <c r="G208">
        <v>41513.175047838165</v>
      </c>
      <c r="H208">
        <v>41704.675130361873</v>
      </c>
      <c r="I208">
        <v>41899.65557229027</v>
      </c>
      <c r="J208">
        <v>42096.208533044322</v>
      </c>
      <c r="K208">
        <v>42296.342662640636</v>
      </c>
      <c r="L208">
        <v>42500.146552023361</v>
      </c>
      <c r="M208">
        <v>42707.711701006003</v>
      </c>
      <c r="N208">
        <v>42919.132638806623</v>
      </c>
      <c r="O208">
        <v>43134.507050629873</v>
      </c>
      <c r="P208">
        <v>43353.935910652806</v>
      </c>
    </row>
    <row r="209" spans="3:16">
      <c r="C209" s="623"/>
      <c r="D209" s="610">
        <f>D210*0.99</f>
        <v>1.0296000000000001</v>
      </c>
      <c r="E209">
        <v>40729.709869436665</v>
      </c>
      <c r="F209">
        <v>40911.675783513645</v>
      </c>
      <c r="G209">
        <v>41096.898139858953</v>
      </c>
      <c r="H209">
        <v>41285.45553449307</v>
      </c>
      <c r="I209">
        <v>41477.42907646815</v>
      </c>
      <c r="J209">
        <v>41670.939928442618</v>
      </c>
      <c r="K209">
        <v>41867.965218715151</v>
      </c>
      <c r="L209">
        <v>42068.591543135684</v>
      </c>
      <c r="M209">
        <v>42272.908329038401</v>
      </c>
      <c r="N209">
        <v>42481.007952077227</v>
      </c>
      <c r="O209">
        <v>42692.985858897562</v>
      </c>
      <c r="P209">
        <v>42908.940695987738</v>
      </c>
    </row>
    <row r="210" spans="3:16">
      <c r="C210" s="623"/>
      <c r="D210" s="611">
        <v>1.04</v>
      </c>
      <c r="E210">
        <v>40320.732001669989</v>
      </c>
      <c r="F210">
        <v>40499.911099953242</v>
      </c>
      <c r="G210">
        <v>40682.286970223176</v>
      </c>
      <c r="H210">
        <v>40867.936473736052</v>
      </c>
      <c r="I210">
        <v>41056.938919362023</v>
      </c>
      <c r="J210">
        <v>41247.444139081679</v>
      </c>
      <c r="K210">
        <v>41441.398129324683</v>
      </c>
      <c r="L210">
        <v>41638.885531257656</v>
      </c>
      <c r="M210">
        <v>41839.993742048333</v>
      </c>
      <c r="N210">
        <v>42044.813028107805</v>
      </c>
      <c r="O210">
        <v>42253.43664396603</v>
      </c>
      <c r="P210">
        <v>42465.960957109826</v>
      </c>
    </row>
    <row r="211" spans="3:16">
      <c r="C211" s="623"/>
      <c r="D211" s="610">
        <f>D210*1.01</f>
        <v>1.0504</v>
      </c>
      <c r="E211">
        <v>39917.409892914009</v>
      </c>
      <c r="F211">
        <v>40093.862126271662</v>
      </c>
      <c r="G211">
        <v>40273.452966863122</v>
      </c>
      <c r="H211">
        <v>40456.257592117938</v>
      </c>
      <c r="I211">
        <v>40642.353563853394</v>
      </c>
      <c r="J211">
        <v>40829.9187708307</v>
      </c>
      <c r="K211">
        <v>41020.868768751803</v>
      </c>
      <c r="L211">
        <v>41215.286302693865</v>
      </c>
      <c r="M211">
        <v>41413.256800836323</v>
      </c>
      <c r="N211">
        <v>41614.868484248385</v>
      </c>
      <c r="O211">
        <v>41820.212482114766</v>
      </c>
      <c r="P211">
        <v>42029.382952716493</v>
      </c>
    </row>
    <row r="212" spans="3:16">
      <c r="C212" s="623"/>
      <c r="D212" s="610">
        <f t="shared" ref="D212:D216" si="19">D211*1.01</f>
        <v>1.0609040000000001</v>
      </c>
      <c r="E212">
        <v>39515.676804441217</v>
      </c>
      <c r="F212">
        <v>39689.434050927674</v>
      </c>
      <c r="G212">
        <v>39866.272637151698</v>
      </c>
      <c r="H212">
        <v>40046.266089689423</v>
      </c>
      <c r="I212">
        <v>40229.49025777958</v>
      </c>
      <c r="J212">
        <v>40414.150763028672</v>
      </c>
      <c r="K212">
        <v>40602.133097187027</v>
      </c>
      <c r="L212">
        <v>40793.518147537128</v>
      </c>
      <c r="M212">
        <v>40988.389413349876</v>
      </c>
      <c r="N212">
        <v>41186.833112316388</v>
      </c>
      <c r="O212">
        <v>41388.938292229694</v>
      </c>
      <c r="P212">
        <v>41594.796948220974</v>
      </c>
    </row>
    <row r="213" spans="3:16">
      <c r="C213" s="623"/>
      <c r="D213" s="610">
        <f t="shared" si="19"/>
        <v>1.0715130400000001</v>
      </c>
      <c r="E213">
        <v>39115.543151315651</v>
      </c>
      <c r="F213">
        <v>39286.63710504242</v>
      </c>
      <c r="G213">
        <v>39460.756018342378</v>
      </c>
      <c r="H213">
        <v>39637.971799383609</v>
      </c>
      <c r="I213">
        <v>39818.358618742059</v>
      </c>
      <c r="J213">
        <v>40000.149508659582</v>
      </c>
      <c r="K213">
        <v>40185.200271015347</v>
      </c>
      <c r="L213">
        <v>40373.589972947637</v>
      </c>
      <c r="M213">
        <v>40565.400224215657</v>
      </c>
      <c r="N213">
        <v>40760.715280372402</v>
      </c>
      <c r="O213">
        <v>40959.622151005024</v>
      </c>
      <c r="P213">
        <v>41162.21071333604</v>
      </c>
    </row>
    <row r="214" spans="3:16" ht="16" customHeight="1">
      <c r="C214" s="623"/>
      <c r="D214" s="610">
        <f t="shared" si="19"/>
        <v>1.0822281704000001</v>
      </c>
      <c r="E214">
        <v>38717.019108259759</v>
      </c>
      <c r="F214">
        <v>38885.481276674458</v>
      </c>
      <c r="G214">
        <v>39056.912901918542</v>
      </c>
      <c r="H214">
        <v>39231.384305674663</v>
      </c>
      <c r="I214">
        <v>39408.968013218342</v>
      </c>
      <c r="J214">
        <v>39587.924146974517</v>
      </c>
      <c r="K214">
        <v>39770.079190315577</v>
      </c>
      <c r="L214">
        <v>39955.510427248657</v>
      </c>
      <c r="M214">
        <v>40144.297616742944</v>
      </c>
      <c r="N214">
        <v>40336.52309273756</v>
      </c>
      <c r="O214">
        <v>40532.271869040909</v>
      </c>
      <c r="P214">
        <v>40731.631749403343</v>
      </c>
    </row>
    <row r="215" spans="3:16">
      <c r="C215" s="623"/>
      <c r="D215" s="610">
        <f t="shared" si="19"/>
        <v>1.0930504521040001</v>
      </c>
      <c r="E215">
        <v>38320.11460972661</v>
      </c>
      <c r="F215">
        <v>38485.976310976781</v>
      </c>
      <c r="G215">
        <v>38654.752833838051</v>
      </c>
      <c r="H215">
        <v>38826.512944912494</v>
      </c>
      <c r="I215">
        <v>39001.327556989825</v>
      </c>
      <c r="J215">
        <v>39177.483564014336</v>
      </c>
      <c r="K215">
        <v>39356.778499480664</v>
      </c>
      <c r="L215">
        <v>39539.28790064744</v>
      </c>
      <c r="M215">
        <v>39725.089713747861</v>
      </c>
      <c r="N215">
        <v>39914.264390924167</v>
      </c>
      <c r="O215">
        <v>40106.894991883448</v>
      </c>
      <c r="P215">
        <v>40303.067290545543</v>
      </c>
    </row>
    <row r="216" spans="3:16">
      <c r="C216" s="623"/>
      <c r="D216" s="610">
        <f t="shared" si="19"/>
        <v>1.10398095662504</v>
      </c>
      <c r="E216">
        <v>37924.839350037844</v>
      </c>
      <c r="F216">
        <v>38088.131710419373</v>
      </c>
      <c r="G216">
        <v>38254.285114843056</v>
      </c>
      <c r="H216">
        <v>38423.366805722493</v>
      </c>
      <c r="I216">
        <v>38595.446115633924</v>
      </c>
      <c r="J216">
        <v>38768.836393196099</v>
      </c>
      <c r="K216">
        <v>38945.306587901236</v>
      </c>
      <c r="L216">
        <v>39124.930526018652</v>
      </c>
      <c r="M216">
        <v>39307.784378439537</v>
      </c>
      <c r="N216">
        <v>39493.946754627323</v>
      </c>
      <c r="O216">
        <v>39683.498801124675</v>
      </c>
      <c r="P216">
        <v>39876.524304877574</v>
      </c>
    </row>
    <row r="220" spans="3:16" ht="28" thickBot="1">
      <c r="C220" s="615" t="s">
        <v>2295</v>
      </c>
      <c r="D220" s="615"/>
      <c r="E220" s="615"/>
      <c r="F220" s="615"/>
      <c r="G220" s="615"/>
      <c r="H220" s="615"/>
      <c r="I220" s="615"/>
      <c r="J220" s="615"/>
      <c r="K220" s="615"/>
      <c r="L220" s="615"/>
      <c r="M220" s="615"/>
      <c r="N220" s="615"/>
      <c r="O220" s="615"/>
      <c r="P220" s="615"/>
    </row>
    <row r="221" spans="3:16" ht="17" thickBot="1">
      <c r="C221" s="596" t="s">
        <v>2292</v>
      </c>
      <c r="D221" s="601">
        <f>E99</f>
        <v>40951.672148177699</v>
      </c>
      <c r="E221" s="607">
        <f t="shared" ref="E221:G221" si="20">F221*(0.99)</f>
        <v>2.4014900249999999E-2</v>
      </c>
      <c r="F221" s="607">
        <f t="shared" si="20"/>
        <v>2.4257475000000001E-2</v>
      </c>
      <c r="G221" s="607">
        <f t="shared" si="20"/>
        <v>2.45025E-2</v>
      </c>
      <c r="H221" s="607">
        <f>I221*(0.99)</f>
        <v>2.4750000000000001E-2</v>
      </c>
      <c r="I221" s="608">
        <v>2.5000000000000001E-2</v>
      </c>
      <c r="J221" s="607">
        <f>I221*1.01</f>
        <v>2.5250000000000002E-2</v>
      </c>
      <c r="K221" s="607">
        <f t="shared" ref="K221:P221" si="21">J221*1.01</f>
        <v>2.5502500000000001E-2</v>
      </c>
      <c r="L221" s="607">
        <f t="shared" si="21"/>
        <v>2.5757525E-2</v>
      </c>
      <c r="M221" s="607">
        <f t="shared" si="21"/>
        <v>2.6015100249999999E-2</v>
      </c>
      <c r="N221" s="607">
        <f t="shared" si="21"/>
        <v>2.62752512525E-2</v>
      </c>
      <c r="O221" s="607">
        <f t="shared" si="21"/>
        <v>2.6538003765024999E-2</v>
      </c>
      <c r="P221" s="607">
        <f t="shared" si="21"/>
        <v>2.6803383802675249E-2</v>
      </c>
    </row>
    <row r="222" spans="3:16">
      <c r="C222" s="624" t="s">
        <v>2294</v>
      </c>
      <c r="D222" s="598">
        <f t="shared" ref="D222:D225" si="22">D223*0.99</f>
        <v>4.6313215430129999E-2</v>
      </c>
      <c r="E222">
        <f t="dataTable" ref="E222:P233" dt2D="1" dtr="1" r1="D131" r2="D130"/>
        <v>40565.74719899628</v>
      </c>
      <c r="F222">
        <v>40746.592686702847</v>
      </c>
      <c r="G222">
        <v>40930.670593270654</v>
      </c>
      <c r="H222">
        <v>41118.058815219702</v>
      </c>
      <c r="I222">
        <v>41308.837735682471</v>
      </c>
      <c r="J222">
        <v>41501.140043048872</v>
      </c>
      <c r="K222">
        <v>41696.930345975787</v>
      </c>
      <c r="L222">
        <v>41896.294451953872</v>
      </c>
      <c r="M222">
        <v>42099.320969465378</v>
      </c>
      <c r="N222">
        <v>42306.101423365886</v>
      </c>
      <c r="O222">
        <v>42516.730376019928</v>
      </c>
      <c r="P222">
        <v>42731.305554528182</v>
      </c>
    </row>
    <row r="223" spans="3:16">
      <c r="C223" s="625"/>
      <c r="D223" s="598">
        <f t="shared" si="22"/>
        <v>4.6781025687000002E-2</v>
      </c>
      <c r="E223">
        <v>40498.423604821342</v>
      </c>
      <c r="F223">
        <v>40678.810386914127</v>
      </c>
      <c r="G223">
        <v>40862.419766753803</v>
      </c>
      <c r="H223">
        <v>41049.329355353839</v>
      </c>
      <c r="I223">
        <v>41239.619239574531</v>
      </c>
      <c r="J223">
        <v>41431.426826743365</v>
      </c>
      <c r="K223">
        <v>41626.711601311035</v>
      </c>
      <c r="L223">
        <v>41825.559049070747</v>
      </c>
      <c r="M223">
        <v>42028.057444385297</v>
      </c>
      <c r="N223">
        <v>42234.297964977581</v>
      </c>
      <c r="O223">
        <v>42444.374812441441</v>
      </c>
      <c r="P223">
        <v>42658.38533880857</v>
      </c>
    </row>
    <row r="224" spans="3:16">
      <c r="C224" s="625"/>
      <c r="D224" s="598">
        <f t="shared" si="22"/>
        <v>4.7253561300000003E-2</v>
      </c>
      <c r="E224">
        <v>40430.577111332954</v>
      </c>
      <c r="F224">
        <v>40610.502224831245</v>
      </c>
      <c r="G224">
        <v>40793.640057775803</v>
      </c>
      <c r="H224">
        <v>40980.067934213679</v>
      </c>
      <c r="I224">
        <v>41169.865643225705</v>
      </c>
      <c r="J224">
        <v>41361.175341677641</v>
      </c>
      <c r="K224">
        <v>41555.951357318896</v>
      </c>
      <c r="L224">
        <v>41754.278852634226</v>
      </c>
      <c r="M224">
        <v>41956.245766202905</v>
      </c>
      <c r="N224">
        <v>42161.942926895914</v>
      </c>
      <c r="O224">
        <v>42371.464173759799</v>
      </c>
      <c r="P224">
        <v>42584.906481920923</v>
      </c>
    </row>
    <row r="225" spans="3:16">
      <c r="C225" s="625"/>
      <c r="D225" s="598">
        <f t="shared" si="22"/>
        <v>4.7730870000000002E-2</v>
      </c>
      <c r="E225">
        <v>40362.205068838564</v>
      </c>
      <c r="F225">
        <v>40541.665546670716</v>
      </c>
      <c r="G225">
        <v>40724.328808503611</v>
      </c>
      <c r="H225">
        <v>40910.2718899631</v>
      </c>
      <c r="I225">
        <v>41099.574280848712</v>
      </c>
      <c r="J225">
        <v>41290.382918209478</v>
      </c>
      <c r="K225">
        <v>41484.646940564853</v>
      </c>
      <c r="L225">
        <v>41682.451185486556</v>
      </c>
      <c r="M225">
        <v>41883.883254113112</v>
      </c>
      <c r="N225">
        <v>42089.03362475153</v>
      </c>
      <c r="O225">
        <v>42297.995772132184</v>
      </c>
      <c r="P225">
        <v>42510.866292648047</v>
      </c>
    </row>
    <row r="226" spans="3:16">
      <c r="C226" s="625"/>
      <c r="D226" s="598">
        <f>D227*0.99</f>
        <v>4.8212999999999999E-2</v>
      </c>
      <c r="E226">
        <v>40293.30483991628</v>
      </c>
      <c r="F226">
        <v>40472.297711204985</v>
      </c>
      <c r="G226">
        <v>40654.483373952738</v>
      </c>
      <c r="H226">
        <v>40839.93857391482</v>
      </c>
      <c r="I226">
        <v>41028.742500113425</v>
      </c>
      <c r="J226">
        <v>41219.046900467074</v>
      </c>
      <c r="K226">
        <v>41412.795691706415</v>
      </c>
      <c r="L226">
        <v>41610.073384892225</v>
      </c>
      <c r="M226">
        <v>41810.967242072111</v>
      </c>
      <c r="N226">
        <v>42015.567389284675</v>
      </c>
      <c r="O226">
        <v>42223.966935183271</v>
      </c>
      <c r="P226">
        <v>42436.262095607941</v>
      </c>
    </row>
    <row r="227" spans="3:16">
      <c r="C227" s="625"/>
      <c r="D227" s="609">
        <v>4.87E-2</v>
      </c>
      <c r="E227">
        <v>40223.873799984198</v>
      </c>
      <c r="F227">
        <v>40402.396090336711</v>
      </c>
      <c r="G227">
        <v>40584.101122566746</v>
      </c>
      <c r="H227">
        <v>40769.065351115307</v>
      </c>
      <c r="I227">
        <v>40957.367662737051</v>
      </c>
      <c r="J227">
        <v>41147.164646944773</v>
      </c>
      <c r="K227">
        <v>41340.394966094413</v>
      </c>
      <c r="L227">
        <v>41537.142803144947</v>
      </c>
      <c r="M227">
        <v>41737.495079410284</v>
      </c>
      <c r="N227">
        <v>41941.541566964079</v>
      </c>
      <c r="O227">
        <v>42149.375006630078</v>
      </c>
      <c r="P227">
        <v>42361.09123188482</v>
      </c>
    </row>
    <row r="228" spans="3:16">
      <c r="C228" s="625"/>
      <c r="D228" s="598">
        <f>D227*1.01</f>
        <v>4.9187000000000002E-2</v>
      </c>
      <c r="E228">
        <v>40154.608149200802</v>
      </c>
      <c r="F228">
        <v>40332.661607784597</v>
      </c>
      <c r="G228">
        <v>40513.887802533325</v>
      </c>
      <c r="H228">
        <v>40698.362898055886</v>
      </c>
      <c r="I228">
        <v>40886.165480385367</v>
      </c>
      <c r="J228">
        <v>41075.456962755285</v>
      </c>
      <c r="K228">
        <v>41268.170773305967</v>
      </c>
      <c r="L228">
        <v>41464.390768599129</v>
      </c>
      <c r="M228">
        <v>41664.203530994724</v>
      </c>
      <c r="N228">
        <v>41867.698480460262</v>
      </c>
      <c r="O228">
        <v>42074.967991932033</v>
      </c>
      <c r="P228">
        <v>42286.107518553064</v>
      </c>
    </row>
    <row r="229" spans="3:16">
      <c r="C229" s="625"/>
      <c r="D229" s="598">
        <f t="shared" ref="D229:D233" si="23">D228*1.01</f>
        <v>4.967887E-2</v>
      </c>
      <c r="E229">
        <v>40084.81711847199</v>
      </c>
      <c r="F229">
        <v>40262.398823801443</v>
      </c>
      <c r="G229">
        <v>40443.143203805026</v>
      </c>
      <c r="H229">
        <v>40627.126131856188</v>
      </c>
      <c r="I229">
        <v>40814.425891818304</v>
      </c>
      <c r="J229">
        <v>41003.208750827849</v>
      </c>
      <c r="K229">
        <v>41195.402870826481</v>
      </c>
      <c r="L229">
        <v>41391.09178043373</v>
      </c>
      <c r="M229">
        <v>41590.361721460678</v>
      </c>
      <c r="N229">
        <v>41793.301760121954</v>
      </c>
      <c r="O229">
        <v>42000.003903765893</v>
      </c>
      <c r="P229">
        <v>42210.563223445497</v>
      </c>
    </row>
    <row r="230" spans="3:16">
      <c r="C230" s="625"/>
      <c r="D230" s="598">
        <f t="shared" si="23"/>
        <v>5.01756587E-2</v>
      </c>
      <c r="E230">
        <v>40014.498201335518</v>
      </c>
      <c r="F230">
        <v>40191.605229384033</v>
      </c>
      <c r="G230">
        <v>40371.864814914778</v>
      </c>
      <c r="H230">
        <v>40555.352538668478</v>
      </c>
      <c r="I230">
        <v>40742.146380897299</v>
      </c>
      <c r="J230">
        <v>40930.417492851251</v>
      </c>
      <c r="K230">
        <v>41122.088738274208</v>
      </c>
      <c r="L230">
        <v>41317.243316306136</v>
      </c>
      <c r="M230">
        <v>41515.967126622476</v>
      </c>
      <c r="N230">
        <v>41718.348880046753</v>
      </c>
      <c r="O230">
        <v>41924.480214647912</v>
      </c>
      <c r="P230">
        <v>42134.455817642054</v>
      </c>
    </row>
    <row r="231" spans="3:16">
      <c r="C231" s="625"/>
      <c r="D231" s="598">
        <f t="shared" si="23"/>
        <v>5.0677415287000004E-2</v>
      </c>
      <c r="E231">
        <v>39943.648905911759</v>
      </c>
      <c r="F231">
        <v>40120.27833041035</v>
      </c>
      <c r="G231">
        <v>40300.05013958276</v>
      </c>
      <c r="H231">
        <v>40483.039620146323</v>
      </c>
      <c r="I231">
        <v>40669.324447307285</v>
      </c>
      <c r="J231">
        <v>40857.080686665016</v>
      </c>
      <c r="K231">
        <v>41048.225871753864</v>
      </c>
      <c r="L231">
        <v>41242.842870704771</v>
      </c>
      <c r="M231">
        <v>41441.017239479057</v>
      </c>
      <c r="N231">
        <v>41642.837331879928</v>
      </c>
      <c r="O231">
        <v>41848.394415014722</v>
      </c>
      <c r="P231">
        <v>42057.782790525845</v>
      </c>
    </row>
    <row r="232" spans="3:16">
      <c r="C232" s="625"/>
      <c r="D232" s="598">
        <f t="shared" si="23"/>
        <v>5.1184189439870006E-2</v>
      </c>
      <c r="E232">
        <v>39872.266755479191</v>
      </c>
      <c r="F232">
        <v>40048.415648219932</v>
      </c>
      <c r="G232">
        <v>40227.696697301944</v>
      </c>
      <c r="H232">
        <v>40410.184894035207</v>
      </c>
      <c r="I232">
        <v>40595.957607152457</v>
      </c>
      <c r="J232">
        <v>40783.195846860406</v>
      </c>
      <c r="K232">
        <v>40973.811784462974</v>
      </c>
      <c r="L232">
        <v>41167.887955560822</v>
      </c>
      <c r="M232">
        <v>41365.50957083136</v>
      </c>
      <c r="N232">
        <v>41566.764625437332</v>
      </c>
      <c r="O232">
        <v>41771.744013852156</v>
      </c>
      <c r="P232">
        <v>41980.541650417799</v>
      </c>
    </row>
    <row r="233" spans="3:16">
      <c r="C233" s="625"/>
      <c r="D233" s="598">
        <f t="shared" si="23"/>
        <v>5.1696031334268706E-2</v>
      </c>
      <c r="E233">
        <v>39800.34928905702</v>
      </c>
      <c r="F233">
        <v>39976.014720201376</v>
      </c>
      <c r="G233">
        <v>40154.802023930548</v>
      </c>
      <c r="H233">
        <v>40336.785894770059</v>
      </c>
      <c r="I233">
        <v>40522.043393559004</v>
      </c>
      <c r="J233">
        <v>40708.760505388324</v>
      </c>
      <c r="K233">
        <v>40898.844007305146</v>
      </c>
      <c r="L233">
        <v>41092.376100866997</v>
      </c>
      <c r="M233">
        <v>41289.441649906556</v>
      </c>
      <c r="N233">
        <v>41490.128289335458</v>
      </c>
      <c r="O233">
        <v>41694.5265393308</v>
      </c>
      <c r="P233">
        <v>41902.729925218227</v>
      </c>
    </row>
  </sheetData>
  <mergeCells count="15">
    <mergeCell ref="C203:P203"/>
    <mergeCell ref="C205:C216"/>
    <mergeCell ref="C220:P220"/>
    <mergeCell ref="C222:C233"/>
    <mergeCell ref="D168:P168"/>
    <mergeCell ref="C170:C181"/>
    <mergeCell ref="D185:P185"/>
    <mergeCell ref="C187:C198"/>
    <mergeCell ref="C153:C164"/>
    <mergeCell ref="D151:P151"/>
    <mergeCell ref="C99:D99"/>
    <mergeCell ref="C100:D100"/>
    <mergeCell ref="C101:D101"/>
    <mergeCell ref="C136:C147"/>
    <mergeCell ref="D134:P134"/>
  </mergeCells>
  <conditionalFormatting sqref="E136:P147">
    <cfRule type="colorScale" priority="4">
      <colorScale>
        <cfvo type="percentile" val="1"/>
        <cfvo type="percentile" val="50"/>
        <cfvo type="percentile" val="99"/>
        <color rgb="FF00B050"/>
        <color rgb="FFFFFF00"/>
        <color rgb="FFFF0000"/>
      </colorScale>
    </cfRule>
    <cfRule type="colorScale" priority="7">
      <colorScale>
        <cfvo type="percentile" val="1"/>
        <cfvo type="percentile" val="50"/>
        <cfvo type="percentile" val="99"/>
        <color rgb="FFFF0000"/>
        <color rgb="FFFFFF00"/>
        <color theme="9"/>
      </colorScale>
    </cfRule>
    <cfRule type="colorScale" priority="9">
      <colorScale>
        <cfvo type="percentile" val="1"/>
        <cfvo type="percentile" val="50"/>
        <cfvo type="percentile" val="99"/>
        <color rgb="FFFF0000"/>
        <color rgb="FFFFEB84"/>
        <color theme="9"/>
      </colorScale>
    </cfRule>
  </conditionalFormatting>
  <conditionalFormatting sqref="E153:P164">
    <cfRule type="colorScale" priority="5">
      <colorScale>
        <cfvo type="percentile" val="1"/>
        <cfvo type="percentile" val="50"/>
        <cfvo type="percentile" val="99"/>
        <color theme="9"/>
        <color rgb="FFFFFF00"/>
        <color rgb="FFFF0000"/>
      </colorScale>
    </cfRule>
    <cfRule type="colorScale" priority="8">
      <colorScale>
        <cfvo type="percentile" val="1"/>
        <cfvo type="percentile" val="50"/>
        <cfvo type="percentile" val="99"/>
        <color theme="9"/>
        <color rgb="FFFFFF00"/>
        <color rgb="FFFF0000"/>
      </colorScale>
    </cfRule>
  </conditionalFormatting>
  <conditionalFormatting sqref="E170:P181">
    <cfRule type="colorScale" priority="6">
      <colorScale>
        <cfvo type="percentile" val="1"/>
        <cfvo type="percentile" val="50"/>
        <cfvo type="percentile" val="99"/>
        <color theme="9"/>
        <color rgb="FFFFFF00"/>
        <color rgb="FFFF0000"/>
      </colorScale>
    </cfRule>
  </conditionalFormatting>
  <conditionalFormatting sqref="E187:P198">
    <cfRule type="colorScale" priority="2">
      <colorScale>
        <cfvo type="percentile" val="1"/>
        <cfvo type="percentile" val="50"/>
        <cfvo type="percentile" val="99"/>
        <color rgb="FF00B050"/>
        <color rgb="FFFFFF00"/>
        <color rgb="FFFF0000"/>
      </colorScale>
    </cfRule>
  </conditionalFormatting>
  <conditionalFormatting sqref="E205:P216">
    <cfRule type="colorScale" priority="3">
      <colorScale>
        <cfvo type="percentile" val="1"/>
        <cfvo type="percentile" val="50"/>
        <cfvo type="percentile" val="99"/>
        <color rgb="FF00B050"/>
        <color rgb="FFFFFF00"/>
        <color rgb="FFFF0000"/>
      </colorScale>
    </cfRule>
  </conditionalFormatting>
  <conditionalFormatting sqref="E222:P233">
    <cfRule type="colorScale" priority="1">
      <colorScale>
        <cfvo type="percentile" val="1"/>
        <cfvo type="percentile" val="50"/>
        <cfvo type="percentile" val="99"/>
        <color rgb="FF00B050"/>
        <color rgb="FFFFFF00"/>
        <color rgb="FFFF0000"/>
      </colorScale>
    </cfRule>
  </conditionalFormatting>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F335A-AC69-44FD-A729-16FE6232343B}">
  <dimension ref="B3:L44"/>
  <sheetViews>
    <sheetView topLeftCell="A13" workbookViewId="0">
      <selection activeCell="Q36" sqref="Q36"/>
    </sheetView>
  </sheetViews>
  <sheetFormatPr baseColWidth="10" defaultColWidth="8.83203125" defaultRowHeight="16"/>
  <cols>
    <col min="2" max="2" width="24.1640625" bestFit="1" customWidth="1"/>
  </cols>
  <sheetData>
    <row r="3" spans="2:12">
      <c r="B3" s="482" t="s">
        <v>2061</v>
      </c>
      <c r="C3" s="252"/>
      <c r="D3" s="252"/>
      <c r="E3" s="252"/>
      <c r="F3" s="252"/>
      <c r="G3" s="252"/>
      <c r="H3" s="252"/>
      <c r="I3" s="252"/>
      <c r="J3" s="252"/>
      <c r="K3" s="252"/>
      <c r="L3" s="486"/>
    </row>
    <row r="4" spans="2:12">
      <c r="B4" s="49" t="s">
        <v>1723</v>
      </c>
      <c r="C4" s="238">
        <v>2020</v>
      </c>
      <c r="D4" s="238">
        <v>2021</v>
      </c>
      <c r="E4" s="238">
        <v>2022</v>
      </c>
      <c r="F4" s="238">
        <v>2023</v>
      </c>
      <c r="G4" s="5">
        <f>2024</f>
        <v>2024</v>
      </c>
      <c r="H4" s="409">
        <v>2025</v>
      </c>
      <c r="I4" s="409">
        <v>2026</v>
      </c>
      <c r="J4" s="409">
        <v>2027</v>
      </c>
      <c r="K4" s="409">
        <v>2028</v>
      </c>
      <c r="L4" s="490">
        <v>2029</v>
      </c>
    </row>
    <row r="5" spans="2:12">
      <c r="B5" s="49" t="s">
        <v>2063</v>
      </c>
      <c r="C5" s="2">
        <f>Financials!B4</f>
        <v>84432</v>
      </c>
      <c r="D5" s="2">
        <f>Financials!C4</f>
        <v>97204</v>
      </c>
      <c r="E5" s="2">
        <f>Financials!D4</f>
        <v>100034</v>
      </c>
      <c r="F5" s="2">
        <f>Financials!E4</f>
        <v>90745</v>
      </c>
      <c r="G5" s="2">
        <f>Financials!F4</f>
        <v>90894</v>
      </c>
      <c r="H5" s="2">
        <f>'Workshop #5'!P25</f>
        <v>94529.760000000009</v>
      </c>
      <c r="I5" s="2">
        <f>'Workshop #5'!Q25</f>
        <v>98310.950400000016</v>
      </c>
      <c r="J5" s="2">
        <f>'Workshop #5'!R25</f>
        <v>102243.38841600002</v>
      </c>
      <c r="K5" s="2">
        <f>'Workshop #5'!S25</f>
        <v>106333.12395264002</v>
      </c>
      <c r="L5" s="401">
        <f>'Workshop #5'!T25</f>
        <v>110586.44891074562</v>
      </c>
    </row>
    <row r="6" spans="2:12">
      <c r="B6" s="408" t="s">
        <v>2064</v>
      </c>
      <c r="C6" s="2">
        <f>Financials!B5</f>
        <v>62649</v>
      </c>
      <c r="D6" s="2">
        <f>Financials!C5</f>
        <v>79772</v>
      </c>
      <c r="E6" s="2">
        <f>Financials!D5</f>
        <v>79954</v>
      </c>
      <c r="F6" s="2">
        <f>Financials!E5</f>
        <v>73039</v>
      </c>
      <c r="G6" s="2">
        <f>Financials!F5</f>
        <v>73836</v>
      </c>
      <c r="H6" s="2">
        <f>'Workshop #5'!P26</f>
        <v>76789.440000000002</v>
      </c>
      <c r="I6" s="2">
        <f>'Workshop #5'!Q26</f>
        <v>79861.017600000006</v>
      </c>
      <c r="J6" s="2">
        <f>'Workshop #5'!R26</f>
        <v>83055.458304000014</v>
      </c>
      <c r="K6" s="2">
        <f>'Workshop #5'!S26</f>
        <v>86377.676636160002</v>
      </c>
      <c r="L6" s="401">
        <f>'Workshop #5'!T26</f>
        <v>89832.783701606415</v>
      </c>
    </row>
    <row r="7" spans="2:12">
      <c r="B7" s="408" t="s">
        <v>2065</v>
      </c>
      <c r="C7" s="2">
        <f t="shared" ref="C7:F7" si="0">C5-C6</f>
        <v>21783</v>
      </c>
      <c r="D7" s="2">
        <f t="shared" si="0"/>
        <v>17432</v>
      </c>
      <c r="E7" s="2">
        <f t="shared" si="0"/>
        <v>20080</v>
      </c>
      <c r="F7" s="2">
        <f t="shared" si="0"/>
        <v>17706</v>
      </c>
      <c r="G7" s="2">
        <f>G5-G6</f>
        <v>17058</v>
      </c>
      <c r="H7" s="2">
        <f>'Workshop #5'!P27</f>
        <v>17740.320000000007</v>
      </c>
      <c r="I7" s="2">
        <f>'Workshop #5'!Q27</f>
        <v>18449.93280000001</v>
      </c>
      <c r="J7" s="2">
        <f>'Workshop #5'!R27</f>
        <v>19187.930112000002</v>
      </c>
      <c r="K7" s="2">
        <f>'Workshop #5'!S27</f>
        <v>19955.447316480015</v>
      </c>
      <c r="L7" s="401">
        <f>'Workshop #5'!T27</f>
        <v>20753.665209139202</v>
      </c>
    </row>
    <row r="8" spans="2:12">
      <c r="B8" s="49" t="s">
        <v>2114</v>
      </c>
      <c r="C8" s="2">
        <f>Financials!B8+Financials!B9</f>
        <v>2698</v>
      </c>
      <c r="D8" s="2">
        <f>Financials!C8+Financials!C9</f>
        <v>2953</v>
      </c>
      <c r="E8" s="2">
        <f>Financials!D8+Financials!D9</f>
        <v>3188</v>
      </c>
      <c r="F8" s="2">
        <f>Financials!E8+Financials!E9</f>
        <v>3366</v>
      </c>
      <c r="G8" s="2">
        <f>Financials!F8+Financials!F9</f>
        <v>3609</v>
      </c>
      <c r="H8" s="2">
        <f>'Workshop #5'!P28</f>
        <v>3753.3600000000006</v>
      </c>
      <c r="I8" s="2">
        <f>'Workshop #5'!Q28</f>
        <v>3903.494400000001</v>
      </c>
      <c r="J8" s="2">
        <f>'Workshop #5'!R28</f>
        <v>4059.6341760000009</v>
      </c>
      <c r="K8" s="2">
        <f>'Workshop #5'!S28</f>
        <v>4222.0195430400008</v>
      </c>
      <c r="L8" s="401">
        <f>'Workshop #5'!T28</f>
        <v>4390.900324761601</v>
      </c>
    </row>
    <row r="9" spans="2:12">
      <c r="B9" s="408" t="s">
        <v>2113</v>
      </c>
      <c r="C9" s="2">
        <f>Financials!$F$11</f>
        <v>8684</v>
      </c>
      <c r="D9" s="2">
        <f>Financials!$F$11</f>
        <v>8684</v>
      </c>
      <c r="E9" s="2">
        <f>Financials!$F$11</f>
        <v>8684</v>
      </c>
      <c r="F9" s="2">
        <f>Financials!$F$11</f>
        <v>8684</v>
      </c>
      <c r="G9" s="2">
        <f>Financials!$F$11</f>
        <v>8684</v>
      </c>
      <c r="H9" s="2">
        <f>'Workshop #5'!P29</f>
        <v>9031.36</v>
      </c>
      <c r="I9" s="2">
        <f>'Workshop #5'!Q29</f>
        <v>9392.6144000000004</v>
      </c>
      <c r="J9" s="2">
        <f>'Workshop #5'!R29</f>
        <v>9768.3189760000005</v>
      </c>
      <c r="K9" s="2">
        <f>'Workshop #5'!S29</f>
        <v>10159.05173504</v>
      </c>
      <c r="L9" s="401">
        <f>'Workshop #5'!T29</f>
        <v>10565.413804441601</v>
      </c>
    </row>
    <row r="10" spans="2:12">
      <c r="B10" s="408" t="s">
        <v>2115</v>
      </c>
      <c r="C10" s="2">
        <f>-Financials!B13</f>
        <v>0</v>
      </c>
      <c r="D10" s="2">
        <f>-Financials!C13</f>
        <v>0</v>
      </c>
      <c r="E10" s="2">
        <f>-Financials!D13</f>
        <v>0</v>
      </c>
      <c r="F10" s="2">
        <f>-Financials!E13</f>
        <v>0</v>
      </c>
      <c r="G10" s="2">
        <f>-Financials!F13</f>
        <v>311</v>
      </c>
      <c r="H10" s="2">
        <f>'Workshop #5'!P30</f>
        <v>323.44000000000005</v>
      </c>
      <c r="I10" s="2">
        <f>'Workshop #5'!Q30</f>
        <v>336.37760000000009</v>
      </c>
      <c r="J10" s="2">
        <f>'Workshop #5'!R30</f>
        <v>349.83270400000009</v>
      </c>
      <c r="K10" s="2">
        <f>'Workshop #5'!S30</f>
        <v>363.82601216000006</v>
      </c>
      <c r="L10" s="401">
        <f>'Workshop #5'!T30</f>
        <v>378.37905264640005</v>
      </c>
    </row>
    <row r="11" spans="2:12">
      <c r="B11" s="49" t="s">
        <v>2116</v>
      </c>
      <c r="C11" s="2">
        <f t="shared" ref="C11:F11" si="1">C7-C9+C10</f>
        <v>13099</v>
      </c>
      <c r="D11" s="2">
        <f t="shared" si="1"/>
        <v>8748</v>
      </c>
      <c r="E11" s="2">
        <f t="shared" si="1"/>
        <v>11396</v>
      </c>
      <c r="F11" s="2">
        <f t="shared" si="1"/>
        <v>9022</v>
      </c>
      <c r="G11" s="2">
        <f>G7-G9+G10</f>
        <v>8685</v>
      </c>
      <c r="H11" s="2">
        <f>'Workshop #5'!P31</f>
        <v>9032.4000000000069</v>
      </c>
      <c r="I11" s="2">
        <f>'Workshop #5'!Q31</f>
        <v>9393.696000000009</v>
      </c>
      <c r="J11" s="2">
        <f>'Workshop #5'!R31</f>
        <v>9769.4438400000017</v>
      </c>
      <c r="K11" s="2">
        <f>'Workshop #5'!S31</f>
        <v>10160.221593600014</v>
      </c>
      <c r="L11" s="401">
        <f>'Workshop #5'!T31</f>
        <v>10566.630457344001</v>
      </c>
    </row>
    <row r="12" spans="2:12">
      <c r="B12" s="408" t="s">
        <v>2117</v>
      </c>
      <c r="C12" s="2">
        <f>Financials!B17</f>
        <v>-4978</v>
      </c>
      <c r="D12" s="2">
        <f>Financials!C17</f>
        <v>4590</v>
      </c>
      <c r="E12" s="2">
        <f>Financials!D17</f>
        <v>2729</v>
      </c>
      <c r="F12" s="2">
        <f>Financials!E17</f>
        <v>423</v>
      </c>
      <c r="G12" s="2">
        <f>Financials!F17</f>
        <v>17</v>
      </c>
      <c r="H12" s="2">
        <f>'Workshop #5'!P32</f>
        <v>17.680000000000003</v>
      </c>
      <c r="I12" s="2">
        <f>'Workshop #5'!Q32</f>
        <v>18.387200000000004</v>
      </c>
      <c r="J12" s="2">
        <f>'Workshop #5'!R32</f>
        <v>19.122688000000004</v>
      </c>
      <c r="K12" s="2">
        <f>'Workshop #5'!S32</f>
        <v>19.887595520000005</v>
      </c>
      <c r="L12" s="401">
        <f>'Workshop #5'!T32</f>
        <v>20.683099340800005</v>
      </c>
    </row>
    <row r="13" spans="2:12">
      <c r="B13" s="487" t="s">
        <v>2068</v>
      </c>
      <c r="C13" s="2">
        <f>Financials!B18</f>
        <v>684</v>
      </c>
      <c r="D13" s="2">
        <f>Financials!C18</f>
        <v>683</v>
      </c>
      <c r="E13" s="2">
        <f>Financials!D18</f>
        <v>694</v>
      </c>
      <c r="F13" s="2">
        <f>Financials!E18</f>
        <v>775</v>
      </c>
      <c r="G13" s="2">
        <f>Financials!F18</f>
        <v>861</v>
      </c>
      <c r="H13" s="2">
        <f>'Workshop #5'!P33</f>
        <v>1250.2505740585773</v>
      </c>
      <c r="I13" s="2">
        <f>'Workshop #5'!Q33</f>
        <v>590.47192050209208</v>
      </c>
      <c r="J13" s="2">
        <f>'Workshop #5'!R33</f>
        <v>671.51927262259517</v>
      </c>
      <c r="K13" s="2">
        <f>'Workshop #5'!S33</f>
        <v>763.09752061536517</v>
      </c>
      <c r="L13" s="401">
        <f>'Workshop #5'!T33</f>
        <v>858.33889852784614</v>
      </c>
    </row>
    <row r="14" spans="2:12">
      <c r="B14" s="408" t="s">
        <v>2118</v>
      </c>
      <c r="C14" s="2">
        <f>Financials!B21</f>
        <v>330</v>
      </c>
      <c r="D14" s="2">
        <f>Financials!C21</f>
        <v>419</v>
      </c>
      <c r="E14" s="2">
        <f>Financials!D21</f>
        <v>178</v>
      </c>
      <c r="F14" s="2">
        <f>Financials!E21</f>
        <v>446</v>
      </c>
      <c r="G14" s="2">
        <f>Financials!F21</f>
        <v>399</v>
      </c>
      <c r="H14" s="2">
        <f>'Workshop #5'!P34</f>
        <v>414.96000000000004</v>
      </c>
      <c r="I14" s="2">
        <f>'Workshop #5'!Q34</f>
        <v>431.55840000000006</v>
      </c>
      <c r="J14" s="2">
        <f>'Workshop #5'!R34</f>
        <v>448.82073600000007</v>
      </c>
      <c r="K14" s="2">
        <f>'Workshop #5'!S34</f>
        <v>466.77356544000003</v>
      </c>
      <c r="L14" s="401">
        <f>'Workshop #5'!T34</f>
        <v>485.44450805760005</v>
      </c>
    </row>
    <row r="15" spans="2:12">
      <c r="B15" s="49" t="s">
        <v>2119</v>
      </c>
      <c r="C15" s="2">
        <f t="shared" ref="C15:F15" si="2">C11+C12-C13-C14</f>
        <v>7107</v>
      </c>
      <c r="D15" s="2">
        <f t="shared" si="2"/>
        <v>12236</v>
      </c>
      <c r="E15" s="2">
        <f t="shared" si="2"/>
        <v>13253</v>
      </c>
      <c r="F15" s="2">
        <f t="shared" si="2"/>
        <v>8224</v>
      </c>
      <c r="G15" s="2">
        <f>G11+G12-G13-G14</f>
        <v>7442</v>
      </c>
      <c r="H15" s="2">
        <f>'Workshop #5'!P35</f>
        <v>7384.8694259414297</v>
      </c>
      <c r="I15" s="2">
        <f>'Workshop #5'!Q35</f>
        <v>8390.0528794979164</v>
      </c>
      <c r="J15" s="2">
        <f>'Workshop #5'!R35</f>
        <v>8668.2265193774056</v>
      </c>
      <c r="K15" s="2">
        <f>'Workshop #5'!S35</f>
        <v>8950.2381030646484</v>
      </c>
      <c r="L15" s="401">
        <f>'Workshop #5'!T35</f>
        <v>9243.5301500993555</v>
      </c>
    </row>
    <row r="16" spans="2:12">
      <c r="B16" s="408" t="s">
        <v>2069</v>
      </c>
      <c r="C16" s="2">
        <f>Financials!B28</f>
        <v>501</v>
      </c>
      <c r="D16" s="2">
        <f>Financials!C28</f>
        <v>3705</v>
      </c>
      <c r="E16" s="2">
        <f>Financials!D28</f>
        <v>3277</v>
      </c>
      <c r="F16" s="2">
        <f>Financials!E28</f>
        <v>1865</v>
      </c>
      <c r="G16" s="2">
        <f>Financials!F28</f>
        <v>1660</v>
      </c>
      <c r="H16" s="2">
        <f>'Workshop #5'!P36</f>
        <v>1726.4000000000003</v>
      </c>
      <c r="I16" s="2">
        <f>'Workshop #5'!Q36</f>
        <v>1795.4560000000004</v>
      </c>
      <c r="J16" s="2">
        <f>'Workshop #5'!R36</f>
        <v>1867.2742400000004</v>
      </c>
      <c r="K16" s="2">
        <f>'Workshop #5'!S36</f>
        <v>1941.9652096000004</v>
      </c>
      <c r="L16" s="401">
        <f>'Workshop #5'!T36</f>
        <v>2019.6438179840004</v>
      </c>
    </row>
    <row r="17" spans="2:12">
      <c r="B17" s="257" t="s">
        <v>2070</v>
      </c>
      <c r="C17" s="489">
        <f t="shared" ref="C17:F17" si="3">C15-C16</f>
        <v>6606</v>
      </c>
      <c r="D17" s="489">
        <f t="shared" si="3"/>
        <v>8531</v>
      </c>
      <c r="E17" s="489">
        <f t="shared" si="3"/>
        <v>9976</v>
      </c>
      <c r="F17" s="489">
        <f t="shared" si="3"/>
        <v>6359</v>
      </c>
      <c r="G17" s="489">
        <f>G15-G16</f>
        <v>5782</v>
      </c>
      <c r="H17" s="489">
        <f>'Workshop #5'!P37</f>
        <v>5658.4694259414291</v>
      </c>
      <c r="I17" s="489">
        <f>'Workshop #5'!Q37</f>
        <v>6594.5968794979162</v>
      </c>
      <c r="J17" s="489">
        <f>'Workshop #5'!R37</f>
        <v>6800.9522793774049</v>
      </c>
      <c r="K17" s="489">
        <f>'Workshop #5'!S37</f>
        <v>7008.2728934646475</v>
      </c>
      <c r="L17" s="558">
        <f>'Workshop #5'!T37</f>
        <v>7223.8863321153549</v>
      </c>
    </row>
    <row r="20" spans="2:12">
      <c r="B20" s="482" t="s">
        <v>2062</v>
      </c>
      <c r="C20" s="252"/>
      <c r="D20" s="252"/>
      <c r="E20" s="252"/>
      <c r="F20" s="252"/>
      <c r="G20" s="252"/>
      <c r="H20" s="252"/>
      <c r="I20" s="252"/>
      <c r="J20" s="252"/>
      <c r="K20" s="252"/>
      <c r="L20" s="486"/>
    </row>
    <row r="21" spans="2:12">
      <c r="B21" s="100" t="s">
        <v>1716</v>
      </c>
      <c r="C21" s="238">
        <v>2020</v>
      </c>
      <c r="D21" s="238">
        <v>2021</v>
      </c>
      <c r="E21" s="238">
        <v>2022</v>
      </c>
      <c r="F21" s="238">
        <v>2023</v>
      </c>
      <c r="G21" s="5">
        <f>2024</f>
        <v>2024</v>
      </c>
      <c r="H21" s="409">
        <v>2025</v>
      </c>
      <c r="I21" s="409">
        <v>2026</v>
      </c>
      <c r="J21" s="409">
        <v>2027</v>
      </c>
      <c r="K21" s="409">
        <v>2028</v>
      </c>
      <c r="L21" s="490">
        <v>2029</v>
      </c>
    </row>
    <row r="22" spans="2:12">
      <c r="B22" s="408" t="s">
        <v>2120</v>
      </c>
      <c r="C22" s="2">
        <f>Financials!B55</f>
        <v>6316</v>
      </c>
      <c r="D22" s="2">
        <f>Financials!C55</f>
        <v>10593</v>
      </c>
      <c r="E22" s="2">
        <f>Financials!D55</f>
        <v>7595</v>
      </c>
      <c r="F22" s="2">
        <f>Financials!E55</f>
        <v>6072</v>
      </c>
      <c r="G22" s="2">
        <f>Financials!F55</f>
        <v>6318</v>
      </c>
      <c r="H22" s="2">
        <f>'Workshop #5'!P45</f>
        <v>6570.7200000000012</v>
      </c>
      <c r="I22" s="2">
        <f>'Workshop #5'!Q45</f>
        <v>6833.5488000000014</v>
      </c>
      <c r="J22" s="2">
        <f>'Workshop #5'!R45</f>
        <v>7106.8907520000012</v>
      </c>
      <c r="K22" s="2">
        <f>'Workshop #5'!S45</f>
        <v>7391.1663820800013</v>
      </c>
      <c r="L22" s="401">
        <f>'Workshop #5'!T45</f>
        <v>7686.8130373632011</v>
      </c>
    </row>
    <row r="23" spans="2:12">
      <c r="B23" s="400" t="s">
        <v>2121</v>
      </c>
      <c r="C23" s="2">
        <f>Financials!B60</f>
        <v>11167</v>
      </c>
      <c r="D23" s="2">
        <f>Financials!C60</f>
        <v>12973</v>
      </c>
      <c r="E23" s="2">
        <f>Financials!D60</f>
        <v>13037</v>
      </c>
      <c r="F23" s="2">
        <f>Financials!E60</f>
        <v>11579</v>
      </c>
      <c r="G23" s="2">
        <f>Financials!F60</f>
        <v>11314</v>
      </c>
      <c r="H23" s="2">
        <f>'Workshop #5'!P46</f>
        <v>11766.560000000001</v>
      </c>
      <c r="I23" s="2">
        <f>'Workshop #5'!Q46</f>
        <v>12237.222400000002</v>
      </c>
      <c r="J23" s="2">
        <f>'Workshop #5'!R46</f>
        <v>12726.711296000001</v>
      </c>
      <c r="K23" s="2">
        <f>'Workshop #5'!S46</f>
        <v>13235.779747840003</v>
      </c>
      <c r="L23" s="401">
        <f>'Workshop #5'!T46</f>
        <v>13765.210937753602</v>
      </c>
    </row>
    <row r="24" spans="2:12">
      <c r="B24" s="408" t="s">
        <v>2122</v>
      </c>
      <c r="C24" s="2">
        <f>-Financials!B61</f>
        <v>138</v>
      </c>
      <c r="D24" s="2">
        <f>-Financials!C61</f>
        <v>128</v>
      </c>
      <c r="E24" s="2">
        <f>-Financials!D61</f>
        <v>146</v>
      </c>
      <c r="F24" s="2">
        <f>-Financials!E61</f>
        <v>126</v>
      </c>
      <c r="G24" s="2">
        <f>-Financials!F61</f>
        <v>136</v>
      </c>
      <c r="H24" s="2">
        <f>'Workshop #5'!P47</f>
        <v>141.44000000000003</v>
      </c>
      <c r="I24" s="2">
        <f>'Workshop #5'!Q47</f>
        <v>147.09760000000003</v>
      </c>
      <c r="J24" s="2">
        <f>'Workshop #5'!R47</f>
        <v>152.98150400000003</v>
      </c>
      <c r="K24" s="2">
        <f>'Workshop #5'!S47</f>
        <v>159.10076416000004</v>
      </c>
      <c r="L24" s="401">
        <f>'Workshop #5'!T47</f>
        <v>165.46479472640004</v>
      </c>
    </row>
    <row r="25" spans="2:12">
      <c r="B25" s="400" t="s">
        <v>82</v>
      </c>
      <c r="C25" s="2">
        <f>Financials!B63</f>
        <v>620</v>
      </c>
      <c r="D25" s="2">
        <f>Financials!C63</f>
        <v>717</v>
      </c>
      <c r="E25" s="2">
        <f>Financials!D63</f>
        <v>889</v>
      </c>
      <c r="F25" s="2">
        <f>Financials!E63</f>
        <v>935</v>
      </c>
      <c r="G25" s="2">
        <f>Financials!F63</f>
        <v>826</v>
      </c>
      <c r="H25" s="2">
        <f>'Workshop #5'!P48</f>
        <v>859.04000000000008</v>
      </c>
      <c r="I25" s="2">
        <f>'Workshop #5'!Q48</f>
        <v>893.40160000000014</v>
      </c>
      <c r="J25" s="2">
        <f>'Workshop #5'!R48</f>
        <v>929.13766400000009</v>
      </c>
      <c r="K25" s="2">
        <f>'Workshop #5'!S48</f>
        <v>966.30317056000013</v>
      </c>
      <c r="L25" s="401">
        <f>'Workshop #5'!T48</f>
        <v>1004.9552973824001</v>
      </c>
    </row>
    <row r="26" spans="2:12">
      <c r="B26" s="408" t="s">
        <v>2123</v>
      </c>
      <c r="C26" s="2">
        <f>Financials!B65</f>
        <v>2251</v>
      </c>
      <c r="D26" s="2">
        <f>Financials!C65</f>
        <v>779</v>
      </c>
      <c r="E26" s="2">
        <f>Financials!D65</f>
        <v>842</v>
      </c>
      <c r="F26" s="2">
        <f>Financials!E65</f>
        <v>953</v>
      </c>
      <c r="G26" s="2">
        <f>Financials!F65</f>
        <v>988</v>
      </c>
      <c r="H26" s="2">
        <f>'Workshop #5'!P49</f>
        <v>1027.52</v>
      </c>
      <c r="I26" s="2">
        <f>'Workshop #5'!Q49</f>
        <v>1068.6208000000001</v>
      </c>
      <c r="J26" s="2">
        <f>'Workshop #5'!R49</f>
        <v>1111.365632</v>
      </c>
      <c r="K26" s="2">
        <f>'Workshop #5'!S49</f>
        <v>1155.8202572800001</v>
      </c>
      <c r="L26" s="401">
        <f>'Workshop #5'!T49</f>
        <v>1202.0530675712</v>
      </c>
    </row>
    <row r="27" spans="2:12">
      <c r="B27" s="100" t="s">
        <v>2124</v>
      </c>
      <c r="C27" s="79">
        <f t="shared" ref="C27:F27" si="4">C22+C23-C24+C25+C26</f>
        <v>20216</v>
      </c>
      <c r="D27" s="79">
        <f t="shared" si="4"/>
        <v>24934</v>
      </c>
      <c r="E27" s="79">
        <f t="shared" si="4"/>
        <v>22217</v>
      </c>
      <c r="F27" s="79">
        <f t="shared" si="4"/>
        <v>19413</v>
      </c>
      <c r="G27" s="79">
        <f>G22+G23-G24+G25+G26</f>
        <v>19310</v>
      </c>
      <c r="H27" s="2">
        <f>'Workshop #5'!P50</f>
        <v>20082.400000000005</v>
      </c>
      <c r="I27" s="2">
        <f>'Workshop #5'!Q50</f>
        <v>20885.696000000004</v>
      </c>
      <c r="J27" s="2">
        <f>'Workshop #5'!R50</f>
        <v>21721.123840000004</v>
      </c>
      <c r="K27" s="2">
        <f>'Workshop #5'!S50</f>
        <v>22589.968793600005</v>
      </c>
      <c r="L27" s="401">
        <f>'Workshop #5'!T50</f>
        <v>23493.567545344005</v>
      </c>
    </row>
    <row r="28" spans="2:12">
      <c r="B28" s="408" t="s">
        <v>2125</v>
      </c>
      <c r="C28" s="2">
        <f>Financials!B69</f>
        <v>65164</v>
      </c>
      <c r="D28" s="2">
        <f>Financials!C69</f>
        <v>68371</v>
      </c>
      <c r="E28" s="2">
        <f>Financials!D69</f>
        <v>71185</v>
      </c>
      <c r="F28" s="2">
        <f>Financials!E69</f>
        <v>75823</v>
      </c>
      <c r="G28" s="2">
        <f>Financials!F69</f>
        <v>77445</v>
      </c>
      <c r="H28" s="2">
        <f>'Workshop #5'!P51</f>
        <v>80542.8</v>
      </c>
      <c r="I28" s="2">
        <f>'Workshop #5'!Q51</f>
        <v>83764.512000000017</v>
      </c>
      <c r="J28" s="2">
        <f>'Workshop #5'!R51</f>
        <v>87115.092480000021</v>
      </c>
      <c r="K28" s="2">
        <f>'Workshop #5'!S51</f>
        <v>90599.696179200022</v>
      </c>
      <c r="L28" s="401">
        <f>'Workshop #5'!T51</f>
        <v>94223.684026368021</v>
      </c>
    </row>
    <row r="29" spans="2:12">
      <c r="B29" s="408" t="s">
        <v>2126</v>
      </c>
      <c r="C29" s="2">
        <f>Financials!B77</f>
        <v>29837</v>
      </c>
      <c r="D29" s="2">
        <f>Financials!C77</f>
        <v>31334</v>
      </c>
      <c r="E29" s="2">
        <f>Financials!D77</f>
        <v>32711</v>
      </c>
      <c r="F29" s="2">
        <f>Financials!E77</f>
        <v>34570</v>
      </c>
      <c r="G29" s="2">
        <f>Financials!F77</f>
        <v>36117</v>
      </c>
      <c r="H29" s="2">
        <f>'Workshop #5'!P52</f>
        <v>37561.680000000008</v>
      </c>
      <c r="I29" s="2">
        <f>'Workshop #5'!Q52</f>
        <v>39064.147200000007</v>
      </c>
      <c r="J29" s="2">
        <f>'Workshop #5'!R52</f>
        <v>40626.713088000004</v>
      </c>
      <c r="K29" s="2">
        <f>'Workshop #5'!S52</f>
        <v>42251.781611520011</v>
      </c>
      <c r="L29" s="401">
        <f>'Workshop #5'!T52</f>
        <v>43941.85287598081</v>
      </c>
    </row>
    <row r="30" spans="2:12">
      <c r="B30" s="49" t="s">
        <v>2127</v>
      </c>
      <c r="C30" s="79">
        <f t="shared" ref="C30:F30" si="5">C28-C29</f>
        <v>35327</v>
      </c>
      <c r="D30" s="79">
        <f t="shared" si="5"/>
        <v>37037</v>
      </c>
      <c r="E30" s="79">
        <f t="shared" si="5"/>
        <v>38474</v>
      </c>
      <c r="F30" s="79">
        <f t="shared" si="5"/>
        <v>41253</v>
      </c>
      <c r="G30" s="79">
        <f>G28-G29</f>
        <v>41328</v>
      </c>
      <c r="H30" s="2">
        <f>'Workshop #5'!P53</f>
        <v>42981.119999999995</v>
      </c>
      <c r="I30" s="2">
        <f>'Workshop #5'!Q53</f>
        <v>44700.36480000001</v>
      </c>
      <c r="J30" s="2">
        <f>'Workshop #5'!R53</f>
        <v>46488.379392000017</v>
      </c>
      <c r="K30" s="2">
        <f>'Workshop #5'!S53</f>
        <v>48347.914567680011</v>
      </c>
      <c r="L30" s="401">
        <f>'Workshop #5'!T53</f>
        <v>50281.83115038721</v>
      </c>
    </row>
    <row r="31" spans="2:12">
      <c r="B31" s="408" t="s">
        <v>2128</v>
      </c>
      <c r="C31" s="2">
        <f>Financials!B81</f>
        <v>5641</v>
      </c>
      <c r="D31" s="2">
        <f>Financials!C81</f>
        <v>6178</v>
      </c>
      <c r="E31" s="2">
        <f>Financials!D81</f>
        <v>7019</v>
      </c>
      <c r="F31" s="2">
        <f>Financials!E81</f>
        <v>8177</v>
      </c>
      <c r="G31" s="2">
        <f>Financials!F81</f>
        <v>7364</v>
      </c>
      <c r="H31" s="2">
        <f>'Workshop #5'!P54</f>
        <v>7658.5600000000013</v>
      </c>
      <c r="I31" s="2">
        <f>'Workshop #5'!Q54</f>
        <v>7964.9024000000018</v>
      </c>
      <c r="J31" s="2">
        <f>'Workshop #5'!R54</f>
        <v>8283.498496000002</v>
      </c>
      <c r="K31" s="2">
        <f>'Workshop #5'!S54</f>
        <v>8614.8384358400017</v>
      </c>
      <c r="L31" s="401">
        <f>'Workshop #5'!T54</f>
        <v>8959.4319732736021</v>
      </c>
    </row>
    <row r="32" spans="2:12">
      <c r="B32" s="408" t="s">
        <v>2129</v>
      </c>
      <c r="C32" s="2">
        <f>Financials!B85</f>
        <v>672</v>
      </c>
      <c r="D32" s="2">
        <f>Financials!C85</f>
        <v>1054</v>
      </c>
      <c r="E32" s="2">
        <f>Financials!D85</f>
        <v>2720</v>
      </c>
      <c r="F32" s="2">
        <f>Financials!E85</f>
        <v>1464</v>
      </c>
      <c r="G32" s="2">
        <f>Financials!F85</f>
        <v>1457</v>
      </c>
      <c r="H32" s="2">
        <f>'Workshop #5'!P55</f>
        <v>1515.2800000000002</v>
      </c>
      <c r="I32" s="2">
        <f>'Workshop #5'!Q55</f>
        <v>1575.8912000000003</v>
      </c>
      <c r="J32" s="2">
        <f>'Workshop #5'!R55</f>
        <v>1638.9268480000003</v>
      </c>
      <c r="K32" s="2">
        <f>'Workshop #5'!S55</f>
        <v>1704.4839219200003</v>
      </c>
      <c r="L32" s="401">
        <f>'Workshop #5'!T55</f>
        <v>1772.6632787968003</v>
      </c>
    </row>
    <row r="33" spans="2:12">
      <c r="B33" s="400" t="s">
        <v>2131</v>
      </c>
      <c r="C33" s="2">
        <f>Financials!B78</f>
        <v>25</v>
      </c>
      <c r="D33" s="2">
        <f>Financials!C78</f>
        <v>26</v>
      </c>
      <c r="E33" s="2">
        <f>Financials!D78</f>
        <v>555</v>
      </c>
      <c r="F33" s="2">
        <f>Financials!E78</f>
        <v>424</v>
      </c>
      <c r="G33" s="2">
        <f>Financials!F78</f>
        <v>499</v>
      </c>
      <c r="H33" s="2">
        <f>'Workshop #5'!P56</f>
        <v>518.96</v>
      </c>
      <c r="I33" s="2">
        <f>'Workshop #5'!Q56</f>
        <v>539.71840000000009</v>
      </c>
      <c r="J33" s="2">
        <f>'Workshop #5'!R56</f>
        <v>561.30713600000013</v>
      </c>
      <c r="K33" s="2">
        <f>'Workshop #5'!S56</f>
        <v>583.7594214400001</v>
      </c>
      <c r="L33" s="401">
        <f>'Workshop #5'!T56</f>
        <v>607.10979829760015</v>
      </c>
    </row>
    <row r="34" spans="2:12">
      <c r="B34" s="408" t="s">
        <v>2132</v>
      </c>
      <c r="C34" s="2">
        <f>Financials!B84</f>
        <v>527</v>
      </c>
      <c r="D34" s="2">
        <f>Financials!C84</f>
        <v>176</v>
      </c>
      <c r="E34" s="2">
        <f>Financials!D84</f>
        <v>139</v>
      </c>
      <c r="F34" s="2">
        <f>Financials!E84</f>
        <v>126</v>
      </c>
      <c r="G34" s="2">
        <f>Financials!F84</f>
        <v>112</v>
      </c>
      <c r="H34" s="2">
        <f>'Workshop #5'!P57</f>
        <v>116.48000000000002</v>
      </c>
      <c r="I34" s="2">
        <f>'Workshop #5'!Q57</f>
        <v>121.13920000000002</v>
      </c>
      <c r="J34" s="2">
        <f>'Workshop #5'!R57</f>
        <v>125.98476800000002</v>
      </c>
      <c r="K34" s="2">
        <f>'Workshop #5'!S57</f>
        <v>131.02415872000003</v>
      </c>
      <c r="L34" s="401">
        <f>'Workshop #5'!T57</f>
        <v>136.26512506880002</v>
      </c>
    </row>
    <row r="35" spans="2:12">
      <c r="B35" s="49" t="s">
        <v>2130</v>
      </c>
      <c r="C35" s="79">
        <f t="shared" ref="C35:F35" si="6">SUM(C27,C30:C34)</f>
        <v>62408</v>
      </c>
      <c r="D35" s="79">
        <f t="shared" si="6"/>
        <v>69405</v>
      </c>
      <c r="E35" s="79">
        <f t="shared" si="6"/>
        <v>71124</v>
      </c>
      <c r="F35" s="79">
        <f t="shared" si="6"/>
        <v>70857</v>
      </c>
      <c r="G35" s="79">
        <f>SUM(G27,G30:G34)</f>
        <v>70070</v>
      </c>
      <c r="H35" s="2">
        <f>'Workshop #5'!P58</f>
        <v>72872.800000000003</v>
      </c>
      <c r="I35" s="2">
        <f>'Workshop #5'!Q58</f>
        <v>75787.712000000014</v>
      </c>
      <c r="J35" s="2">
        <f>'Workshop #5'!R58</f>
        <v>78819.220480000018</v>
      </c>
      <c r="K35" s="2">
        <f>'Workshop #5'!S58</f>
        <v>81971.989299200039</v>
      </c>
      <c r="L35" s="401">
        <f>'Workshop #5'!T58</f>
        <v>85250.86887116803</v>
      </c>
    </row>
    <row r="36" spans="2:12">
      <c r="B36" s="408" t="s">
        <v>2133</v>
      </c>
      <c r="C36" s="2">
        <f>Financials!B90</f>
        <v>6455</v>
      </c>
      <c r="D36" s="2">
        <f>Financials!C90</f>
        <v>7523</v>
      </c>
      <c r="E36" s="2">
        <f>Financials!D90</f>
        <v>7512</v>
      </c>
      <c r="F36" s="2">
        <f>Financials!E90</f>
        <v>6340</v>
      </c>
      <c r="G36" s="2">
        <f>Financials!F90</f>
        <v>6302</v>
      </c>
      <c r="H36" s="2">
        <f>'Workshop #5'!P59</f>
        <v>6554.0800000000008</v>
      </c>
      <c r="I36" s="2">
        <f>'Workshop #5'!Q59</f>
        <v>6816.2432000000008</v>
      </c>
      <c r="J36" s="2">
        <f>'Workshop #5'!R59</f>
        <v>7088.8929280000011</v>
      </c>
      <c r="K36" s="2">
        <f>'Workshop #5'!S59</f>
        <v>7372.4486451200009</v>
      </c>
      <c r="L36" s="401">
        <f>'Workshop #5'!T59</f>
        <v>7667.3465909248007</v>
      </c>
    </row>
    <row r="37" spans="2:12">
      <c r="B37" s="488" t="s">
        <v>2134</v>
      </c>
      <c r="C37" s="2">
        <f>Financials!B89</f>
        <v>3183</v>
      </c>
      <c r="D37" s="2">
        <f>Financials!C89</f>
        <v>2711</v>
      </c>
      <c r="E37" s="2">
        <f>Financials!D89</f>
        <v>2962</v>
      </c>
      <c r="F37" s="2">
        <f>Financials!E89</f>
        <v>4057</v>
      </c>
      <c r="G37" s="2">
        <f>Financials!F89</f>
        <v>2571</v>
      </c>
      <c r="H37" s="2">
        <f>'Workshop #5'!P60</f>
        <v>2571</v>
      </c>
      <c r="I37" s="2">
        <f>'Workshop #5'!Q60</f>
        <v>2571</v>
      </c>
      <c r="J37" s="2">
        <f>'Workshop #5'!R60</f>
        <v>2571</v>
      </c>
      <c r="K37" s="2">
        <f>'Workshop #5'!S60</f>
        <v>2571</v>
      </c>
      <c r="L37" s="401">
        <f>'Workshop #5'!T60</f>
        <v>2571</v>
      </c>
    </row>
    <row r="38" spans="2:12">
      <c r="B38" s="488" t="s">
        <v>2135</v>
      </c>
      <c r="C38" s="2">
        <f>Financials!B91</f>
        <v>7378</v>
      </c>
      <c r="D38" s="2">
        <f>Financials!C91</f>
        <v>7335</v>
      </c>
      <c r="E38" s="2">
        <f>Financials!D91</f>
        <v>7666</v>
      </c>
      <c r="F38" s="2">
        <f>Financials!E91</f>
        <v>7279</v>
      </c>
      <c r="G38" s="2">
        <f>Financials!F91</f>
        <v>7568</v>
      </c>
      <c r="H38" s="2">
        <f>'Workshop #5'!P61</f>
        <v>7568</v>
      </c>
      <c r="I38" s="2">
        <f>'Workshop #5'!Q61</f>
        <v>7568</v>
      </c>
      <c r="J38" s="2">
        <f>'Workshop #5'!R61</f>
        <v>7568</v>
      </c>
      <c r="K38" s="2">
        <f>'Workshop #5'!S61</f>
        <v>7568</v>
      </c>
      <c r="L38" s="401">
        <f>'Workshop #5'!T61</f>
        <v>7568</v>
      </c>
    </row>
    <row r="39" spans="2:12">
      <c r="B39" s="100" t="s">
        <v>113</v>
      </c>
      <c r="C39" s="79">
        <f t="shared" ref="C39:F39" si="7">SUM(C36:C38)</f>
        <v>17016</v>
      </c>
      <c r="D39" s="79">
        <f t="shared" si="7"/>
        <v>17569</v>
      </c>
      <c r="E39" s="79">
        <f t="shared" si="7"/>
        <v>18140</v>
      </c>
      <c r="F39" s="79">
        <f t="shared" si="7"/>
        <v>17676</v>
      </c>
      <c r="G39" s="79">
        <f>SUM(G36:G38)</f>
        <v>16441</v>
      </c>
      <c r="H39" s="2">
        <f>'Workshop #5'!P62</f>
        <v>16693.080000000002</v>
      </c>
      <c r="I39" s="2">
        <f>'Workshop #5'!Q62</f>
        <v>16955.243200000001</v>
      </c>
      <c r="J39" s="2">
        <f>'Workshop #5'!R62</f>
        <v>17227.892928000001</v>
      </c>
      <c r="K39" s="2">
        <f>'Workshop #5'!S62</f>
        <v>17511.448645119999</v>
      </c>
      <c r="L39" s="401">
        <f>'Workshop #5'!T62</f>
        <v>17806.346590924801</v>
      </c>
    </row>
    <row r="40" spans="2:12">
      <c r="B40" s="488" t="s">
        <v>2136</v>
      </c>
      <c r="C40" s="2">
        <f>Financials!B95</f>
        <v>24571</v>
      </c>
      <c r="D40" s="2">
        <f>Financials!C95</f>
        <v>22817</v>
      </c>
      <c r="E40" s="2">
        <f>Financials!D95</f>
        <v>20559</v>
      </c>
      <c r="F40" s="2">
        <f>Financials!E95</f>
        <v>22672</v>
      </c>
      <c r="G40" s="2">
        <f>Financials!F95</f>
        <v>23081</v>
      </c>
      <c r="H40" s="2">
        <f>'Workshop #5'!P63</f>
        <v>9544</v>
      </c>
      <c r="I40" s="2">
        <f>'Workshop #5'!Q63</f>
        <v>11206.888000000021</v>
      </c>
      <c r="J40" s="2">
        <f>'Workshop #5'!R63</f>
        <v>13085.843520000024</v>
      </c>
      <c r="K40" s="2">
        <f>'Workshop #5'!S63</f>
        <v>15039.957260800031</v>
      </c>
      <c r="L40" s="401">
        <f>'Workshop #5'!T63</f>
        <v>17072.235551232021</v>
      </c>
    </row>
    <row r="41" spans="2:12">
      <c r="B41" s="408" t="s">
        <v>2138</v>
      </c>
      <c r="C41" s="2">
        <f>Financials!B98</f>
        <v>16654</v>
      </c>
      <c r="D41" s="2">
        <f>Financials!C98</f>
        <v>8877</v>
      </c>
      <c r="E41" s="2">
        <f>Financials!D98</f>
        <v>5628</v>
      </c>
      <c r="F41" s="2">
        <f>Financials!E98</f>
        <v>6972</v>
      </c>
      <c r="G41" s="2">
        <f>Financials!F98</f>
        <v>7663</v>
      </c>
      <c r="H41" s="2">
        <f>'Workshop #5'!P64</f>
        <v>23081</v>
      </c>
      <c r="I41" s="2">
        <f>'Workshop #5'!Q64</f>
        <v>23081</v>
      </c>
      <c r="J41" s="2">
        <f>'Workshop #5'!R64</f>
        <v>23081</v>
      </c>
      <c r="K41" s="2">
        <f>'Workshop #5'!S64</f>
        <v>23081</v>
      </c>
      <c r="L41" s="401">
        <f>'Workshop #5'!T64</f>
        <v>23081</v>
      </c>
    </row>
    <row r="42" spans="2:12">
      <c r="B42" s="408" t="s">
        <v>2139</v>
      </c>
      <c r="C42" s="2">
        <f>Financials!B99</f>
        <v>488</v>
      </c>
      <c r="D42" s="2">
        <f>Financials!C99</f>
        <v>3125</v>
      </c>
      <c r="E42" s="2">
        <f>Financials!D99</f>
        <v>4302</v>
      </c>
      <c r="F42" s="2">
        <f>Financials!E99</f>
        <v>3772</v>
      </c>
      <c r="G42" s="2">
        <f>Financials!F99</f>
        <v>3595</v>
      </c>
      <c r="H42" s="2">
        <f>'Workshop #5'!P65</f>
        <v>3595</v>
      </c>
      <c r="I42" s="2">
        <f>'Workshop #5'!Q65</f>
        <v>3888.3520000000008</v>
      </c>
      <c r="J42" s="2">
        <f>'Workshop #5'!R65</f>
        <v>4043.8860800000007</v>
      </c>
      <c r="K42" s="2">
        <f>'Workshop #5'!S65</f>
        <v>4205.6415232000008</v>
      </c>
      <c r="L42" s="401">
        <f>'Workshop #5'!T65</f>
        <v>4373.8671841280011</v>
      </c>
    </row>
    <row r="43" spans="2:12">
      <c r="B43" s="488" t="s">
        <v>119</v>
      </c>
      <c r="C43" s="2">
        <f>Financials!B100</f>
        <v>3010</v>
      </c>
      <c r="D43" s="2">
        <f>Financials!C100</f>
        <v>2748</v>
      </c>
      <c r="E43" s="2">
        <f>Financials!D100</f>
        <v>2692</v>
      </c>
      <c r="F43" s="2">
        <f>Financials!E100</f>
        <v>2451</v>
      </c>
      <c r="G43" s="2">
        <f>Financials!F100</f>
        <v>2547</v>
      </c>
      <c r="H43" s="2">
        <f>'Workshop #5'!P66</f>
        <v>2547</v>
      </c>
      <c r="I43" s="2">
        <f>'Workshop #5'!Q66</f>
        <v>2547</v>
      </c>
      <c r="J43" s="2">
        <f>'Workshop #5'!R66</f>
        <v>2547</v>
      </c>
      <c r="K43" s="2">
        <f>'Workshop #5'!S66</f>
        <v>2547</v>
      </c>
      <c r="L43" s="401">
        <f>'Workshop #5'!T66</f>
        <v>2547</v>
      </c>
    </row>
    <row r="44" spans="2:12">
      <c r="B44" s="559" t="s">
        <v>2137</v>
      </c>
      <c r="C44" s="380">
        <f t="shared" ref="C44:F44" si="8">SUM(C39:C43)</f>
        <v>61739</v>
      </c>
      <c r="D44" s="380">
        <f t="shared" si="8"/>
        <v>55136</v>
      </c>
      <c r="E44" s="380">
        <f t="shared" si="8"/>
        <v>51321</v>
      </c>
      <c r="F44" s="380">
        <f t="shared" si="8"/>
        <v>53543</v>
      </c>
      <c r="G44" s="380">
        <f>SUM(G39:G43)</f>
        <v>53327</v>
      </c>
      <c r="H44" s="489">
        <f>'Workshop #5'!P67</f>
        <v>55460.08</v>
      </c>
      <c r="I44" s="489">
        <f>'Workshop #5'!Q67</f>
        <v>57678.483200000017</v>
      </c>
      <c r="J44" s="489">
        <f>'Workshop #5'!R67</f>
        <v>59985.622528000029</v>
      </c>
      <c r="K44" s="489">
        <f>'Workshop #5'!S67</f>
        <v>62385.04742912003</v>
      </c>
      <c r="L44" s="558">
        <f>'Workshop #5'!T67</f>
        <v>64880.449326284826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CEA4-ED7C-084C-B832-DE9DE146165E}">
  <dimension ref="B4:X256"/>
  <sheetViews>
    <sheetView showGridLines="0" zoomScale="89" workbookViewId="0">
      <selection activeCell="E17" sqref="E17"/>
    </sheetView>
  </sheetViews>
  <sheetFormatPr baseColWidth="10" defaultColWidth="11" defaultRowHeight="16"/>
  <cols>
    <col min="3" max="3" width="11.33203125" bestFit="1" customWidth="1"/>
    <col min="7" max="7" width="11.33203125" bestFit="1" customWidth="1"/>
  </cols>
  <sheetData>
    <row r="4" spans="2:17">
      <c r="B4" s="237" t="s">
        <v>1856</v>
      </c>
      <c r="F4" s="336" t="s">
        <v>1852</v>
      </c>
      <c r="J4" s="237" t="s">
        <v>1857</v>
      </c>
      <c r="K4" s="20"/>
      <c r="L4" s="20"/>
      <c r="M4" s="20"/>
      <c r="N4" s="20"/>
      <c r="O4" s="20"/>
      <c r="P4" s="20"/>
      <c r="Q4" s="20"/>
    </row>
    <row r="5" spans="2:17">
      <c r="B5" s="237"/>
      <c r="F5" s="336"/>
      <c r="K5" s="20"/>
      <c r="L5" s="20"/>
      <c r="M5" s="20"/>
      <c r="N5" s="20"/>
      <c r="O5" s="20"/>
      <c r="P5" s="20"/>
      <c r="Q5" s="20"/>
    </row>
    <row r="6" spans="2:17">
      <c r="B6" s="20" t="s">
        <v>1769</v>
      </c>
      <c r="C6" s="20" t="s">
        <v>1770</v>
      </c>
      <c r="F6" s="334" t="s">
        <v>1769</v>
      </c>
      <c r="G6" s="334" t="s">
        <v>1770</v>
      </c>
      <c r="H6" s="5" t="s">
        <v>1853</v>
      </c>
      <c r="J6" s="5" t="s">
        <v>1858</v>
      </c>
      <c r="K6" s="337" t="s">
        <v>1859</v>
      </c>
      <c r="L6" s="18"/>
      <c r="M6" s="18"/>
      <c r="N6" s="18"/>
      <c r="O6" s="18"/>
      <c r="P6" s="18"/>
      <c r="Q6" s="18"/>
    </row>
    <row r="7" spans="2:17">
      <c r="B7" s="332">
        <v>46052</v>
      </c>
      <c r="C7" s="333">
        <v>106.22</v>
      </c>
      <c r="D7" t="s">
        <v>1855</v>
      </c>
      <c r="F7" s="332">
        <v>46052</v>
      </c>
      <c r="G7" s="333">
        <v>6939.03</v>
      </c>
      <c r="H7" t="s">
        <v>1854</v>
      </c>
      <c r="J7" s="332">
        <v>46052</v>
      </c>
      <c r="K7">
        <f>SLOPE(D7:D67,H7:H67)</f>
        <v>1.111020306914952</v>
      </c>
      <c r="L7" s="18"/>
      <c r="M7" s="18"/>
      <c r="N7" s="18"/>
      <c r="O7" s="18"/>
      <c r="P7" s="18"/>
      <c r="Q7" s="18"/>
    </row>
    <row r="8" spans="2:17">
      <c r="B8" s="332">
        <v>46022</v>
      </c>
      <c r="C8" s="333">
        <v>99.19</v>
      </c>
      <c r="D8" s="335">
        <f>(C8-C7)/C7</f>
        <v>-6.6183392958011691E-2</v>
      </c>
      <c r="F8" s="332">
        <v>46022</v>
      </c>
      <c r="G8" s="333">
        <v>6845.5047061575797</v>
      </c>
      <c r="H8" s="335">
        <f>(G8-G7)/G7</f>
        <v>-1.347815095804746E-2</v>
      </c>
      <c r="J8" s="332">
        <v>46022</v>
      </c>
      <c r="K8">
        <f t="shared" ref="K8:K67" si="0">SLOPE(D8:D68,H8:H68)</f>
        <v>1.1207493490037588</v>
      </c>
      <c r="L8" s="18"/>
      <c r="M8" s="18"/>
      <c r="N8" s="18"/>
      <c r="O8" s="18"/>
      <c r="P8" s="18"/>
      <c r="Q8" s="18"/>
    </row>
    <row r="9" spans="2:17">
      <c r="B9" s="332">
        <v>45989</v>
      </c>
      <c r="C9" s="333">
        <v>95.79</v>
      </c>
      <c r="D9" s="335">
        <f t="shared" ref="D9:D72" si="1">(C9-C8)/C8</f>
        <v>-3.4277648956547953E-2</v>
      </c>
      <c r="F9" s="332">
        <v>45989</v>
      </c>
      <c r="G9" s="333">
        <v>6849.0873723464601</v>
      </c>
      <c r="H9" s="335">
        <f t="shared" ref="H9:H72" si="2">(G9-G8)/G8</f>
        <v>5.2336041572768671E-4</v>
      </c>
      <c r="J9" s="332">
        <v>45989</v>
      </c>
      <c r="K9">
        <f t="shared" si="0"/>
        <v>1.110081908529519</v>
      </c>
      <c r="L9" s="18"/>
      <c r="M9" s="18"/>
      <c r="N9" s="18"/>
      <c r="O9" s="18"/>
      <c r="P9" s="18"/>
      <c r="Q9" s="18"/>
    </row>
    <row r="10" spans="2:17">
      <c r="B10" s="332">
        <v>45961</v>
      </c>
      <c r="C10" s="333">
        <v>96.42</v>
      </c>
      <c r="D10" s="335">
        <f t="shared" si="1"/>
        <v>6.5768869401815998E-3</v>
      </c>
      <c r="F10" s="332">
        <v>45961</v>
      </c>
      <c r="G10" s="333">
        <v>6840.1987413872303</v>
      </c>
      <c r="H10" s="335">
        <f t="shared" si="2"/>
        <v>-1.297783263083807E-3</v>
      </c>
      <c r="J10" s="332">
        <v>45961</v>
      </c>
      <c r="K10">
        <f t="shared" si="0"/>
        <v>1.1129741262744746</v>
      </c>
      <c r="L10" s="18"/>
      <c r="M10" s="18"/>
      <c r="N10" s="18"/>
      <c r="O10" s="18"/>
      <c r="P10" s="18"/>
      <c r="Q10" s="18"/>
    </row>
    <row r="11" spans="2:17">
      <c r="B11" s="332">
        <v>45930</v>
      </c>
      <c r="C11" s="333">
        <v>83.53</v>
      </c>
      <c r="D11" s="335">
        <f t="shared" si="1"/>
        <v>-0.13368595727027588</v>
      </c>
      <c r="F11" s="332">
        <v>45930</v>
      </c>
      <c r="G11" s="333">
        <v>6688.45903689016</v>
      </c>
      <c r="H11" s="335">
        <f t="shared" si="2"/>
        <v>-2.2183522765055894E-2</v>
      </c>
      <c r="J11" s="332">
        <v>45930</v>
      </c>
      <c r="K11">
        <f t="shared" si="0"/>
        <v>1.1158557142246854</v>
      </c>
      <c r="L11" s="18"/>
      <c r="M11" s="18"/>
      <c r="N11" s="18"/>
      <c r="O11" s="18"/>
      <c r="P11" s="18"/>
      <c r="Q11" s="18"/>
    </row>
    <row r="12" spans="2:17">
      <c r="B12" s="332">
        <v>45898</v>
      </c>
      <c r="C12" s="333">
        <v>87.44</v>
      </c>
      <c r="D12" s="335">
        <f t="shared" si="1"/>
        <v>4.6809529510355517E-2</v>
      </c>
      <c r="F12" s="332">
        <v>45898</v>
      </c>
      <c r="G12" s="333">
        <v>6460.2626670192003</v>
      </c>
      <c r="H12" s="335">
        <f t="shared" si="2"/>
        <v>-3.4117928899966912E-2</v>
      </c>
      <c r="J12" s="332">
        <v>45898</v>
      </c>
      <c r="K12">
        <f t="shared" si="0"/>
        <v>1.0671493066000677</v>
      </c>
      <c r="L12" s="18"/>
      <c r="M12" s="18"/>
      <c r="N12" s="18"/>
      <c r="O12" s="18"/>
      <c r="P12" s="18"/>
      <c r="Q12" s="18"/>
    </row>
    <row r="13" spans="2:17">
      <c r="B13" s="332">
        <v>45869</v>
      </c>
      <c r="C13" s="333">
        <v>86.16</v>
      </c>
      <c r="D13" s="335">
        <f t="shared" si="1"/>
        <v>-1.4638609332113462E-2</v>
      </c>
      <c r="F13" s="332">
        <v>45869</v>
      </c>
      <c r="G13" s="333">
        <v>6339.3945671658003</v>
      </c>
      <c r="H13" s="335">
        <f t="shared" si="2"/>
        <v>-1.8709471438437538E-2</v>
      </c>
      <c r="J13" s="332">
        <v>45869</v>
      </c>
      <c r="K13">
        <f t="shared" si="0"/>
        <v>1.1138382410827357</v>
      </c>
      <c r="L13" s="18"/>
      <c r="M13" s="18"/>
      <c r="N13" s="18"/>
      <c r="O13" s="18"/>
      <c r="P13" s="18"/>
      <c r="Q13" s="18"/>
    </row>
    <row r="14" spans="2:17">
      <c r="B14" s="332">
        <v>45838</v>
      </c>
      <c r="C14" s="333">
        <v>100.94</v>
      </c>
      <c r="D14" s="335">
        <f t="shared" si="1"/>
        <v>0.17154131847725165</v>
      </c>
      <c r="F14" s="332">
        <v>45838</v>
      </c>
      <c r="G14" s="333">
        <v>6204.9539523896201</v>
      </c>
      <c r="H14" s="335">
        <f t="shared" si="2"/>
        <v>-2.1207169446827084E-2</v>
      </c>
      <c r="J14" s="332">
        <v>45838</v>
      </c>
      <c r="K14">
        <f t="shared" si="0"/>
        <v>1.1725401143250933</v>
      </c>
      <c r="L14" s="18"/>
      <c r="M14" s="18"/>
      <c r="N14" s="18"/>
      <c r="O14" s="18"/>
      <c r="P14" s="18"/>
      <c r="Q14" s="18"/>
    </row>
    <row r="15" spans="2:17">
      <c r="B15" s="332">
        <v>45807</v>
      </c>
      <c r="C15" s="333">
        <v>97.54</v>
      </c>
      <c r="D15" s="335">
        <f t="shared" si="1"/>
        <v>-3.3683376263126528E-2</v>
      </c>
      <c r="F15" s="332">
        <v>45807</v>
      </c>
      <c r="G15" s="333">
        <v>5911.6867231263304</v>
      </c>
      <c r="H15" s="335">
        <f t="shared" si="2"/>
        <v>-4.7263401390810984E-2</v>
      </c>
      <c r="J15" s="332">
        <v>45807</v>
      </c>
      <c r="K15">
        <f t="shared" si="0"/>
        <v>1.1930128317006836</v>
      </c>
      <c r="L15" s="18"/>
      <c r="M15" s="18"/>
      <c r="N15" s="18"/>
      <c r="O15" s="18"/>
      <c r="P15" s="18"/>
      <c r="Q15" s="18"/>
    </row>
    <row r="16" spans="2:17">
      <c r="B16" s="332">
        <v>45777</v>
      </c>
      <c r="C16" s="333">
        <v>95.3</v>
      </c>
      <c r="D16" s="335">
        <f t="shared" si="1"/>
        <v>-2.2964937461554327E-2</v>
      </c>
      <c r="F16" s="332">
        <v>45777</v>
      </c>
      <c r="G16" s="333">
        <v>5569.0646749468096</v>
      </c>
      <c r="H16" s="335">
        <f t="shared" si="2"/>
        <v>-5.7956732862584591E-2</v>
      </c>
      <c r="J16" s="332">
        <v>45777</v>
      </c>
      <c r="K16">
        <f t="shared" si="0"/>
        <v>1.1987407495419944</v>
      </c>
      <c r="L16" s="18"/>
      <c r="M16" s="18"/>
      <c r="N16" s="18"/>
      <c r="O16" s="18"/>
      <c r="P16" s="18"/>
      <c r="Q16" s="18"/>
    </row>
    <row r="17" spans="2:17">
      <c r="B17" s="332">
        <v>45747</v>
      </c>
      <c r="C17" s="333">
        <v>109.99</v>
      </c>
      <c r="D17" s="335">
        <f t="shared" si="1"/>
        <v>0.15414480587618046</v>
      </c>
      <c r="F17" s="332">
        <v>45747</v>
      </c>
      <c r="G17" s="333">
        <v>5611.8526068176297</v>
      </c>
      <c r="H17" s="335">
        <f t="shared" si="2"/>
        <v>7.6831450823883225E-3</v>
      </c>
      <c r="J17" s="332">
        <v>45747</v>
      </c>
      <c r="K17">
        <f t="shared" si="0"/>
        <v>1.1307934677382934</v>
      </c>
      <c r="L17" s="18"/>
      <c r="M17" s="18"/>
      <c r="N17" s="18"/>
      <c r="O17" s="18"/>
      <c r="P17" s="18"/>
      <c r="Q17" s="18"/>
    </row>
    <row r="18" spans="2:17">
      <c r="B18" s="332">
        <v>45716</v>
      </c>
      <c r="C18" s="333">
        <v>119.03</v>
      </c>
      <c r="D18" s="335">
        <f t="shared" si="1"/>
        <v>8.2189289935448731E-2</v>
      </c>
      <c r="F18" s="332">
        <v>45716</v>
      </c>
      <c r="G18" s="333">
        <v>5954.5048269650797</v>
      </c>
      <c r="H18" s="335">
        <f t="shared" si="2"/>
        <v>6.1058663538521053E-2</v>
      </c>
      <c r="J18" s="332">
        <v>45716</v>
      </c>
      <c r="K18">
        <f t="shared" si="0"/>
        <v>0.91853451572128386</v>
      </c>
      <c r="L18" s="18"/>
      <c r="M18" s="18"/>
      <c r="N18" s="18"/>
      <c r="O18" s="18"/>
      <c r="P18" s="18"/>
      <c r="Q18" s="18"/>
    </row>
    <row r="19" spans="2:17">
      <c r="B19" s="332">
        <v>45688</v>
      </c>
      <c r="C19" s="333">
        <v>114.23</v>
      </c>
      <c r="D19" s="335">
        <f t="shared" si="1"/>
        <v>-4.0325968243299981E-2</v>
      </c>
      <c r="F19" s="332">
        <v>45688</v>
      </c>
      <c r="G19" s="333">
        <v>6040.5259338818596</v>
      </c>
      <c r="H19" s="335">
        <f t="shared" si="2"/>
        <v>1.4446391331690891E-2</v>
      </c>
      <c r="J19" s="332">
        <v>45688</v>
      </c>
      <c r="K19">
        <f t="shared" si="0"/>
        <v>0.94216846751732486</v>
      </c>
      <c r="L19" s="18"/>
      <c r="M19" s="18"/>
      <c r="N19" s="18"/>
      <c r="O19" s="18"/>
      <c r="P19" s="18"/>
      <c r="Q19" s="18"/>
    </row>
    <row r="20" spans="2:17">
      <c r="B20" s="332">
        <v>45657</v>
      </c>
      <c r="C20" s="333">
        <v>126.1</v>
      </c>
      <c r="D20" s="335">
        <f t="shared" si="1"/>
        <v>0.10391315766436129</v>
      </c>
      <c r="F20" s="332">
        <v>45657</v>
      </c>
      <c r="G20" s="333">
        <v>5881.6276482140902</v>
      </c>
      <c r="H20" s="335">
        <f t="shared" si="2"/>
        <v>-2.6305372645864241E-2</v>
      </c>
      <c r="J20" s="332">
        <v>45657</v>
      </c>
      <c r="K20">
        <f t="shared" si="0"/>
        <v>0.95873570273336395</v>
      </c>
      <c r="L20" s="18"/>
      <c r="M20" s="18"/>
      <c r="N20" s="18"/>
      <c r="O20" s="18"/>
      <c r="P20" s="18"/>
      <c r="Q20" s="18"/>
    </row>
    <row r="21" spans="2:17">
      <c r="B21" s="332">
        <v>45625</v>
      </c>
      <c r="C21" s="333">
        <v>135.72</v>
      </c>
      <c r="D21" s="335">
        <f t="shared" si="1"/>
        <v>7.6288659793814467E-2</v>
      </c>
      <c r="F21" s="332">
        <v>45625</v>
      </c>
      <c r="G21" s="333">
        <v>6032.3844122739201</v>
      </c>
      <c r="H21" s="335">
        <f t="shared" si="2"/>
        <v>2.5631810287345552E-2</v>
      </c>
      <c r="J21" s="332">
        <v>45625</v>
      </c>
      <c r="K21">
        <f t="shared" si="0"/>
        <v>0.96680601534367494</v>
      </c>
      <c r="L21" s="18"/>
      <c r="M21" s="18"/>
      <c r="N21" s="18"/>
      <c r="O21" s="18"/>
      <c r="P21" s="18"/>
      <c r="Q21" s="18"/>
    </row>
    <row r="22" spans="2:17">
      <c r="B22" s="332">
        <v>45596</v>
      </c>
      <c r="C22" s="333">
        <v>134.06</v>
      </c>
      <c r="D22" s="335">
        <f t="shared" si="1"/>
        <v>-1.2231063955201861E-2</v>
      </c>
      <c r="F22" s="332">
        <v>45596</v>
      </c>
      <c r="G22" s="333">
        <v>5705.4479206697297</v>
      </c>
      <c r="H22" s="335">
        <f t="shared" si="2"/>
        <v>-5.4196892847044383E-2</v>
      </c>
      <c r="J22" s="332">
        <v>45596</v>
      </c>
      <c r="K22">
        <f t="shared" si="0"/>
        <v>0.96056376685279476</v>
      </c>
      <c r="L22" s="18"/>
      <c r="M22" s="18"/>
      <c r="N22" s="18"/>
      <c r="O22" s="18"/>
      <c r="P22" s="18"/>
      <c r="Q22" s="18"/>
    </row>
    <row r="23" spans="2:17">
      <c r="B23" s="332">
        <v>45565</v>
      </c>
      <c r="C23" s="333">
        <v>136.34</v>
      </c>
      <c r="D23" s="335">
        <f t="shared" si="1"/>
        <v>1.7007310159630026E-2</v>
      </c>
      <c r="F23" s="332">
        <v>45565</v>
      </c>
      <c r="G23" s="333">
        <v>5762.4848833691203</v>
      </c>
      <c r="H23" s="335">
        <f t="shared" si="2"/>
        <v>9.9969298629046816E-3</v>
      </c>
      <c r="J23" s="332">
        <v>45565</v>
      </c>
      <c r="K23">
        <f t="shared" si="0"/>
        <v>0.96548402821059554</v>
      </c>
      <c r="L23" s="18"/>
      <c r="M23" s="18"/>
      <c r="N23" s="18"/>
      <c r="O23" s="18"/>
      <c r="P23" s="18"/>
      <c r="Q23" s="18"/>
    </row>
    <row r="24" spans="2:17">
      <c r="B24" s="332">
        <v>45534</v>
      </c>
      <c r="C24" s="333">
        <v>128.55000000000001</v>
      </c>
      <c r="D24" s="335">
        <f t="shared" si="1"/>
        <v>-5.7136570338858675E-2</v>
      </c>
      <c r="F24" s="332">
        <v>45534</v>
      </c>
      <c r="G24" s="333">
        <v>5648.3972363167604</v>
      </c>
      <c r="H24" s="335">
        <f t="shared" si="2"/>
        <v>-1.9798342097455863E-2</v>
      </c>
      <c r="J24" s="332">
        <v>45534</v>
      </c>
      <c r="K24">
        <f t="shared" si="0"/>
        <v>0.96605134046405061</v>
      </c>
      <c r="L24" s="18"/>
      <c r="M24" s="18"/>
      <c r="N24" s="18"/>
      <c r="O24" s="18"/>
      <c r="P24" s="18"/>
      <c r="Q24" s="18"/>
    </row>
    <row r="25" spans="2:17">
      <c r="B25" s="332">
        <v>45504</v>
      </c>
      <c r="C25" s="333">
        <v>130.37</v>
      </c>
      <c r="D25" s="335">
        <f t="shared" si="1"/>
        <v>1.4157915208090182E-2</v>
      </c>
      <c r="F25" s="332">
        <v>45504</v>
      </c>
      <c r="G25" s="333">
        <v>5522.3018368946596</v>
      </c>
      <c r="H25" s="335">
        <f t="shared" si="2"/>
        <v>-2.2324102598762312E-2</v>
      </c>
      <c r="J25" s="332">
        <v>45504</v>
      </c>
      <c r="K25">
        <f t="shared" si="0"/>
        <v>0.95921869213434197</v>
      </c>
      <c r="L25" s="18"/>
      <c r="M25" s="18"/>
      <c r="N25" s="18"/>
      <c r="O25" s="18"/>
      <c r="P25" s="18"/>
      <c r="Q25" s="18"/>
    </row>
    <row r="26" spans="2:17">
      <c r="B26" s="332">
        <v>45471</v>
      </c>
      <c r="C26" s="333">
        <v>136.85</v>
      </c>
      <c r="D26" s="335">
        <f t="shared" si="1"/>
        <v>4.9704686661041574E-2</v>
      </c>
      <c r="F26" s="332">
        <v>45471</v>
      </c>
      <c r="G26" s="333">
        <v>5460.4826211495201</v>
      </c>
      <c r="H26" s="335">
        <f t="shared" si="2"/>
        <v>-1.1194465201471507E-2</v>
      </c>
      <c r="J26" s="332">
        <v>45471</v>
      </c>
      <c r="K26">
        <f t="shared" si="0"/>
        <v>0.96454267855853781</v>
      </c>
      <c r="L26" s="18"/>
      <c r="M26" s="18"/>
      <c r="N26" s="18"/>
      <c r="O26" s="18"/>
      <c r="P26" s="18"/>
      <c r="Q26" s="18"/>
    </row>
    <row r="27" spans="2:17">
      <c r="B27" s="332">
        <v>45443</v>
      </c>
      <c r="C27" s="333">
        <v>138.93</v>
      </c>
      <c r="D27" s="335">
        <f t="shared" si="1"/>
        <v>1.5199123127511966E-2</v>
      </c>
      <c r="F27" s="332">
        <v>45443</v>
      </c>
      <c r="G27" s="333">
        <v>5277.5073452655797</v>
      </c>
      <c r="H27" s="335">
        <f t="shared" si="2"/>
        <v>-3.350899335806716E-2</v>
      </c>
      <c r="J27" s="332">
        <v>45443</v>
      </c>
      <c r="K27">
        <f t="shared" si="0"/>
        <v>0.98028395089114384</v>
      </c>
      <c r="L27" s="18"/>
      <c r="M27" s="18"/>
      <c r="N27" s="18"/>
      <c r="O27" s="18"/>
      <c r="P27" s="18"/>
      <c r="Q27" s="18"/>
    </row>
    <row r="28" spans="2:17">
      <c r="B28" s="332">
        <v>45412</v>
      </c>
      <c r="C28" s="333">
        <v>147.47999999999999</v>
      </c>
      <c r="D28" s="335">
        <f t="shared" si="1"/>
        <v>6.1541783632044787E-2</v>
      </c>
      <c r="F28" s="332">
        <v>45412</v>
      </c>
      <c r="G28" s="333">
        <v>5035.6916784595196</v>
      </c>
      <c r="H28" s="335">
        <f t="shared" si="2"/>
        <v>-4.5820053101961383E-2</v>
      </c>
      <c r="J28" s="332">
        <v>45412</v>
      </c>
      <c r="K28">
        <f t="shared" si="0"/>
        <v>1.017139255383086</v>
      </c>
      <c r="L28" s="18"/>
      <c r="M28" s="18"/>
      <c r="N28" s="18"/>
      <c r="O28" s="18"/>
      <c r="P28" s="18"/>
      <c r="Q28" s="18"/>
    </row>
    <row r="29" spans="2:17">
      <c r="B29" s="332">
        <v>45379</v>
      </c>
      <c r="C29" s="333">
        <v>148.63</v>
      </c>
      <c r="D29" s="335">
        <f t="shared" si="1"/>
        <v>7.7976674803363561E-3</v>
      </c>
      <c r="F29" s="332">
        <v>45379</v>
      </c>
      <c r="G29" s="333">
        <v>5254.3544012624097</v>
      </c>
      <c r="H29" s="335">
        <f t="shared" si="2"/>
        <v>4.3422579610708369E-2</v>
      </c>
      <c r="J29" s="332">
        <v>45379</v>
      </c>
      <c r="K29">
        <f t="shared" si="0"/>
        <v>1.0249295633383912</v>
      </c>
      <c r="L29" s="18"/>
      <c r="M29" s="18"/>
      <c r="N29" s="18"/>
      <c r="O29" s="18"/>
      <c r="P29" s="18"/>
      <c r="Q29" s="18"/>
    </row>
    <row r="30" spans="2:17">
      <c r="B30" s="332">
        <v>45351</v>
      </c>
      <c r="C30" s="333">
        <v>148.26</v>
      </c>
      <c r="D30" s="335">
        <f t="shared" si="1"/>
        <v>-2.4894032160398612E-3</v>
      </c>
      <c r="F30" s="332">
        <v>45351</v>
      </c>
      <c r="G30" s="333">
        <v>5096.2694998622401</v>
      </c>
      <c r="H30" s="335">
        <f t="shared" si="2"/>
        <v>-3.0086455790303796E-2</v>
      </c>
      <c r="J30" s="332">
        <v>45351</v>
      </c>
      <c r="K30">
        <f t="shared" si="0"/>
        <v>1.0388429155952861</v>
      </c>
      <c r="L30" s="18"/>
      <c r="M30" s="18"/>
      <c r="N30" s="18"/>
      <c r="O30" s="18"/>
      <c r="P30" s="18"/>
      <c r="Q30" s="18"/>
    </row>
    <row r="31" spans="2:17">
      <c r="B31" s="332">
        <v>45322</v>
      </c>
      <c r="C31" s="333">
        <v>141.9</v>
      </c>
      <c r="D31" s="335">
        <f t="shared" si="1"/>
        <v>-4.2897612302711358E-2</v>
      </c>
      <c r="F31" s="332">
        <v>45322</v>
      </c>
      <c r="G31" s="333">
        <v>4845.6471757314503</v>
      </c>
      <c r="H31" s="335">
        <f t="shared" si="2"/>
        <v>-4.9177604154875348E-2</v>
      </c>
      <c r="J31" s="332">
        <v>45322</v>
      </c>
      <c r="K31">
        <f t="shared" si="0"/>
        <v>1.0439979142557752</v>
      </c>
      <c r="L31" s="18"/>
      <c r="M31" s="18"/>
      <c r="N31" s="18"/>
      <c r="O31" s="18"/>
      <c r="P31" s="18"/>
      <c r="Q31" s="18"/>
    </row>
    <row r="32" spans="2:17">
      <c r="B32" s="332">
        <v>45289</v>
      </c>
      <c r="C32" s="333">
        <v>157.22999999999999</v>
      </c>
      <c r="D32" s="335">
        <f t="shared" si="1"/>
        <v>0.10803382663847769</v>
      </c>
      <c r="F32" s="332">
        <v>45289</v>
      </c>
      <c r="G32" s="333">
        <v>4769.8294107906704</v>
      </c>
      <c r="H32" s="335">
        <f t="shared" si="2"/>
        <v>-1.5646571488014946E-2</v>
      </c>
      <c r="J32" s="332">
        <v>45289</v>
      </c>
      <c r="K32">
        <f t="shared" si="0"/>
        <v>1.046470193651758</v>
      </c>
      <c r="L32" s="18"/>
      <c r="M32" s="18"/>
      <c r="N32" s="18"/>
      <c r="O32" s="18"/>
      <c r="P32" s="18"/>
      <c r="Q32" s="18"/>
    </row>
    <row r="33" spans="2:17">
      <c r="B33" s="332">
        <v>45260</v>
      </c>
      <c r="C33" s="333">
        <v>151.61000000000001</v>
      </c>
      <c r="D33" s="335">
        <f t="shared" si="1"/>
        <v>-3.5743814793614298E-2</v>
      </c>
      <c r="F33" s="332">
        <v>45260</v>
      </c>
      <c r="G33" s="333">
        <v>4567.7986422755303</v>
      </c>
      <c r="H33" s="335">
        <f t="shared" si="2"/>
        <v>-4.2355973582218855E-2</v>
      </c>
      <c r="J33" s="332">
        <v>45260</v>
      </c>
      <c r="K33">
        <f t="shared" si="0"/>
        <v>1.0926201397222379</v>
      </c>
      <c r="L33" s="18"/>
      <c r="M33" s="18"/>
      <c r="N33" s="18"/>
      <c r="O33" s="18"/>
      <c r="P33" s="18"/>
      <c r="Q33" s="18"/>
    </row>
    <row r="34" spans="2:17">
      <c r="B34" s="332">
        <v>45230</v>
      </c>
      <c r="C34" s="333">
        <v>141.25</v>
      </c>
      <c r="D34" s="335">
        <f t="shared" si="1"/>
        <v>-6.8333223402150339E-2</v>
      </c>
      <c r="F34" s="332">
        <v>45230</v>
      </c>
      <c r="G34" s="333">
        <v>4193.8009552474696</v>
      </c>
      <c r="H34" s="335">
        <f t="shared" si="2"/>
        <v>-8.1877008230324941E-2</v>
      </c>
      <c r="J34" s="332">
        <v>45230</v>
      </c>
      <c r="K34">
        <f t="shared" si="0"/>
        <v>1.0969880047879941</v>
      </c>
      <c r="L34" s="18"/>
      <c r="M34" s="18"/>
      <c r="N34" s="18"/>
      <c r="O34" s="18"/>
      <c r="P34" s="18"/>
      <c r="Q34" s="18"/>
    </row>
    <row r="35" spans="2:17">
      <c r="B35" s="332">
        <v>45198</v>
      </c>
      <c r="C35" s="333">
        <v>155.87</v>
      </c>
      <c r="D35" s="335">
        <f t="shared" si="1"/>
        <v>0.10350442477876109</v>
      </c>
      <c r="F35" s="332">
        <v>45198</v>
      </c>
      <c r="G35" s="333">
        <v>4288.05412263992</v>
      </c>
      <c r="H35" s="335">
        <f t="shared" si="2"/>
        <v>2.2474401717734533E-2</v>
      </c>
      <c r="J35" s="332">
        <v>45198</v>
      </c>
      <c r="K35">
        <f t="shared" si="0"/>
        <v>1.1070623747062192</v>
      </c>
      <c r="L35" s="18"/>
      <c r="M35" s="18"/>
      <c r="N35" s="18"/>
      <c r="O35" s="18"/>
      <c r="P35" s="18"/>
      <c r="Q35" s="18"/>
    </row>
    <row r="36" spans="2:17">
      <c r="B36" s="332">
        <v>45169</v>
      </c>
      <c r="C36" s="333">
        <v>169.4</v>
      </c>
      <c r="D36" s="335">
        <f t="shared" si="1"/>
        <v>8.680310515172901E-2</v>
      </c>
      <c r="F36" s="332">
        <v>45169</v>
      </c>
      <c r="G36" s="333">
        <v>4507.66179195929</v>
      </c>
      <c r="H36" s="335">
        <f t="shared" si="2"/>
        <v>5.1213828706100743E-2</v>
      </c>
      <c r="J36" s="332">
        <v>45169</v>
      </c>
      <c r="K36">
        <f t="shared" si="0"/>
        <v>1.0962653515981982</v>
      </c>
      <c r="L36" s="18"/>
      <c r="M36" s="18"/>
      <c r="N36" s="18"/>
      <c r="O36" s="18"/>
      <c r="P36" s="18"/>
      <c r="Q36" s="18"/>
    </row>
    <row r="37" spans="2:17">
      <c r="B37" s="332">
        <v>45138</v>
      </c>
      <c r="C37" s="333">
        <v>187.13</v>
      </c>
      <c r="D37" s="335">
        <f t="shared" si="1"/>
        <v>0.10466351829988187</v>
      </c>
      <c r="F37" s="332">
        <v>45138</v>
      </c>
      <c r="G37" s="333">
        <v>4588.9611384978498</v>
      </c>
      <c r="H37" s="335">
        <f t="shared" si="2"/>
        <v>1.8035813308704868E-2</v>
      </c>
      <c r="J37" s="332">
        <v>45138</v>
      </c>
      <c r="K37">
        <f t="shared" si="0"/>
        <v>1.087874909270006</v>
      </c>
      <c r="L37" s="18"/>
      <c r="M37" s="18"/>
      <c r="N37" s="18"/>
      <c r="O37" s="18"/>
      <c r="P37" s="18"/>
      <c r="Q37" s="18"/>
    </row>
    <row r="38" spans="2:17">
      <c r="B38" s="332">
        <v>45107</v>
      </c>
      <c r="C38" s="333">
        <v>179.25</v>
      </c>
      <c r="D38" s="335">
        <f t="shared" si="1"/>
        <v>-4.2109763266178567E-2</v>
      </c>
      <c r="F38" s="332">
        <v>45107</v>
      </c>
      <c r="G38" s="333">
        <v>4450.3813118092103</v>
      </c>
      <c r="H38" s="335">
        <f t="shared" si="2"/>
        <v>-3.019851824981944E-2</v>
      </c>
      <c r="J38" s="332">
        <v>45107</v>
      </c>
      <c r="K38">
        <f t="shared" si="0"/>
        <v>1.0891935294184245</v>
      </c>
      <c r="L38" s="18"/>
      <c r="M38" s="18"/>
      <c r="N38" s="18"/>
      <c r="O38" s="18"/>
      <c r="P38" s="18"/>
      <c r="Q38" s="18"/>
    </row>
    <row r="39" spans="2:17">
      <c r="B39" s="332">
        <v>45077</v>
      </c>
      <c r="C39" s="333">
        <v>167</v>
      </c>
      <c r="D39" s="335">
        <f t="shared" si="1"/>
        <v>-6.8340306834030681E-2</v>
      </c>
      <c r="F39" s="332">
        <v>45077</v>
      </c>
      <c r="G39" s="333">
        <v>4179.8254616673503</v>
      </c>
      <c r="H39" s="335">
        <f t="shared" si="2"/>
        <v>-6.0793858140634496E-2</v>
      </c>
      <c r="J39" s="332">
        <v>45077</v>
      </c>
      <c r="K39">
        <f t="shared" si="0"/>
        <v>1.0886607027431618</v>
      </c>
      <c r="L39" s="18"/>
      <c r="M39" s="18"/>
      <c r="N39" s="18"/>
      <c r="O39" s="18"/>
      <c r="P39" s="18"/>
      <c r="Q39" s="18"/>
    </row>
    <row r="40" spans="2:17">
      <c r="B40" s="332">
        <v>45044</v>
      </c>
      <c r="C40" s="333">
        <v>179.81</v>
      </c>
      <c r="D40" s="335">
        <f t="shared" si="1"/>
        <v>7.6706586826347317E-2</v>
      </c>
      <c r="F40" s="332">
        <v>45044</v>
      </c>
      <c r="G40" s="333">
        <v>4169.4814006359802</v>
      </c>
      <c r="H40" s="335">
        <f t="shared" si="2"/>
        <v>-2.4747590841373993E-3</v>
      </c>
      <c r="J40" s="332">
        <v>45044</v>
      </c>
      <c r="K40">
        <f t="shared" si="0"/>
        <v>1.0869996473940224</v>
      </c>
      <c r="L40" s="18"/>
      <c r="M40" s="18"/>
      <c r="N40" s="18"/>
      <c r="O40" s="18"/>
      <c r="P40" s="18"/>
      <c r="Q40" s="18"/>
    </row>
    <row r="41" spans="2:17">
      <c r="B41" s="332">
        <v>45016</v>
      </c>
      <c r="C41" s="333">
        <v>193.99</v>
      </c>
      <c r="D41" s="335">
        <f t="shared" si="1"/>
        <v>7.8861019965519197E-2</v>
      </c>
      <c r="F41" s="332">
        <v>45016</v>
      </c>
      <c r="G41" s="333">
        <v>4109.3124446214697</v>
      </c>
      <c r="H41" s="335">
        <f t="shared" si="2"/>
        <v>-1.443080091575245E-2</v>
      </c>
      <c r="J41" s="332">
        <v>45016</v>
      </c>
      <c r="K41">
        <f t="shared" si="0"/>
        <v>1.0839740547948054</v>
      </c>
      <c r="L41" s="18"/>
      <c r="M41" s="18"/>
      <c r="N41" s="18"/>
      <c r="O41" s="18"/>
      <c r="P41" s="18"/>
      <c r="Q41" s="18"/>
    </row>
    <row r="42" spans="2:17">
      <c r="B42" s="332">
        <v>44985</v>
      </c>
      <c r="C42" s="333">
        <v>182.49</v>
      </c>
      <c r="D42" s="335">
        <f t="shared" si="1"/>
        <v>-5.9281406258054538E-2</v>
      </c>
      <c r="F42" s="332">
        <v>44985</v>
      </c>
      <c r="G42" s="333">
        <v>3970.15344248664</v>
      </c>
      <c r="H42" s="335">
        <f t="shared" si="2"/>
        <v>-3.3864303094540769E-2</v>
      </c>
      <c r="J42" s="332">
        <v>44985</v>
      </c>
      <c r="K42">
        <f t="shared" si="0"/>
        <v>1.0823923391807388</v>
      </c>
      <c r="L42" s="18"/>
      <c r="M42" s="18"/>
      <c r="N42" s="18"/>
      <c r="O42" s="18"/>
      <c r="P42" s="18"/>
      <c r="Q42" s="18"/>
    </row>
    <row r="43" spans="2:17">
      <c r="B43" s="332">
        <v>44957</v>
      </c>
      <c r="C43" s="333">
        <v>185.23</v>
      </c>
      <c r="D43" s="335">
        <f t="shared" si="1"/>
        <v>1.5014521343635161E-2</v>
      </c>
      <c r="F43" s="332">
        <v>44957</v>
      </c>
      <c r="G43" s="333">
        <v>4076.6038194027801</v>
      </c>
      <c r="H43" s="335">
        <f t="shared" si="2"/>
        <v>2.68126606334557E-2</v>
      </c>
      <c r="J43" s="332">
        <v>44957</v>
      </c>
      <c r="K43">
        <f t="shared" si="0"/>
        <v>1.1228467323493616</v>
      </c>
      <c r="L43" s="18"/>
      <c r="M43" s="18"/>
      <c r="N43" s="18"/>
      <c r="O43" s="18"/>
      <c r="P43" s="18"/>
      <c r="Q43" s="18"/>
    </row>
    <row r="44" spans="2:17">
      <c r="B44" s="332">
        <v>44925</v>
      </c>
      <c r="C44" s="333">
        <v>173.84</v>
      </c>
      <c r="D44" s="335">
        <f t="shared" si="1"/>
        <v>-6.1491119149165829E-2</v>
      </c>
      <c r="F44" s="332">
        <v>44925</v>
      </c>
      <c r="G44" s="333">
        <v>3839.4965866768098</v>
      </c>
      <c r="H44" s="335">
        <f t="shared" si="2"/>
        <v>-5.8162932487441567E-2</v>
      </c>
      <c r="J44" s="332">
        <v>44925</v>
      </c>
      <c r="K44">
        <f t="shared" si="0"/>
        <v>1.1280932823385204</v>
      </c>
      <c r="L44" s="18"/>
      <c r="M44" s="18"/>
      <c r="N44" s="18"/>
      <c r="O44" s="18"/>
      <c r="P44" s="18"/>
      <c r="Q44" s="18"/>
    </row>
    <row r="45" spans="2:17">
      <c r="B45" s="332">
        <v>44895</v>
      </c>
      <c r="C45" s="333">
        <v>189.73</v>
      </c>
      <c r="D45" s="335">
        <f t="shared" si="1"/>
        <v>9.1405890473998996E-2</v>
      </c>
      <c r="F45" s="332">
        <v>44895</v>
      </c>
      <c r="G45" s="333">
        <v>4080.1065521792402</v>
      </c>
      <c r="H45" s="335">
        <f t="shared" si="2"/>
        <v>6.2667060660336463E-2</v>
      </c>
      <c r="J45" s="332">
        <v>44895</v>
      </c>
      <c r="K45">
        <f t="shared" si="0"/>
        <v>1.127586403681559</v>
      </c>
      <c r="L45" s="18"/>
      <c r="M45" s="18"/>
      <c r="N45" s="18"/>
      <c r="O45" s="18"/>
      <c r="P45" s="18"/>
      <c r="Q45" s="18"/>
    </row>
    <row r="46" spans="2:17">
      <c r="B46" s="332">
        <v>44865</v>
      </c>
      <c r="C46" s="333">
        <v>167.77</v>
      </c>
      <c r="D46" s="335">
        <f t="shared" si="1"/>
        <v>-0.11574342486691604</v>
      </c>
      <c r="F46" s="332">
        <v>44865</v>
      </c>
      <c r="G46" s="333">
        <v>3871.9772214167401</v>
      </c>
      <c r="H46" s="335">
        <f t="shared" si="2"/>
        <v>-5.1010758689950246E-2</v>
      </c>
      <c r="J46" s="332">
        <v>44865</v>
      </c>
      <c r="K46">
        <f t="shared" si="0"/>
        <v>1.121390730710137</v>
      </c>
      <c r="L46" s="18"/>
      <c r="M46" s="18"/>
      <c r="N46" s="18"/>
      <c r="O46" s="18"/>
      <c r="P46" s="18"/>
      <c r="Q46" s="18"/>
    </row>
    <row r="47" spans="2:17">
      <c r="B47" s="332">
        <v>44834</v>
      </c>
      <c r="C47" s="333">
        <v>161.54</v>
      </c>
      <c r="D47" s="335">
        <f t="shared" si="1"/>
        <v>-3.7134171782797987E-2</v>
      </c>
      <c r="F47" s="332">
        <v>44834</v>
      </c>
      <c r="G47" s="333">
        <v>3585.6241035486801</v>
      </c>
      <c r="H47" s="335">
        <f t="shared" si="2"/>
        <v>-7.3955269231487028E-2</v>
      </c>
      <c r="J47" s="332">
        <v>44834</v>
      </c>
      <c r="K47">
        <f t="shared" si="0"/>
        <v>1.1009118200713535</v>
      </c>
      <c r="L47" s="18"/>
      <c r="M47" s="18"/>
      <c r="N47" s="18"/>
      <c r="O47" s="18"/>
      <c r="P47" s="18"/>
      <c r="Q47" s="18"/>
    </row>
    <row r="48" spans="2:17">
      <c r="B48" s="332">
        <v>44804</v>
      </c>
      <c r="C48" s="333">
        <v>194.51</v>
      </c>
      <c r="D48" s="335">
        <f t="shared" si="1"/>
        <v>0.20409805620898849</v>
      </c>
      <c r="F48" s="332">
        <v>44804</v>
      </c>
      <c r="G48" s="333">
        <v>3954.9990010277702</v>
      </c>
      <c r="H48" s="335">
        <f t="shared" si="2"/>
        <v>0.1030155104974671</v>
      </c>
      <c r="J48" s="332">
        <v>44804</v>
      </c>
      <c r="K48">
        <f t="shared" si="0"/>
        <v>1.1200710134301615</v>
      </c>
      <c r="L48" s="18"/>
      <c r="M48" s="18"/>
      <c r="N48" s="18"/>
      <c r="O48" s="18"/>
      <c r="P48" s="18"/>
      <c r="Q48" s="18"/>
    </row>
    <row r="49" spans="2:17">
      <c r="B49" s="332">
        <v>44771</v>
      </c>
      <c r="C49" s="333">
        <v>194.89</v>
      </c>
      <c r="D49" s="335">
        <f t="shared" si="1"/>
        <v>1.9536270628759214E-3</v>
      </c>
      <c r="F49" s="332">
        <v>44771</v>
      </c>
      <c r="G49" s="333">
        <v>4130.2857738191597</v>
      </c>
      <c r="H49" s="335">
        <f t="shared" si="2"/>
        <v>4.4320307728481945E-2</v>
      </c>
      <c r="J49" s="332">
        <v>44771</v>
      </c>
      <c r="K49">
        <f t="shared" si="0"/>
        <v>1.0582945340029011</v>
      </c>
      <c r="L49" s="18"/>
      <c r="M49" s="18"/>
      <c r="N49" s="18"/>
      <c r="O49" s="18"/>
      <c r="P49" s="18"/>
      <c r="Q49" s="18"/>
    </row>
    <row r="50" spans="2:17">
      <c r="B50" s="332">
        <v>44742</v>
      </c>
      <c r="C50" s="333">
        <v>182.54</v>
      </c>
      <c r="D50" s="335">
        <f t="shared" si="1"/>
        <v>-6.3369079993842656E-2</v>
      </c>
      <c r="F50" s="332">
        <v>44742</v>
      </c>
      <c r="G50" s="333">
        <v>3785.3848459311398</v>
      </c>
      <c r="H50" s="335">
        <f t="shared" si="2"/>
        <v>-8.3505342432782709E-2</v>
      </c>
      <c r="J50" s="332">
        <v>44742</v>
      </c>
      <c r="K50">
        <f t="shared" si="0"/>
        <v>1.0724725348302115</v>
      </c>
      <c r="L50" s="18"/>
      <c r="M50" s="18"/>
      <c r="N50" s="18"/>
      <c r="O50" s="18"/>
      <c r="P50" s="18"/>
      <c r="Q50" s="18"/>
    </row>
    <row r="51" spans="2:17">
      <c r="B51" s="332">
        <v>44712</v>
      </c>
      <c r="C51" s="333">
        <v>182.25</v>
      </c>
      <c r="D51" s="335">
        <f t="shared" si="1"/>
        <v>-1.5886928892297144E-3</v>
      </c>
      <c r="F51" s="332">
        <v>44712</v>
      </c>
      <c r="G51" s="333">
        <v>4132.1477819618904</v>
      </c>
      <c r="H51" s="335">
        <f t="shared" si="2"/>
        <v>9.1605728385445784E-2</v>
      </c>
      <c r="J51" s="332">
        <v>44712</v>
      </c>
      <c r="K51">
        <f t="shared" si="0"/>
        <v>1.0846235814998522</v>
      </c>
      <c r="L51" s="18"/>
      <c r="M51" s="18"/>
      <c r="N51" s="18"/>
      <c r="O51" s="18"/>
      <c r="P51" s="18"/>
      <c r="Q51" s="18"/>
    </row>
    <row r="52" spans="2:17">
      <c r="B52" s="332">
        <v>44680</v>
      </c>
      <c r="C52" s="333">
        <v>179.98</v>
      </c>
      <c r="D52" s="335">
        <f t="shared" si="1"/>
        <v>-1.2455418381344363E-2</v>
      </c>
      <c r="F52" s="332">
        <v>44680</v>
      </c>
      <c r="G52" s="333">
        <v>4131.9264103776004</v>
      </c>
      <c r="H52" s="335">
        <f t="shared" si="2"/>
        <v>-5.3573007542544921E-5</v>
      </c>
      <c r="J52" s="332">
        <v>44680</v>
      </c>
      <c r="K52">
        <f t="shared" si="0"/>
        <v>1.1589159547239603</v>
      </c>
      <c r="L52" s="18"/>
      <c r="M52" s="18"/>
      <c r="N52" s="18"/>
      <c r="O52" s="18"/>
      <c r="P52" s="18"/>
      <c r="Q52" s="18"/>
    </row>
    <row r="53" spans="2:17">
      <c r="B53" s="332">
        <v>44651</v>
      </c>
      <c r="C53" s="333">
        <v>214.46</v>
      </c>
      <c r="D53" s="335">
        <f t="shared" si="1"/>
        <v>0.19157684187131915</v>
      </c>
      <c r="F53" s="332">
        <v>44651</v>
      </c>
      <c r="G53" s="333">
        <v>4530.4134516834702</v>
      </c>
      <c r="H53" s="335">
        <f t="shared" si="2"/>
        <v>9.6440982178444365E-2</v>
      </c>
      <c r="J53" s="332">
        <v>44651</v>
      </c>
      <c r="K53">
        <f t="shared" si="0"/>
        <v>1.1598587282000792</v>
      </c>
      <c r="L53" s="18"/>
      <c r="M53" s="18"/>
      <c r="N53" s="18"/>
      <c r="O53" s="18"/>
      <c r="P53" s="18"/>
      <c r="Q53" s="18"/>
    </row>
    <row r="54" spans="2:17">
      <c r="B54" s="332">
        <v>44620</v>
      </c>
      <c r="C54" s="333">
        <v>210.42</v>
      </c>
      <c r="D54" s="335">
        <f t="shared" si="1"/>
        <v>-1.8838011750443067E-2</v>
      </c>
      <c r="F54" s="332">
        <v>44620</v>
      </c>
      <c r="G54" s="333">
        <v>4373.9391488044403</v>
      </c>
      <c r="H54" s="335">
        <f t="shared" si="2"/>
        <v>-3.4538636384475047E-2</v>
      </c>
      <c r="J54" s="332">
        <v>44620</v>
      </c>
      <c r="K54">
        <f t="shared" si="0"/>
        <v>1.0946524959928825</v>
      </c>
      <c r="L54" s="18"/>
      <c r="M54" s="18"/>
      <c r="N54" s="18"/>
      <c r="O54" s="18"/>
      <c r="P54" s="18"/>
      <c r="Q54" s="18"/>
    </row>
    <row r="55" spans="2:17">
      <c r="B55" s="332">
        <v>44592</v>
      </c>
      <c r="C55" s="333">
        <v>202.21</v>
      </c>
      <c r="D55" s="335">
        <f t="shared" si="1"/>
        <v>-3.9017203687862274E-2</v>
      </c>
      <c r="F55" s="332">
        <v>44592</v>
      </c>
      <c r="G55" s="333">
        <v>4515.5475786242396</v>
      </c>
      <c r="H55" s="335">
        <f t="shared" si="2"/>
        <v>3.2375491519699387E-2</v>
      </c>
      <c r="J55" s="332">
        <v>44592</v>
      </c>
      <c r="K55">
        <f t="shared" si="0"/>
        <v>1.0835397582773285</v>
      </c>
      <c r="L55" s="18"/>
      <c r="M55" s="18"/>
      <c r="N55" s="18"/>
      <c r="O55" s="18"/>
      <c r="P55" s="18"/>
      <c r="Q55" s="18"/>
    </row>
    <row r="56" spans="2:17">
      <c r="B56" s="332">
        <v>44561</v>
      </c>
      <c r="C56" s="333">
        <v>214.34</v>
      </c>
      <c r="D56" s="335">
        <f t="shared" si="1"/>
        <v>5.99871420800158E-2</v>
      </c>
      <c r="F56" s="332">
        <v>44561</v>
      </c>
      <c r="G56" s="333">
        <v>4766.1829724283098</v>
      </c>
      <c r="H56" s="335">
        <f t="shared" si="2"/>
        <v>5.5504983490935057E-2</v>
      </c>
      <c r="J56" s="332">
        <v>44561</v>
      </c>
      <c r="K56">
        <f t="shared" si="0"/>
        <v>1.1065285954214477</v>
      </c>
      <c r="L56" s="18"/>
      <c r="M56" s="18"/>
      <c r="N56" s="18"/>
      <c r="O56" s="18"/>
      <c r="P56" s="18"/>
      <c r="Q56" s="18"/>
    </row>
    <row r="57" spans="2:17">
      <c r="B57" s="332">
        <v>44530</v>
      </c>
      <c r="C57" s="333">
        <v>198.37</v>
      </c>
      <c r="D57" s="335">
        <f t="shared" si="1"/>
        <v>-7.4507791359522249E-2</v>
      </c>
      <c r="F57" s="332">
        <v>44530</v>
      </c>
      <c r="G57" s="333">
        <v>4567.0014940092397</v>
      </c>
      <c r="H57" s="335">
        <f t="shared" si="2"/>
        <v>-4.1790564812829598E-2</v>
      </c>
      <c r="J57" s="332">
        <v>44530</v>
      </c>
      <c r="K57">
        <f t="shared" si="0"/>
        <v>1.109294188674764</v>
      </c>
      <c r="L57" s="18"/>
      <c r="M57" s="18"/>
      <c r="N57" s="18"/>
      <c r="O57" s="18"/>
      <c r="P57" s="18"/>
      <c r="Q57" s="18"/>
    </row>
    <row r="58" spans="2:17">
      <c r="B58" s="332">
        <v>44498</v>
      </c>
      <c r="C58" s="333">
        <v>213.47</v>
      </c>
      <c r="D58" s="335">
        <f t="shared" si="1"/>
        <v>7.612038110601399E-2</v>
      </c>
      <c r="F58" s="332">
        <v>44498</v>
      </c>
      <c r="G58" s="333">
        <v>4605.3766481776001</v>
      </c>
      <c r="H58" s="335">
        <f t="shared" si="2"/>
        <v>8.4027023461014996E-3</v>
      </c>
      <c r="J58" s="332">
        <v>44498</v>
      </c>
      <c r="K58">
        <f t="shared" si="0"/>
        <v>1.107763342164424</v>
      </c>
      <c r="L58" s="18"/>
      <c r="M58" s="18"/>
      <c r="N58" s="18"/>
      <c r="O58" s="18"/>
      <c r="P58" s="18"/>
      <c r="Q58" s="18"/>
    </row>
    <row r="59" spans="2:17">
      <c r="B59" s="332">
        <v>44469</v>
      </c>
      <c r="C59" s="333">
        <v>182.1</v>
      </c>
      <c r="D59" s="335">
        <f t="shared" si="1"/>
        <v>-0.14695273340516235</v>
      </c>
      <c r="F59" s="332">
        <v>44469</v>
      </c>
      <c r="G59" s="333">
        <v>4307.5387507897103</v>
      </c>
      <c r="H59" s="335">
        <f t="shared" si="2"/>
        <v>-6.4671778258516097E-2</v>
      </c>
      <c r="J59" s="332">
        <v>44469</v>
      </c>
      <c r="K59">
        <f t="shared" si="0"/>
        <v>1.09425637612467</v>
      </c>
      <c r="L59" s="18"/>
      <c r="M59" s="18"/>
      <c r="N59" s="18"/>
      <c r="O59" s="18"/>
      <c r="P59" s="18"/>
      <c r="Q59" s="18"/>
    </row>
    <row r="60" spans="2:17">
      <c r="B60" s="332">
        <v>44439</v>
      </c>
      <c r="C60" s="333">
        <v>195.63</v>
      </c>
      <c r="D60" s="335">
        <f t="shared" si="1"/>
        <v>7.4299835255354205E-2</v>
      </c>
      <c r="F60" s="332">
        <v>44439</v>
      </c>
      <c r="G60" s="333">
        <v>4522.6801193645497</v>
      </c>
      <c r="H60" s="335">
        <f t="shared" si="2"/>
        <v>4.9945312398036359E-2</v>
      </c>
      <c r="J60" s="332">
        <v>44439</v>
      </c>
      <c r="K60">
        <f t="shared" si="0"/>
        <v>1.0555902999289715</v>
      </c>
      <c r="L60" s="18"/>
      <c r="M60" s="18"/>
      <c r="N60" s="18"/>
      <c r="O60" s="18"/>
      <c r="P60" s="18"/>
      <c r="Q60" s="18"/>
    </row>
    <row r="61" spans="2:17">
      <c r="B61" s="332">
        <v>44407</v>
      </c>
      <c r="C61" s="333">
        <v>191.36</v>
      </c>
      <c r="D61" s="335">
        <f t="shared" si="1"/>
        <v>-2.1826918161836028E-2</v>
      </c>
      <c r="F61" s="332">
        <v>44407</v>
      </c>
      <c r="G61" s="333">
        <v>4395.2639721631804</v>
      </c>
      <c r="H61" s="335">
        <f t="shared" si="2"/>
        <v>-2.8172708181553124E-2</v>
      </c>
      <c r="J61" s="332">
        <v>44407</v>
      </c>
      <c r="K61">
        <f t="shared" si="0"/>
        <v>1.045141395211123</v>
      </c>
      <c r="L61" s="18"/>
      <c r="M61" s="18"/>
      <c r="N61" s="18"/>
      <c r="O61" s="18"/>
      <c r="P61" s="18"/>
      <c r="Q61" s="18"/>
    </row>
    <row r="62" spans="2:17">
      <c r="B62" s="332">
        <v>44377</v>
      </c>
      <c r="C62" s="333">
        <v>207.97</v>
      </c>
      <c r="D62" s="335">
        <f t="shared" si="1"/>
        <v>8.6799749163879517E-2</v>
      </c>
      <c r="F62" s="332">
        <v>44377</v>
      </c>
      <c r="G62" s="333">
        <v>4297.4966318818797</v>
      </c>
      <c r="H62" s="335">
        <f t="shared" si="2"/>
        <v>-2.2243792614163135E-2</v>
      </c>
      <c r="J62" s="332">
        <v>44377</v>
      </c>
      <c r="K62">
        <f t="shared" si="0"/>
        <v>1.039898852372388</v>
      </c>
      <c r="L62" s="18"/>
      <c r="M62" s="18"/>
      <c r="N62" s="18"/>
      <c r="O62" s="18"/>
      <c r="P62" s="18"/>
      <c r="Q62" s="18"/>
    </row>
    <row r="63" spans="2:17">
      <c r="B63" s="332">
        <v>44344</v>
      </c>
      <c r="C63" s="333">
        <v>214.6</v>
      </c>
      <c r="D63" s="335">
        <f t="shared" si="1"/>
        <v>3.1879598018945021E-2</v>
      </c>
      <c r="F63" s="332">
        <v>44344</v>
      </c>
      <c r="G63" s="333">
        <v>4204.1105456536397</v>
      </c>
      <c r="H63" s="335">
        <f t="shared" si="2"/>
        <v>-2.1730345414452613E-2</v>
      </c>
      <c r="J63" s="332">
        <v>44344</v>
      </c>
      <c r="K63">
        <f t="shared" si="0"/>
        <v>1.0463500903880785</v>
      </c>
      <c r="L63" s="18"/>
      <c r="M63" s="18"/>
      <c r="N63" s="18"/>
      <c r="O63" s="18"/>
      <c r="P63" s="18"/>
      <c r="Q63" s="18"/>
    </row>
    <row r="64" spans="2:17">
      <c r="B64" s="332">
        <v>44316</v>
      </c>
      <c r="C64" s="333">
        <v>203.86</v>
      </c>
      <c r="D64" s="335">
        <f t="shared" si="1"/>
        <v>-5.0046598322460306E-2</v>
      </c>
      <c r="F64" s="332">
        <v>44316</v>
      </c>
      <c r="G64" s="333">
        <v>4181.1748954407904</v>
      </c>
      <c r="H64" s="335">
        <f t="shared" si="2"/>
        <v>-5.4555297639737599E-3</v>
      </c>
      <c r="J64" s="332">
        <v>44316</v>
      </c>
      <c r="K64">
        <f t="shared" si="0"/>
        <v>1.0501487095767377</v>
      </c>
      <c r="L64" s="18"/>
      <c r="M64" s="18"/>
      <c r="N64" s="18"/>
      <c r="O64" s="18"/>
      <c r="P64" s="18"/>
      <c r="Q64" s="18"/>
    </row>
    <row r="65" spans="2:17">
      <c r="B65" s="332">
        <v>44286</v>
      </c>
      <c r="C65" s="333">
        <v>169.99</v>
      </c>
      <c r="D65" s="335">
        <f t="shared" si="1"/>
        <v>-0.16614343176689886</v>
      </c>
      <c r="F65" s="332">
        <v>44286</v>
      </c>
      <c r="G65" s="333">
        <v>3972.8922084302499</v>
      </c>
      <c r="H65" s="335">
        <f t="shared" si="2"/>
        <v>-4.9814392418182446E-2</v>
      </c>
      <c r="J65" s="332">
        <v>44286</v>
      </c>
      <c r="K65">
        <f t="shared" si="0"/>
        <v>1.0525765357684398</v>
      </c>
      <c r="L65" s="18"/>
      <c r="M65" s="18"/>
      <c r="N65" s="18"/>
      <c r="O65" s="18"/>
      <c r="P65" s="18"/>
      <c r="Q65" s="18"/>
    </row>
    <row r="66" spans="2:17">
      <c r="B66" s="332">
        <v>44253</v>
      </c>
      <c r="C66" s="333">
        <v>157.83000000000001</v>
      </c>
      <c r="D66" s="335">
        <f t="shared" si="1"/>
        <v>-7.1533619624683784E-2</v>
      </c>
      <c r="F66" s="332">
        <v>44253</v>
      </c>
      <c r="G66" s="333">
        <v>3811.1497495982799</v>
      </c>
      <c r="H66" s="335">
        <f t="shared" si="2"/>
        <v>-4.0711514520520277E-2</v>
      </c>
      <c r="J66" s="332">
        <v>44253</v>
      </c>
      <c r="K66">
        <f t="shared" si="0"/>
        <v>1.0227906837725282</v>
      </c>
      <c r="L66" s="18"/>
      <c r="M66" s="18"/>
      <c r="N66" s="18"/>
      <c r="O66" s="18"/>
      <c r="P66" s="18"/>
      <c r="Q66" s="18"/>
    </row>
    <row r="67" spans="2:17">
      <c r="B67" s="332">
        <v>44225</v>
      </c>
      <c r="C67" s="333">
        <v>155</v>
      </c>
      <c r="D67" s="335">
        <f t="shared" si="1"/>
        <v>-1.7930684914148211E-2</v>
      </c>
      <c r="F67" s="332">
        <v>44225</v>
      </c>
      <c r="G67" s="333">
        <v>3714.24268977664</v>
      </c>
      <c r="H67" s="335">
        <f t="shared" si="2"/>
        <v>-2.5427250616918043E-2</v>
      </c>
      <c r="J67" s="332">
        <v>44225</v>
      </c>
      <c r="K67">
        <f t="shared" si="0"/>
        <v>1.0079415157527549</v>
      </c>
      <c r="L67" s="18"/>
      <c r="M67" s="18"/>
      <c r="N67" s="18"/>
      <c r="O67" s="18"/>
      <c r="P67" s="18"/>
      <c r="Q67" s="18"/>
    </row>
    <row r="68" spans="2:17">
      <c r="B68" s="332">
        <v>44196</v>
      </c>
      <c r="C68" s="333">
        <v>168.4</v>
      </c>
      <c r="D68" s="335">
        <f t="shared" si="1"/>
        <v>8.6451612903225838E-2</v>
      </c>
      <c r="F68" s="332">
        <v>44196</v>
      </c>
      <c r="G68" s="333">
        <v>3756.0714689572001</v>
      </c>
      <c r="H68" s="335">
        <f t="shared" si="2"/>
        <v>1.1261724845200011E-2</v>
      </c>
      <c r="J68" s="332">
        <v>44196</v>
      </c>
      <c r="K68">
        <f>SLOPE(D68:D127,H68:H127)</f>
        <v>1.0083852389942052</v>
      </c>
      <c r="L68" s="18"/>
      <c r="M68" s="18"/>
      <c r="N68" s="18"/>
      <c r="O68" s="18"/>
      <c r="P68" s="18"/>
      <c r="Q68" s="18"/>
    </row>
    <row r="69" spans="2:17">
      <c r="B69" s="332">
        <v>44165</v>
      </c>
      <c r="C69" s="333">
        <v>171.07</v>
      </c>
      <c r="D69" s="335">
        <f t="shared" si="1"/>
        <v>1.5855106888360969E-2</v>
      </c>
      <c r="F69" s="332">
        <v>44165</v>
      </c>
      <c r="G69" s="333">
        <v>3621.6334306946501</v>
      </c>
      <c r="H69" s="335">
        <f t="shared" si="2"/>
        <v>-3.5792193884924689E-2</v>
      </c>
      <c r="J69" s="332">
        <v>44165</v>
      </c>
      <c r="K69">
        <f t="shared" ref="K69:K126" si="3">SLOPE(D69:D128,H69:H128)</f>
        <v>0.99493508494892324</v>
      </c>
      <c r="L69" s="18"/>
      <c r="M69" s="18"/>
      <c r="N69" s="18"/>
      <c r="O69" s="18"/>
      <c r="P69" s="18"/>
      <c r="Q69" s="18"/>
    </row>
    <row r="70" spans="2:17">
      <c r="B70" s="332">
        <v>44134</v>
      </c>
      <c r="C70" s="333">
        <v>157.11000000000001</v>
      </c>
      <c r="D70" s="335">
        <f t="shared" si="1"/>
        <v>-8.1604021745484187E-2</v>
      </c>
      <c r="F70" s="332">
        <v>44134</v>
      </c>
      <c r="G70" s="333">
        <v>3269.9590859407499</v>
      </c>
      <c r="H70" s="335">
        <f t="shared" si="2"/>
        <v>-9.7103793490896456E-2</v>
      </c>
      <c r="J70" s="332">
        <v>44134</v>
      </c>
      <c r="K70">
        <f t="shared" si="3"/>
        <v>1.0061771316441206</v>
      </c>
      <c r="L70" s="18"/>
      <c r="M70" s="18"/>
      <c r="N70" s="18"/>
      <c r="O70" s="18"/>
      <c r="P70" s="18"/>
      <c r="Q70" s="18"/>
    </row>
    <row r="71" spans="2:17">
      <c r="B71" s="332">
        <v>44104</v>
      </c>
      <c r="C71" s="333">
        <v>166.63</v>
      </c>
      <c r="D71" s="335">
        <f t="shared" si="1"/>
        <v>6.0594487938386996E-2</v>
      </c>
      <c r="F71" s="332">
        <v>44104</v>
      </c>
      <c r="G71" s="333">
        <v>3362.9989876496602</v>
      </c>
      <c r="H71" s="335">
        <f t="shared" si="2"/>
        <v>2.845292533137099E-2</v>
      </c>
      <c r="J71" s="332">
        <v>44104</v>
      </c>
      <c r="K71">
        <f t="shared" si="3"/>
        <v>1.0178795862147705</v>
      </c>
      <c r="L71" s="18"/>
      <c r="M71" s="18"/>
      <c r="N71" s="18"/>
      <c r="O71" s="18"/>
      <c r="P71" s="18"/>
      <c r="Q71" s="18"/>
    </row>
    <row r="72" spans="2:17">
      <c r="B72" s="332">
        <v>44074</v>
      </c>
      <c r="C72" s="333">
        <v>163.62</v>
      </c>
      <c r="D72" s="335">
        <f t="shared" si="1"/>
        <v>-1.8063974074296291E-2</v>
      </c>
      <c r="F72" s="332">
        <v>44074</v>
      </c>
      <c r="G72" s="333">
        <v>3500.3085202872999</v>
      </c>
      <c r="H72" s="335">
        <f t="shared" si="2"/>
        <v>4.0829489732794377E-2</v>
      </c>
      <c r="J72" s="332">
        <v>44074</v>
      </c>
      <c r="K72">
        <f t="shared" si="3"/>
        <v>1.0072139536147287</v>
      </c>
      <c r="L72" s="18"/>
      <c r="M72" s="18"/>
      <c r="N72" s="18"/>
      <c r="O72" s="18"/>
      <c r="P72" s="18"/>
      <c r="Q72" s="18"/>
    </row>
    <row r="73" spans="2:17">
      <c r="B73" s="332">
        <v>44043</v>
      </c>
      <c r="C73" s="333">
        <v>142.76</v>
      </c>
      <c r="D73" s="335">
        <f t="shared" ref="D73:D127" si="4">(C73-C72)/C72</f>
        <v>-0.12749052683046092</v>
      </c>
      <c r="F73" s="332">
        <v>44043</v>
      </c>
      <c r="G73" s="333">
        <v>3271.1248802632599</v>
      </c>
      <c r="H73" s="335">
        <f t="shared" ref="H73:H127" si="5">(G73-G72)/G72</f>
        <v>-6.5475268450116197E-2</v>
      </c>
      <c r="J73" s="332">
        <v>44043</v>
      </c>
      <c r="K73">
        <f t="shared" si="3"/>
        <v>1.0378556204916909</v>
      </c>
      <c r="L73" s="18"/>
      <c r="M73" s="18"/>
      <c r="N73" s="18"/>
      <c r="O73" s="18"/>
      <c r="P73" s="18"/>
      <c r="Q73" s="18"/>
    </row>
    <row r="74" spans="2:17">
      <c r="B74" s="332">
        <v>44012</v>
      </c>
      <c r="C74" s="333">
        <v>111.18</v>
      </c>
      <c r="D74" s="335">
        <f t="shared" si="4"/>
        <v>-0.22121042308769953</v>
      </c>
      <c r="F74" s="332">
        <v>44012</v>
      </c>
      <c r="G74" s="333">
        <v>3100.2851286595401</v>
      </c>
      <c r="H74" s="335">
        <f t="shared" si="5"/>
        <v>-5.2226606399071701E-2</v>
      </c>
      <c r="J74" s="332">
        <v>44012</v>
      </c>
      <c r="K74">
        <f t="shared" si="3"/>
        <v>0.95149401839803249</v>
      </c>
      <c r="L74" s="18"/>
      <c r="M74" s="18"/>
      <c r="N74" s="18"/>
      <c r="O74" s="18"/>
      <c r="P74" s="18"/>
      <c r="Q74" s="18"/>
    </row>
    <row r="75" spans="2:17">
      <c r="B75" s="332">
        <v>43980</v>
      </c>
      <c r="C75" s="333">
        <v>99.71</v>
      </c>
      <c r="D75" s="335">
        <f t="shared" si="4"/>
        <v>-0.10316603705702476</v>
      </c>
      <c r="F75" s="332">
        <v>43980</v>
      </c>
      <c r="G75" s="333">
        <v>3044.3051548697599</v>
      </c>
      <c r="H75" s="335">
        <f t="shared" si="5"/>
        <v>-1.8056395288385631E-2</v>
      </c>
      <c r="J75" s="332">
        <v>43980</v>
      </c>
      <c r="K75">
        <f t="shared" si="3"/>
        <v>0.80860654934689002</v>
      </c>
      <c r="L75" s="18"/>
      <c r="M75" s="18"/>
      <c r="N75" s="18"/>
      <c r="O75" s="18"/>
      <c r="P75" s="18"/>
      <c r="Q75" s="18"/>
    </row>
    <row r="76" spans="2:17">
      <c r="B76" s="332">
        <v>43951</v>
      </c>
      <c r="C76" s="333">
        <v>94.66</v>
      </c>
      <c r="D76" s="335">
        <f t="shared" si="4"/>
        <v>-5.0646875940226634E-2</v>
      </c>
      <c r="F76" s="332">
        <v>43951</v>
      </c>
      <c r="G76" s="333">
        <v>2912.4305246607</v>
      </c>
      <c r="H76" s="335">
        <f t="shared" si="5"/>
        <v>-4.3318466283877408E-2</v>
      </c>
      <c r="J76" s="332">
        <v>43951</v>
      </c>
      <c r="K76">
        <f t="shared" si="3"/>
        <v>0.80373047417864418</v>
      </c>
      <c r="L76" s="18"/>
      <c r="M76" s="18"/>
      <c r="N76" s="18"/>
      <c r="O76" s="18"/>
      <c r="P76" s="18"/>
      <c r="Q76" s="18"/>
    </row>
    <row r="77" spans="2:17">
      <c r="B77" s="332">
        <v>43921</v>
      </c>
      <c r="C77" s="333">
        <v>93.42</v>
      </c>
      <c r="D77" s="335">
        <f t="shared" si="4"/>
        <v>-1.3099514050285178E-2</v>
      </c>
      <c r="F77" s="332">
        <v>43921</v>
      </c>
      <c r="G77" s="333">
        <v>2584.59075993431</v>
      </c>
      <c r="H77" s="335">
        <f t="shared" si="5"/>
        <v>-0.11256569451200336</v>
      </c>
      <c r="J77" s="332">
        <v>43921</v>
      </c>
      <c r="K77">
        <f t="shared" si="3"/>
        <v>0.74931892125232913</v>
      </c>
      <c r="L77" s="18"/>
      <c r="M77" s="18"/>
      <c r="N77" s="18"/>
      <c r="O77" s="18"/>
      <c r="P77" s="18"/>
      <c r="Q77" s="18"/>
    </row>
    <row r="78" spans="2:17">
      <c r="B78" s="332">
        <v>43889</v>
      </c>
      <c r="C78" s="333">
        <v>90.49</v>
      </c>
      <c r="D78" s="335">
        <f t="shared" si="4"/>
        <v>-3.1363733675872474E-2</v>
      </c>
      <c r="F78" s="332">
        <v>43889</v>
      </c>
      <c r="G78" s="333">
        <v>2954.2236843686301</v>
      </c>
      <c r="H78" s="335">
        <f t="shared" si="5"/>
        <v>0.14301410117387972</v>
      </c>
      <c r="J78" s="332">
        <v>43889</v>
      </c>
      <c r="K78">
        <f t="shared" si="3"/>
        <v>0.78872551908628252</v>
      </c>
      <c r="L78" s="18"/>
      <c r="M78" s="18"/>
      <c r="N78" s="18"/>
      <c r="O78" s="18"/>
      <c r="P78" s="18"/>
      <c r="Q78" s="18"/>
    </row>
    <row r="79" spans="2:17">
      <c r="B79" s="332">
        <v>43861</v>
      </c>
      <c r="C79" s="333">
        <v>103.52</v>
      </c>
      <c r="D79" s="335">
        <f t="shared" si="4"/>
        <v>0.14399381147088078</v>
      </c>
      <c r="F79" s="332">
        <v>43861</v>
      </c>
      <c r="G79" s="333">
        <v>3225.5163164640899</v>
      </c>
      <c r="H79" s="335">
        <f t="shared" si="5"/>
        <v>9.1832122777608771E-2</v>
      </c>
      <c r="J79" s="332">
        <v>43861</v>
      </c>
      <c r="K79">
        <f t="shared" si="3"/>
        <v>0.97455801688665311</v>
      </c>
      <c r="L79" s="18"/>
      <c r="M79" s="18"/>
      <c r="N79" s="18"/>
      <c r="O79" s="18"/>
      <c r="P79" s="18"/>
      <c r="Q79" s="18"/>
    </row>
    <row r="80" spans="2:17">
      <c r="B80" s="332">
        <v>43830</v>
      </c>
      <c r="C80" s="333">
        <v>117.06</v>
      </c>
      <c r="D80" s="335">
        <f t="shared" si="4"/>
        <v>0.13079598145285942</v>
      </c>
      <c r="F80" s="332">
        <v>43830</v>
      </c>
      <c r="G80" s="333">
        <v>3230.7819500904302</v>
      </c>
      <c r="H80" s="335">
        <f t="shared" si="5"/>
        <v>1.6324932537041638E-3</v>
      </c>
      <c r="J80" s="332">
        <v>43830</v>
      </c>
      <c r="K80">
        <f t="shared" si="3"/>
        <v>0.89073736137900161</v>
      </c>
      <c r="L80" s="18"/>
      <c r="M80" s="18"/>
      <c r="N80" s="18"/>
      <c r="O80" s="18"/>
      <c r="P80" s="18"/>
      <c r="Q80" s="18"/>
    </row>
    <row r="81" spans="2:17">
      <c r="B81" s="332">
        <v>43798</v>
      </c>
      <c r="C81" s="333">
        <v>119.73</v>
      </c>
      <c r="D81" s="335">
        <f t="shared" si="4"/>
        <v>2.280881599179909E-2</v>
      </c>
      <c r="F81" s="332">
        <v>43798</v>
      </c>
      <c r="G81" s="333">
        <v>3140.98062770254</v>
      </c>
      <c r="H81" s="335">
        <f t="shared" si="5"/>
        <v>-2.779553797661171E-2</v>
      </c>
      <c r="J81" s="332">
        <v>43798</v>
      </c>
      <c r="K81">
        <f t="shared" si="3"/>
        <v>0.74057970052511501</v>
      </c>
      <c r="L81" s="18"/>
      <c r="M81" s="18"/>
      <c r="N81" s="18"/>
      <c r="O81" s="18"/>
      <c r="P81" s="18"/>
      <c r="Q81" s="18"/>
    </row>
    <row r="82" spans="2:17">
      <c r="B82" s="332">
        <v>43769</v>
      </c>
      <c r="C82" s="333">
        <v>115.17</v>
      </c>
      <c r="D82" s="335">
        <f t="shared" si="4"/>
        <v>-3.8085692808819863E-2</v>
      </c>
      <c r="F82" s="332">
        <v>43769</v>
      </c>
      <c r="G82" s="333">
        <v>3037.5644352599602</v>
      </c>
      <c r="H82" s="335">
        <f t="shared" si="5"/>
        <v>-3.2924810656416954E-2</v>
      </c>
      <c r="J82" s="332">
        <v>43769</v>
      </c>
      <c r="K82">
        <f t="shared" si="3"/>
        <v>0.75087230072768019</v>
      </c>
      <c r="L82" s="18"/>
      <c r="M82" s="18"/>
      <c r="N82" s="18"/>
      <c r="O82" s="18"/>
      <c r="P82" s="18"/>
      <c r="Q82" s="18"/>
    </row>
    <row r="83" spans="2:17">
      <c r="B83" s="332">
        <v>43738</v>
      </c>
      <c r="C83" s="333">
        <v>119.82</v>
      </c>
      <c r="D83" s="335">
        <f t="shared" si="4"/>
        <v>4.0375097681687865E-2</v>
      </c>
      <c r="F83" s="332">
        <v>43738</v>
      </c>
      <c r="G83" s="333">
        <v>2976.73727174433</v>
      </c>
      <c r="H83" s="335">
        <f t="shared" si="5"/>
        <v>-2.0024978831576463E-2</v>
      </c>
      <c r="J83" s="332">
        <v>43738</v>
      </c>
      <c r="K83">
        <f t="shared" si="3"/>
        <v>0.74651100965410966</v>
      </c>
      <c r="L83" s="18"/>
      <c r="M83" s="18"/>
      <c r="N83" s="18"/>
      <c r="O83" s="18"/>
      <c r="P83" s="18"/>
      <c r="Q83" s="18"/>
    </row>
    <row r="84" spans="2:17">
      <c r="B84" s="332">
        <v>43707</v>
      </c>
      <c r="C84" s="333">
        <v>118.66</v>
      </c>
      <c r="D84" s="335">
        <f t="shared" si="4"/>
        <v>-9.6811884493406501E-3</v>
      </c>
      <c r="F84" s="332">
        <v>43707</v>
      </c>
      <c r="G84" s="333">
        <v>2926.4581286088801</v>
      </c>
      <c r="H84" s="335">
        <f t="shared" si="5"/>
        <v>-1.6890688880307852E-2</v>
      </c>
      <c r="J84" s="332">
        <v>43707</v>
      </c>
      <c r="K84">
        <f t="shared" si="3"/>
        <v>0.70112497662607609</v>
      </c>
      <c r="L84" s="18"/>
      <c r="M84" s="18"/>
      <c r="N84" s="18"/>
      <c r="O84" s="18"/>
      <c r="P84" s="18"/>
      <c r="Q84" s="18"/>
    </row>
    <row r="85" spans="2:17">
      <c r="B85" s="332">
        <v>43677</v>
      </c>
      <c r="C85" s="333">
        <v>119.47</v>
      </c>
      <c r="D85" s="335">
        <f t="shared" si="4"/>
        <v>6.8262261924827428E-3</v>
      </c>
      <c r="F85" s="332">
        <v>43677</v>
      </c>
      <c r="G85" s="333">
        <v>2980.3788544642698</v>
      </c>
      <c r="H85" s="335">
        <f t="shared" si="5"/>
        <v>1.8425251100729553E-2</v>
      </c>
      <c r="J85" s="332">
        <v>43677</v>
      </c>
      <c r="K85">
        <f t="shared" si="3"/>
        <v>0.70811955128727733</v>
      </c>
      <c r="L85" s="18"/>
      <c r="M85" s="18"/>
      <c r="N85" s="18"/>
      <c r="O85" s="18"/>
      <c r="P85" s="18"/>
      <c r="Q85" s="18"/>
    </row>
    <row r="86" spans="2:17">
      <c r="B86" s="332">
        <v>43644</v>
      </c>
      <c r="C86" s="333">
        <v>103.27</v>
      </c>
      <c r="D86" s="335">
        <f t="shared" si="4"/>
        <v>-0.13559889512011386</v>
      </c>
      <c r="F86" s="332">
        <v>43644</v>
      </c>
      <c r="G86" s="333">
        <v>2941.76063745793</v>
      </c>
      <c r="H86" s="335">
        <f t="shared" si="5"/>
        <v>-1.2957485907704017E-2</v>
      </c>
      <c r="J86" s="332">
        <v>43644</v>
      </c>
      <c r="K86">
        <f t="shared" si="3"/>
        <v>0.69134307895165203</v>
      </c>
      <c r="L86" s="18"/>
      <c r="M86" s="18"/>
      <c r="N86" s="18"/>
      <c r="O86" s="18"/>
      <c r="P86" s="18"/>
      <c r="Q86" s="18"/>
    </row>
    <row r="87" spans="2:17">
      <c r="B87" s="332">
        <v>43616</v>
      </c>
      <c r="C87" s="333">
        <v>92.92</v>
      </c>
      <c r="D87" s="335">
        <f t="shared" si="4"/>
        <v>-0.10022271714922044</v>
      </c>
      <c r="F87" s="332">
        <v>43616</v>
      </c>
      <c r="G87" s="333">
        <v>2752.0628861321802</v>
      </c>
      <c r="H87" s="335">
        <f t="shared" si="5"/>
        <v>-6.4484427764209165E-2</v>
      </c>
      <c r="J87" s="332">
        <v>43616</v>
      </c>
      <c r="K87">
        <f t="shared" si="3"/>
        <v>0.68619385734645144</v>
      </c>
      <c r="L87" s="18"/>
      <c r="M87" s="18"/>
      <c r="N87" s="18"/>
      <c r="O87" s="18"/>
      <c r="P87" s="18"/>
      <c r="Q87" s="18"/>
    </row>
    <row r="88" spans="2:17">
      <c r="B88" s="332">
        <v>43585</v>
      </c>
      <c r="C88" s="333">
        <v>106.22</v>
      </c>
      <c r="D88" s="335">
        <f t="shared" si="4"/>
        <v>0.14313387860525179</v>
      </c>
      <c r="F88" s="332">
        <v>43585</v>
      </c>
      <c r="G88" s="333">
        <v>2945.8308868458098</v>
      </c>
      <c r="H88" s="335">
        <f t="shared" si="5"/>
        <v>7.040827507613974E-2</v>
      </c>
      <c r="J88" s="332">
        <v>43585</v>
      </c>
      <c r="K88">
        <f t="shared" si="3"/>
        <v>0.66370922150351375</v>
      </c>
      <c r="L88" s="18"/>
      <c r="M88" s="18"/>
      <c r="N88" s="18"/>
      <c r="O88" s="18"/>
      <c r="P88" s="18"/>
      <c r="Q88" s="18"/>
    </row>
    <row r="89" spans="2:17">
      <c r="B89" s="332">
        <v>43553</v>
      </c>
      <c r="C89" s="333">
        <v>111.74</v>
      </c>
      <c r="D89" s="335">
        <f t="shared" si="4"/>
        <v>5.1967614385238149E-2</v>
      </c>
      <c r="F89" s="332">
        <v>43553</v>
      </c>
      <c r="G89" s="333">
        <v>2834.3998195751501</v>
      </c>
      <c r="H89" s="335">
        <f t="shared" si="5"/>
        <v>-3.7826702058234005E-2</v>
      </c>
      <c r="J89" s="332">
        <v>43553</v>
      </c>
      <c r="K89">
        <f t="shared" si="3"/>
        <v>0.55302075615903312</v>
      </c>
      <c r="L89" s="18"/>
      <c r="M89" s="18"/>
      <c r="N89" s="18"/>
      <c r="O89" s="18"/>
      <c r="P89" s="18"/>
      <c r="Q89" s="18"/>
    </row>
    <row r="90" spans="2:17">
      <c r="B90" s="332">
        <v>43524</v>
      </c>
      <c r="C90" s="333">
        <v>110.2</v>
      </c>
      <c r="D90" s="335">
        <f t="shared" si="4"/>
        <v>-1.3781993914444174E-2</v>
      </c>
      <c r="F90" s="332">
        <v>43524</v>
      </c>
      <c r="G90" s="333">
        <v>2784.4913585212798</v>
      </c>
      <c r="H90" s="335">
        <f t="shared" si="5"/>
        <v>-1.7608123140986892E-2</v>
      </c>
      <c r="J90" s="332">
        <v>43524</v>
      </c>
      <c r="K90">
        <f t="shared" si="3"/>
        <v>0.55703816187953736</v>
      </c>
      <c r="L90" s="18"/>
      <c r="M90" s="18"/>
      <c r="N90" s="18"/>
      <c r="O90" s="18"/>
      <c r="P90" s="18"/>
      <c r="Q90" s="18"/>
    </row>
    <row r="91" spans="2:17">
      <c r="B91" s="332">
        <v>43496</v>
      </c>
      <c r="C91" s="333">
        <v>105.4</v>
      </c>
      <c r="D91" s="335">
        <f t="shared" si="4"/>
        <v>-4.3557168784029009E-2</v>
      </c>
      <c r="F91" s="332">
        <v>43496</v>
      </c>
      <c r="G91" s="333">
        <v>2704.10057970256</v>
      </c>
      <c r="H91" s="335">
        <f t="shared" si="5"/>
        <v>-2.8870902605857535E-2</v>
      </c>
      <c r="J91" s="332">
        <v>43496</v>
      </c>
      <c r="K91">
        <f t="shared" si="3"/>
        <v>0.57022329879516731</v>
      </c>
      <c r="L91" s="18"/>
      <c r="M91" s="18"/>
      <c r="N91" s="18"/>
      <c r="O91" s="18"/>
      <c r="P91" s="18"/>
      <c r="Q91" s="18"/>
    </row>
    <row r="92" spans="2:17">
      <c r="B92" s="332">
        <v>43465</v>
      </c>
      <c r="C92" s="333">
        <v>97.53</v>
      </c>
      <c r="D92" s="335">
        <f t="shared" si="4"/>
        <v>-7.466793168880459E-2</v>
      </c>
      <c r="F92" s="332">
        <v>43465</v>
      </c>
      <c r="G92" s="333">
        <v>2506.8471826272198</v>
      </c>
      <c r="H92" s="335">
        <f t="shared" si="5"/>
        <v>-7.2946028175119609E-2</v>
      </c>
      <c r="J92" s="332">
        <v>43465</v>
      </c>
      <c r="K92">
        <f t="shared" si="3"/>
        <v>0.56246424636937264</v>
      </c>
      <c r="L92" s="18"/>
      <c r="M92" s="18"/>
      <c r="N92" s="18"/>
      <c r="O92" s="18"/>
      <c r="P92" s="18"/>
      <c r="Q92" s="18"/>
    </row>
    <row r="93" spans="2:17">
      <c r="B93" s="332">
        <v>43434</v>
      </c>
      <c r="C93" s="333">
        <v>115.29</v>
      </c>
      <c r="D93" s="335">
        <f t="shared" si="4"/>
        <v>0.18209781605659803</v>
      </c>
      <c r="F93" s="332">
        <v>43434</v>
      </c>
      <c r="G93" s="333">
        <v>2760.1742565631598</v>
      </c>
      <c r="H93" s="335">
        <f t="shared" si="5"/>
        <v>0.10105405534550725</v>
      </c>
      <c r="J93" s="332">
        <v>43434</v>
      </c>
      <c r="K93">
        <f t="shared" si="3"/>
        <v>0.47955600644210644</v>
      </c>
      <c r="L93" s="18"/>
      <c r="M93" s="18"/>
      <c r="N93" s="18"/>
      <c r="O93" s="18"/>
      <c r="P93" s="18"/>
      <c r="Q93" s="18"/>
    </row>
    <row r="94" spans="2:17">
      <c r="B94" s="332">
        <v>43404</v>
      </c>
      <c r="C94" s="333">
        <v>106.54</v>
      </c>
      <c r="D94" s="335">
        <f t="shared" si="4"/>
        <v>-7.5895567698846381E-2</v>
      </c>
      <c r="F94" s="332">
        <v>43404</v>
      </c>
      <c r="G94" s="333">
        <v>2711.7444081047302</v>
      </c>
      <c r="H94" s="335">
        <f t="shared" si="5"/>
        <v>-1.7545938754871312E-2</v>
      </c>
      <c r="J94" s="332">
        <v>43404</v>
      </c>
      <c r="K94">
        <f t="shared" si="3"/>
        <v>0.43712140832143703</v>
      </c>
      <c r="L94" s="18"/>
      <c r="M94" s="18"/>
      <c r="N94" s="18"/>
      <c r="O94" s="18"/>
      <c r="P94" s="18"/>
      <c r="Q94" s="18"/>
    </row>
    <row r="95" spans="2:17">
      <c r="B95" s="332">
        <v>43371</v>
      </c>
      <c r="C95" s="333">
        <v>116.75</v>
      </c>
      <c r="D95" s="335">
        <f t="shared" si="4"/>
        <v>9.5832551154495904E-2</v>
      </c>
      <c r="F95" s="332">
        <v>43371</v>
      </c>
      <c r="G95" s="333">
        <v>2913.97813988603</v>
      </c>
      <c r="H95" s="335">
        <f t="shared" si="5"/>
        <v>7.4576988589659665E-2</v>
      </c>
      <c r="J95" s="332">
        <v>43371</v>
      </c>
      <c r="K95">
        <f t="shared" si="3"/>
        <v>0.42989020855196919</v>
      </c>
      <c r="L95" s="18"/>
      <c r="M95" s="18"/>
      <c r="N95" s="18"/>
      <c r="O95" s="18"/>
      <c r="P95" s="18"/>
      <c r="Q95" s="18"/>
    </row>
    <row r="96" spans="2:17">
      <c r="B96" s="332">
        <v>43343</v>
      </c>
      <c r="C96" s="333">
        <v>122.88</v>
      </c>
      <c r="D96" s="335">
        <f t="shared" si="4"/>
        <v>5.2505353319057778E-2</v>
      </c>
      <c r="F96" s="332">
        <v>43343</v>
      </c>
      <c r="G96" s="333">
        <v>2901.5176770405201</v>
      </c>
      <c r="H96" s="335">
        <f t="shared" si="5"/>
        <v>-4.2761003162492097E-3</v>
      </c>
      <c r="J96" s="332">
        <v>43343</v>
      </c>
      <c r="K96">
        <f t="shared" si="3"/>
        <v>0.41763990841115539</v>
      </c>
      <c r="L96" s="18"/>
      <c r="M96" s="18"/>
      <c r="N96" s="18"/>
      <c r="O96" s="18"/>
      <c r="P96" s="18"/>
      <c r="Q96" s="18"/>
    </row>
    <row r="97" spans="2:17">
      <c r="B97" s="332">
        <v>43312</v>
      </c>
      <c r="C97" s="333">
        <v>119.89</v>
      </c>
      <c r="D97" s="335">
        <f t="shared" si="4"/>
        <v>-2.4332682291666626E-2</v>
      </c>
      <c r="F97" s="332">
        <v>43312</v>
      </c>
      <c r="G97" s="333">
        <v>2816.2886310911199</v>
      </c>
      <c r="H97" s="335">
        <f t="shared" si="5"/>
        <v>-2.9373953715261115E-2</v>
      </c>
      <c r="J97" s="332">
        <v>43312</v>
      </c>
      <c r="K97">
        <f t="shared" si="3"/>
        <v>0.42115466427541942</v>
      </c>
      <c r="L97" s="18"/>
      <c r="M97" s="18"/>
      <c r="N97" s="18"/>
      <c r="O97" s="18"/>
      <c r="P97" s="18"/>
      <c r="Q97" s="18"/>
    </row>
    <row r="98" spans="2:17">
      <c r="B98" s="332">
        <v>43280</v>
      </c>
      <c r="C98" s="333">
        <v>106.23</v>
      </c>
      <c r="D98" s="335">
        <f t="shared" si="4"/>
        <v>-0.113937776294937</v>
      </c>
      <c r="F98" s="332">
        <v>43280</v>
      </c>
      <c r="G98" s="333">
        <v>2718.37346502223</v>
      </c>
      <c r="H98" s="335">
        <f t="shared" si="5"/>
        <v>-3.4767447124535118E-2</v>
      </c>
      <c r="J98" s="332">
        <v>43280</v>
      </c>
      <c r="K98">
        <f t="shared" si="3"/>
        <v>0.4111954637548571</v>
      </c>
      <c r="L98" s="18"/>
      <c r="M98" s="18"/>
      <c r="N98" s="18"/>
      <c r="O98" s="18"/>
      <c r="P98" s="18"/>
      <c r="Q98" s="18"/>
    </row>
    <row r="99" spans="2:17">
      <c r="B99" s="332">
        <v>43251</v>
      </c>
      <c r="C99" s="333">
        <v>116.12</v>
      </c>
      <c r="D99" s="335">
        <f t="shared" si="4"/>
        <v>9.3099877624023344E-2</v>
      </c>
      <c r="F99" s="332">
        <v>43251</v>
      </c>
      <c r="G99" s="333">
        <v>2705.2747516248301</v>
      </c>
      <c r="H99" s="335">
        <f t="shared" si="5"/>
        <v>-4.8185849243833814E-3</v>
      </c>
      <c r="J99" s="332">
        <v>43251</v>
      </c>
      <c r="K99">
        <f t="shared" si="3"/>
        <v>0.39415873228011233</v>
      </c>
      <c r="L99" s="18"/>
      <c r="M99" s="18"/>
      <c r="N99" s="18"/>
      <c r="O99" s="18"/>
      <c r="P99" s="18"/>
      <c r="Q99" s="18"/>
    </row>
    <row r="100" spans="2:17">
      <c r="B100" s="332">
        <v>43220</v>
      </c>
      <c r="C100" s="333">
        <v>113.5</v>
      </c>
      <c r="D100" s="335">
        <f t="shared" si="4"/>
        <v>-2.2562866000688981E-2</v>
      </c>
      <c r="F100" s="332">
        <v>43220</v>
      </c>
      <c r="G100" s="333">
        <v>2648.0493647087201</v>
      </c>
      <c r="H100" s="335">
        <f t="shared" si="5"/>
        <v>-2.1153262485349971E-2</v>
      </c>
      <c r="J100" s="332">
        <v>43220</v>
      </c>
      <c r="K100">
        <f t="shared" si="3"/>
        <v>0.3945425935585854</v>
      </c>
      <c r="L100" s="18"/>
      <c r="M100" s="18"/>
      <c r="N100" s="18"/>
      <c r="O100" s="18"/>
      <c r="P100" s="18"/>
      <c r="Q100" s="18"/>
    </row>
    <row r="101" spans="2:17">
      <c r="B101" s="332">
        <v>43188</v>
      </c>
      <c r="C101" s="333">
        <v>104.66</v>
      </c>
      <c r="D101" s="335">
        <f t="shared" si="4"/>
        <v>-7.7885462555066107E-2</v>
      </c>
      <c r="F101" s="332">
        <v>43188</v>
      </c>
      <c r="G101" s="333">
        <v>2640.8659903292901</v>
      </c>
      <c r="H101" s="335">
        <f t="shared" si="5"/>
        <v>-2.7127041040717766E-3</v>
      </c>
      <c r="J101" s="332">
        <v>43188</v>
      </c>
      <c r="K101">
        <f t="shared" si="3"/>
        <v>0.39139952716977044</v>
      </c>
      <c r="L101" s="18"/>
      <c r="M101" s="18"/>
      <c r="N101" s="18"/>
      <c r="O101" s="18"/>
      <c r="P101" s="18"/>
      <c r="Q101" s="18"/>
    </row>
    <row r="102" spans="2:17">
      <c r="B102" s="332">
        <v>43159</v>
      </c>
      <c r="C102" s="333">
        <v>104.41</v>
      </c>
      <c r="D102" s="335">
        <f t="shared" si="4"/>
        <v>-2.3886871775272312E-3</v>
      </c>
      <c r="F102" s="332">
        <v>43159</v>
      </c>
      <c r="G102" s="333">
        <v>2713.8305387238102</v>
      </c>
      <c r="H102" s="335">
        <f t="shared" si="5"/>
        <v>2.7629023457347836E-2</v>
      </c>
      <c r="J102" s="332">
        <v>43159</v>
      </c>
      <c r="K102">
        <f t="shared" si="3"/>
        <v>0.39505624907316206</v>
      </c>
      <c r="L102" s="18"/>
      <c r="M102" s="18"/>
      <c r="N102" s="18"/>
      <c r="O102" s="18"/>
      <c r="P102" s="18"/>
      <c r="Q102" s="18"/>
    </row>
    <row r="103" spans="2:17">
      <c r="B103" s="332">
        <v>43131</v>
      </c>
      <c r="C103" s="333">
        <v>127.32</v>
      </c>
      <c r="D103" s="335">
        <f t="shared" si="4"/>
        <v>0.21942342687482039</v>
      </c>
      <c r="F103" s="332">
        <v>43131</v>
      </c>
      <c r="G103" s="333">
        <v>2823.80993735536</v>
      </c>
      <c r="H103" s="335">
        <f t="shared" si="5"/>
        <v>4.0525521790048154E-2</v>
      </c>
      <c r="J103" s="332">
        <v>43131</v>
      </c>
      <c r="K103">
        <f t="shared" si="3"/>
        <v>0.39453370959342893</v>
      </c>
      <c r="L103" s="18"/>
      <c r="M103" s="18"/>
      <c r="N103" s="18"/>
      <c r="O103" s="18"/>
      <c r="P103" s="18"/>
      <c r="Q103" s="18"/>
    </row>
    <row r="104" spans="2:17">
      <c r="B104" s="332">
        <v>43098</v>
      </c>
      <c r="C104" s="333">
        <v>119.15</v>
      </c>
      <c r="D104" s="335">
        <f t="shared" si="4"/>
        <v>-6.4169022934338585E-2</v>
      </c>
      <c r="F104" s="332">
        <v>43098</v>
      </c>
      <c r="G104" s="333">
        <v>2673.6105231517399</v>
      </c>
      <c r="H104" s="335">
        <f t="shared" si="5"/>
        <v>-5.319034125373516E-2</v>
      </c>
      <c r="J104" s="332">
        <v>43098</v>
      </c>
      <c r="K104">
        <f t="shared" si="3"/>
        <v>0.37034652611737506</v>
      </c>
      <c r="L104" s="18"/>
      <c r="M104" s="18"/>
      <c r="N104" s="18"/>
      <c r="O104" s="18"/>
      <c r="P104" s="18"/>
      <c r="Q104" s="18"/>
    </row>
    <row r="105" spans="2:17">
      <c r="B105" s="332">
        <v>43069</v>
      </c>
      <c r="C105" s="333">
        <v>121.45</v>
      </c>
      <c r="D105" s="335">
        <f t="shared" si="4"/>
        <v>1.9303399076793931E-2</v>
      </c>
      <c r="F105" s="332">
        <v>43069</v>
      </c>
      <c r="G105" s="333">
        <v>2647.5799274830702</v>
      </c>
      <c r="H105" s="335">
        <f t="shared" si="5"/>
        <v>-9.736121040541109E-3</v>
      </c>
      <c r="J105" s="332">
        <v>43069</v>
      </c>
      <c r="K105">
        <f t="shared" si="3"/>
        <v>0.36099699616188025</v>
      </c>
      <c r="L105" s="18"/>
      <c r="M105" s="18"/>
      <c r="N105" s="18"/>
      <c r="O105" s="18"/>
      <c r="P105" s="18"/>
      <c r="Q105" s="18"/>
    </row>
    <row r="106" spans="2:17">
      <c r="B106" s="332">
        <v>43039</v>
      </c>
      <c r="C106" s="333">
        <v>117.53</v>
      </c>
      <c r="D106" s="335">
        <f t="shared" si="4"/>
        <v>-3.2276657060518743E-2</v>
      </c>
      <c r="F106" s="332">
        <v>43039</v>
      </c>
      <c r="G106" s="333">
        <v>2575.2638304521402</v>
      </c>
      <c r="H106" s="335">
        <f t="shared" si="5"/>
        <v>-2.7314037351717464E-2</v>
      </c>
      <c r="J106" s="332">
        <v>43039</v>
      </c>
      <c r="K106">
        <f t="shared" si="3"/>
        <v>0.35819119328901428</v>
      </c>
      <c r="L106" s="18"/>
      <c r="M106" s="18"/>
      <c r="N106" s="18"/>
      <c r="O106" s="18"/>
      <c r="P106" s="18"/>
      <c r="Q106" s="18"/>
    </row>
    <row r="107" spans="2:17">
      <c r="B107" s="332">
        <v>43007</v>
      </c>
      <c r="C107" s="333">
        <v>120.09</v>
      </c>
      <c r="D107" s="335">
        <f t="shared" si="4"/>
        <v>2.1781672764400597E-2</v>
      </c>
      <c r="F107" s="332">
        <v>43007</v>
      </c>
      <c r="G107" s="333">
        <v>2519.3596719060702</v>
      </c>
      <c r="H107" s="335">
        <f t="shared" si="5"/>
        <v>-2.1708128652688327E-2</v>
      </c>
      <c r="J107" s="332">
        <v>43007</v>
      </c>
      <c r="K107">
        <f t="shared" si="3"/>
        <v>0.37035460473186094</v>
      </c>
      <c r="L107" s="18"/>
      <c r="M107" s="18"/>
      <c r="N107" s="18"/>
      <c r="O107" s="18"/>
      <c r="P107" s="18"/>
      <c r="Q107" s="18"/>
    </row>
    <row r="108" spans="2:17">
      <c r="B108" s="332">
        <v>42978</v>
      </c>
      <c r="C108" s="333">
        <v>114.36</v>
      </c>
      <c r="D108" s="335">
        <f t="shared" si="4"/>
        <v>-4.7714214339245595E-2</v>
      </c>
      <c r="F108" s="332">
        <v>42978</v>
      </c>
      <c r="G108" s="333">
        <v>2471.6502079420102</v>
      </c>
      <c r="H108" s="335">
        <f t="shared" si="5"/>
        <v>-1.8937138867498208E-2</v>
      </c>
      <c r="J108" s="332">
        <v>42978</v>
      </c>
      <c r="K108">
        <f t="shared" si="3"/>
        <v>0.36880864377397599</v>
      </c>
      <c r="L108" s="18"/>
      <c r="M108" s="18"/>
      <c r="N108" s="18"/>
      <c r="O108" s="18"/>
      <c r="P108" s="18"/>
      <c r="Q108" s="18"/>
    </row>
    <row r="109" spans="2:17">
      <c r="B109" s="332">
        <v>42947</v>
      </c>
      <c r="C109" s="333">
        <v>110.29</v>
      </c>
      <c r="D109" s="335">
        <f t="shared" si="4"/>
        <v>-3.5589366911507464E-2</v>
      </c>
      <c r="F109" s="332">
        <v>42947</v>
      </c>
      <c r="G109" s="333">
        <v>2470.3000252601901</v>
      </c>
      <c r="H109" s="335">
        <f t="shared" si="5"/>
        <v>-5.462677030437606E-4</v>
      </c>
      <c r="J109" s="332">
        <v>42947</v>
      </c>
      <c r="K109">
        <f t="shared" si="3"/>
        <v>0.36249954180692129</v>
      </c>
      <c r="L109" s="18"/>
      <c r="M109" s="18"/>
      <c r="N109" s="18"/>
      <c r="O109" s="18"/>
      <c r="P109" s="18"/>
      <c r="Q109" s="18"/>
    </row>
    <row r="110" spans="2:17">
      <c r="B110" s="332">
        <v>42916</v>
      </c>
      <c r="C110" s="333">
        <v>110.59</v>
      </c>
      <c r="D110" s="335">
        <f t="shared" si="4"/>
        <v>2.7201015504578576E-3</v>
      </c>
      <c r="F110" s="332">
        <v>42916</v>
      </c>
      <c r="G110" s="333">
        <v>2423.4088910629698</v>
      </c>
      <c r="H110" s="335">
        <f t="shared" si="5"/>
        <v>-1.8981959161936752E-2</v>
      </c>
      <c r="J110" s="332">
        <v>42916</v>
      </c>
      <c r="K110">
        <f t="shared" si="3"/>
        <v>0.36584268128359798</v>
      </c>
      <c r="L110" s="18"/>
      <c r="M110" s="18"/>
      <c r="N110" s="18"/>
      <c r="O110" s="18"/>
      <c r="P110" s="18"/>
      <c r="Q110" s="18"/>
    </row>
    <row r="111" spans="2:17">
      <c r="B111" s="332">
        <v>42886</v>
      </c>
      <c r="C111" s="333">
        <v>105.97</v>
      </c>
      <c r="D111" s="335">
        <f t="shared" si="4"/>
        <v>-4.1775929107514279E-2</v>
      </c>
      <c r="F111" s="332">
        <v>42886</v>
      </c>
      <c r="G111" s="333">
        <v>2411.7973242573498</v>
      </c>
      <c r="H111" s="335">
        <f t="shared" si="5"/>
        <v>-4.7914187525023291E-3</v>
      </c>
      <c r="J111" s="332">
        <v>42886</v>
      </c>
      <c r="K111">
        <f t="shared" si="3"/>
        <v>0.35238431002045739</v>
      </c>
      <c r="L111" s="18"/>
      <c r="M111" s="18"/>
      <c r="N111" s="18"/>
      <c r="O111" s="18"/>
      <c r="P111" s="18"/>
      <c r="Q111" s="18"/>
    </row>
    <row r="112" spans="2:17">
      <c r="B112" s="332">
        <v>42853</v>
      </c>
      <c r="C112" s="333">
        <v>107.46</v>
      </c>
      <c r="D112" s="335">
        <f t="shared" si="4"/>
        <v>1.4060583183919929E-2</v>
      </c>
      <c r="F112" s="332">
        <v>42853</v>
      </c>
      <c r="G112" s="333">
        <v>2384.1955178138101</v>
      </c>
      <c r="H112" s="335">
        <f t="shared" si="5"/>
        <v>-1.1444496668906052E-2</v>
      </c>
      <c r="J112" s="332">
        <v>42853</v>
      </c>
      <c r="K112">
        <f t="shared" si="3"/>
        <v>0.35436618120084318</v>
      </c>
      <c r="L112" s="18"/>
      <c r="M112" s="18"/>
      <c r="N112" s="18"/>
      <c r="O112" s="18"/>
      <c r="P112" s="18"/>
      <c r="Q112" s="18"/>
    </row>
    <row r="113" spans="2:17">
      <c r="B113" s="332">
        <v>42825</v>
      </c>
      <c r="C113" s="333">
        <v>107.3</v>
      </c>
      <c r="D113" s="335">
        <f t="shared" si="4"/>
        <v>-1.4889261120416583E-3</v>
      </c>
      <c r="F113" s="332">
        <v>42825</v>
      </c>
      <c r="G113" s="333">
        <v>2362.7182203972998</v>
      </c>
      <c r="H113" s="335">
        <f t="shared" si="5"/>
        <v>-9.0081946954601727E-3</v>
      </c>
      <c r="J113" s="332">
        <v>42825</v>
      </c>
      <c r="K113">
        <f t="shared" si="3"/>
        <v>0.35043871101046142</v>
      </c>
      <c r="L113" s="18"/>
      <c r="M113" s="18"/>
      <c r="N113" s="18"/>
      <c r="O113" s="18"/>
      <c r="P113" s="18"/>
      <c r="Q113" s="18"/>
    </row>
    <row r="114" spans="2:17">
      <c r="B114" s="332">
        <v>42794</v>
      </c>
      <c r="C114" s="333">
        <v>105.76</v>
      </c>
      <c r="D114" s="335">
        <f t="shared" si="4"/>
        <v>-1.4352283317800486E-2</v>
      </c>
      <c r="F114" s="332">
        <v>42794</v>
      </c>
      <c r="G114" s="333">
        <v>2363.6381971289402</v>
      </c>
      <c r="H114" s="335">
        <f t="shared" si="5"/>
        <v>3.8937217468349664E-4</v>
      </c>
      <c r="J114" s="332">
        <v>42794</v>
      </c>
      <c r="K114">
        <f t="shared" si="3"/>
        <v>0.33654271208863951</v>
      </c>
      <c r="L114" s="18"/>
      <c r="M114" s="18"/>
      <c r="N114" s="18"/>
      <c r="O114" s="18"/>
      <c r="P114" s="18"/>
      <c r="Q114" s="18"/>
    </row>
    <row r="115" spans="2:17">
      <c r="B115" s="332">
        <v>42766</v>
      </c>
      <c r="C115" s="333">
        <v>109.13</v>
      </c>
      <c r="D115" s="335">
        <f t="shared" si="4"/>
        <v>3.1864599092284326E-2</v>
      </c>
      <c r="F115" s="332">
        <v>42766</v>
      </c>
      <c r="G115" s="333">
        <v>2278.8668906139401</v>
      </c>
      <c r="H115" s="335">
        <f t="shared" si="5"/>
        <v>-3.5864755704984784E-2</v>
      </c>
      <c r="J115" s="332">
        <v>42766</v>
      </c>
      <c r="K115">
        <f t="shared" si="3"/>
        <v>0.33637842021641123</v>
      </c>
      <c r="L115" s="18"/>
      <c r="M115" s="18"/>
      <c r="N115" s="18"/>
      <c r="O115" s="18"/>
      <c r="P115" s="18"/>
      <c r="Q115" s="18"/>
    </row>
    <row r="116" spans="2:17">
      <c r="B116" s="332">
        <v>42734</v>
      </c>
      <c r="C116" s="333">
        <v>114.64</v>
      </c>
      <c r="D116" s="335">
        <f t="shared" si="4"/>
        <v>5.0490240996976132E-2</v>
      </c>
      <c r="F116" s="332">
        <v>42734</v>
      </c>
      <c r="G116" s="333">
        <v>2238.8266817075501</v>
      </c>
      <c r="H116" s="335">
        <f t="shared" si="5"/>
        <v>-1.75702271472306E-2</v>
      </c>
      <c r="J116" s="332">
        <v>42734</v>
      </c>
      <c r="K116">
        <f t="shared" si="3"/>
        <v>0.33936854525655741</v>
      </c>
      <c r="L116" s="18"/>
      <c r="M116" s="18"/>
      <c r="N116" s="18"/>
      <c r="O116" s="18"/>
      <c r="P116" s="18"/>
      <c r="Q116" s="18"/>
    </row>
    <row r="117" spans="2:17">
      <c r="B117" s="332">
        <v>42704</v>
      </c>
      <c r="C117" s="333">
        <v>115.92</v>
      </c>
      <c r="D117" s="335">
        <f t="shared" si="4"/>
        <v>1.1165387299371957E-2</v>
      </c>
      <c r="F117" s="332">
        <v>42704</v>
      </c>
      <c r="G117" s="333">
        <v>2198.810449088</v>
      </c>
      <c r="H117" s="335">
        <f t="shared" si="5"/>
        <v>-1.7873751883745501E-2</v>
      </c>
      <c r="J117" s="332">
        <v>42704</v>
      </c>
      <c r="K117">
        <f t="shared" si="3"/>
        <v>0.33281512463751073</v>
      </c>
      <c r="L117" s="18"/>
      <c r="M117" s="18"/>
      <c r="N117" s="18"/>
      <c r="O117" s="18"/>
      <c r="P117" s="18"/>
      <c r="Q117" s="18"/>
    </row>
    <row r="118" spans="2:17">
      <c r="B118" s="332">
        <v>42674</v>
      </c>
      <c r="C118" s="333">
        <v>107.76</v>
      </c>
      <c r="D118" s="335">
        <f t="shared" si="4"/>
        <v>-7.0393374741200804E-2</v>
      </c>
      <c r="F118" s="332">
        <v>42674</v>
      </c>
      <c r="G118" s="333">
        <v>2126.1532970298399</v>
      </c>
      <c r="H118" s="335">
        <f t="shared" si="5"/>
        <v>-3.3043845179240493E-2</v>
      </c>
      <c r="J118" s="332">
        <v>42674</v>
      </c>
      <c r="K118">
        <f t="shared" si="3"/>
        <v>0.33363581113038243</v>
      </c>
      <c r="L118" s="18"/>
      <c r="M118" s="18"/>
      <c r="N118" s="18"/>
      <c r="O118" s="18"/>
      <c r="P118" s="18"/>
      <c r="Q118" s="18"/>
    </row>
    <row r="119" spans="2:17">
      <c r="B119" s="332">
        <v>42643</v>
      </c>
      <c r="C119" s="333">
        <v>109.36</v>
      </c>
      <c r="D119" s="335">
        <f t="shared" si="4"/>
        <v>1.4847809948032612E-2</v>
      </c>
      <c r="F119" s="332">
        <v>42643</v>
      </c>
      <c r="G119" s="333">
        <v>2168.2720896372898</v>
      </c>
      <c r="H119" s="335">
        <f t="shared" si="5"/>
        <v>1.9809856921553282E-2</v>
      </c>
      <c r="J119" s="332">
        <v>42643</v>
      </c>
      <c r="K119">
        <f t="shared" si="3"/>
        <v>0.33209417015193821</v>
      </c>
      <c r="L119" s="18"/>
      <c r="M119" s="18"/>
      <c r="N119" s="18"/>
      <c r="O119" s="18"/>
      <c r="P119" s="18"/>
      <c r="Q119" s="18"/>
    </row>
    <row r="120" spans="2:17">
      <c r="B120" s="332">
        <v>42613</v>
      </c>
      <c r="C120" s="333">
        <v>109.22</v>
      </c>
      <c r="D120" s="335">
        <f t="shared" si="4"/>
        <v>-1.2801755669348991E-3</v>
      </c>
      <c r="F120" s="332">
        <v>42613</v>
      </c>
      <c r="G120" s="333">
        <v>2170.9469576924498</v>
      </c>
      <c r="H120" s="335">
        <f t="shared" si="5"/>
        <v>1.2336404033164762E-3</v>
      </c>
      <c r="J120" s="332">
        <v>42613</v>
      </c>
      <c r="K120">
        <f t="shared" si="3"/>
        <v>0.33309980776604492</v>
      </c>
      <c r="L120" s="18"/>
      <c r="M120" s="18"/>
      <c r="N120" s="18"/>
      <c r="O120" s="18"/>
      <c r="P120" s="18"/>
      <c r="Q120" s="18"/>
    </row>
    <row r="121" spans="2:17">
      <c r="B121" s="332">
        <v>42580</v>
      </c>
      <c r="C121" s="333">
        <v>108.1</v>
      </c>
      <c r="D121" s="335">
        <f t="shared" si="4"/>
        <v>-1.0254532136971292E-2</v>
      </c>
      <c r="F121" s="332">
        <v>42580</v>
      </c>
      <c r="G121" s="333">
        <v>2173.6038598883501</v>
      </c>
      <c r="H121" s="335">
        <f t="shared" si="5"/>
        <v>1.2238448233320323E-3</v>
      </c>
      <c r="J121" s="332">
        <v>42580</v>
      </c>
      <c r="K121">
        <f t="shared" si="3"/>
        <v>0.32715315697124542</v>
      </c>
      <c r="L121" s="18"/>
      <c r="M121" s="18"/>
      <c r="N121" s="18"/>
      <c r="O121" s="18"/>
      <c r="P121" s="18"/>
      <c r="Q121" s="18"/>
    </row>
    <row r="122" spans="2:17">
      <c r="B122" s="332">
        <v>42551</v>
      </c>
      <c r="C122" s="333">
        <v>107.72</v>
      </c>
      <c r="D122" s="335">
        <f t="shared" si="4"/>
        <v>-3.5152636447733161E-3</v>
      </c>
      <c r="F122" s="332">
        <v>42551</v>
      </c>
      <c r="G122" s="333">
        <v>2098.8552265056101</v>
      </c>
      <c r="H122" s="335">
        <f t="shared" si="5"/>
        <v>-3.4389262350030807E-2</v>
      </c>
      <c r="J122" s="332">
        <v>42551</v>
      </c>
      <c r="K122">
        <f t="shared" si="3"/>
        <v>0.3275001151956321</v>
      </c>
      <c r="L122" s="18"/>
      <c r="M122" s="18"/>
      <c r="N122" s="18"/>
      <c r="O122" s="18"/>
      <c r="P122" s="18"/>
      <c r="Q122" s="18"/>
    </row>
    <row r="123" spans="2:17">
      <c r="B123" s="332">
        <v>42521</v>
      </c>
      <c r="C123" s="333">
        <v>103.09</v>
      </c>
      <c r="D123" s="335">
        <f t="shared" si="4"/>
        <v>-4.2981804678796837E-2</v>
      </c>
      <c r="F123" s="332">
        <v>42521</v>
      </c>
      <c r="G123" s="333">
        <v>2096.96419507051</v>
      </c>
      <c r="H123" s="335">
        <f t="shared" si="5"/>
        <v>-9.0098231227147901E-4</v>
      </c>
      <c r="J123" s="332">
        <v>42521</v>
      </c>
      <c r="K123">
        <f t="shared" si="3"/>
        <v>0.33435012054995561</v>
      </c>
      <c r="L123" s="18"/>
      <c r="M123" s="18"/>
      <c r="N123" s="18"/>
      <c r="O123" s="18"/>
      <c r="P123" s="18"/>
      <c r="Q123" s="18"/>
    </row>
    <row r="124" spans="2:17">
      <c r="B124" s="332">
        <v>42489</v>
      </c>
      <c r="C124" s="333">
        <v>105.07</v>
      </c>
      <c r="D124" s="335">
        <f t="shared" si="4"/>
        <v>1.9206518576001454E-2</v>
      </c>
      <c r="F124" s="332">
        <v>42489</v>
      </c>
      <c r="G124" s="333">
        <v>2065.2963010051599</v>
      </c>
      <c r="H124" s="335">
        <f t="shared" si="5"/>
        <v>-1.5101781012663049E-2</v>
      </c>
      <c r="J124" s="332">
        <v>42489</v>
      </c>
      <c r="K124">
        <f t="shared" si="3"/>
        <v>0.32430207714193288</v>
      </c>
      <c r="L124" s="18"/>
      <c r="M124" s="18"/>
      <c r="N124" s="18"/>
      <c r="O124" s="18"/>
      <c r="P124" s="18"/>
      <c r="Q124" s="18"/>
    </row>
    <row r="125" spans="2:17">
      <c r="B125" s="332">
        <v>42460</v>
      </c>
      <c r="C125" s="333">
        <v>105.47</v>
      </c>
      <c r="D125" s="335">
        <f t="shared" si="4"/>
        <v>3.8069858189778787E-3</v>
      </c>
      <c r="F125" s="332">
        <v>42460</v>
      </c>
      <c r="G125" s="333">
        <v>2059.7411766011601</v>
      </c>
      <c r="H125" s="335">
        <f t="shared" si="5"/>
        <v>-2.6897469391177296E-3</v>
      </c>
      <c r="J125" s="332">
        <v>42460</v>
      </c>
      <c r="K125">
        <f t="shared" si="3"/>
        <v>0.32817349472130547</v>
      </c>
      <c r="L125" s="18"/>
      <c r="M125" s="18"/>
      <c r="N125" s="18"/>
      <c r="O125" s="18"/>
      <c r="P125" s="18"/>
      <c r="Q125" s="18"/>
    </row>
    <row r="126" spans="2:17">
      <c r="B126" s="332">
        <v>42429</v>
      </c>
      <c r="C126" s="333">
        <v>96.55</v>
      </c>
      <c r="D126" s="335">
        <f t="shared" si="4"/>
        <v>-8.4573812458519027E-2</v>
      </c>
      <c r="F126" s="332">
        <v>42429</v>
      </c>
      <c r="G126" s="333">
        <v>1932.2263947971101</v>
      </c>
      <c r="H126" s="335">
        <f t="shared" si="5"/>
        <v>-6.1908157807703749E-2</v>
      </c>
      <c r="J126" s="332">
        <v>42429</v>
      </c>
      <c r="K126">
        <f t="shared" si="3"/>
        <v>0.33058106717647268</v>
      </c>
      <c r="L126" s="18"/>
      <c r="M126" s="18"/>
      <c r="N126" s="18"/>
      <c r="O126" s="18"/>
      <c r="P126" s="18"/>
      <c r="Q126" s="18"/>
    </row>
    <row r="127" spans="2:17">
      <c r="B127" s="332">
        <v>42398</v>
      </c>
      <c r="C127" s="333">
        <v>93.2</v>
      </c>
      <c r="D127" s="335">
        <f t="shared" si="4"/>
        <v>-3.4697048161574255E-2</v>
      </c>
      <c r="F127" s="332">
        <v>42398</v>
      </c>
      <c r="G127" s="333">
        <v>1940.23967781845</v>
      </c>
      <c r="H127" s="335">
        <f t="shared" si="5"/>
        <v>4.1471760467185577E-3</v>
      </c>
      <c r="J127" s="332">
        <v>42398</v>
      </c>
      <c r="K127">
        <f>SLOPE(D127:D186,H127:H186)</f>
        <v>0.31970989599670546</v>
      </c>
    </row>
    <row r="130" spans="2:24">
      <c r="B130" s="237" t="s">
        <v>1870</v>
      </c>
      <c r="F130" s="237" t="s">
        <v>1872</v>
      </c>
      <c r="J130" s="237" t="s">
        <v>1874</v>
      </c>
      <c r="N130" s="237" t="s">
        <v>1878</v>
      </c>
      <c r="R130" s="237" t="s">
        <v>1896</v>
      </c>
      <c r="V130" s="237" t="s">
        <v>1876</v>
      </c>
    </row>
    <row r="131" spans="2:24">
      <c r="B131" s="20" t="s">
        <v>1769</v>
      </c>
      <c r="C131" s="20" t="s">
        <v>1770</v>
      </c>
      <c r="D131" s="5" t="s">
        <v>1871</v>
      </c>
      <c r="F131" s="20" t="s">
        <v>1769</v>
      </c>
      <c r="G131" s="20" t="s">
        <v>1770</v>
      </c>
      <c r="H131" s="5" t="s">
        <v>1871</v>
      </c>
      <c r="J131" s="20" t="s">
        <v>1769</v>
      </c>
      <c r="K131" s="20" t="s">
        <v>1770</v>
      </c>
      <c r="L131" s="5" t="s">
        <v>1871</v>
      </c>
      <c r="M131" s="5"/>
      <c r="N131" s="20" t="s">
        <v>1769</v>
      </c>
      <c r="O131" s="20" t="s">
        <v>1770</v>
      </c>
      <c r="P131" s="20" t="s">
        <v>1871</v>
      </c>
      <c r="Q131" s="5"/>
      <c r="R131" s="20" t="s">
        <v>1769</v>
      </c>
      <c r="S131" s="20" t="s">
        <v>1770</v>
      </c>
      <c r="T131" s="5" t="s">
        <v>1853</v>
      </c>
      <c r="V131" s="20" t="s">
        <v>1769</v>
      </c>
      <c r="W131" s="20" t="s">
        <v>1770</v>
      </c>
      <c r="X131" s="20" t="s">
        <v>1853</v>
      </c>
    </row>
    <row r="132" spans="2:24">
      <c r="B132" s="332">
        <v>44225</v>
      </c>
      <c r="C132" s="333">
        <v>3714.24268977664</v>
      </c>
      <c r="D132" s="335" t="s">
        <v>1880</v>
      </c>
      <c r="F132" s="332">
        <v>44225</v>
      </c>
      <c r="G132" s="333">
        <v>235.34</v>
      </c>
      <c r="H132" s="335" t="s">
        <v>1873</v>
      </c>
      <c r="J132" s="17">
        <v>44225</v>
      </c>
      <c r="K132" s="333">
        <v>49.580067</v>
      </c>
      <c r="L132" s="335" t="s">
        <v>1875</v>
      </c>
      <c r="N132" s="17">
        <v>44225</v>
      </c>
      <c r="O132" s="18">
        <v>89.52</v>
      </c>
      <c r="P132" s="340" t="s">
        <v>1879</v>
      </c>
      <c r="R132" s="17">
        <v>44253</v>
      </c>
      <c r="S132" s="18">
        <v>107.38500000000001</v>
      </c>
      <c r="T132" s="335" t="s">
        <v>1897</v>
      </c>
      <c r="V132" s="17">
        <v>44225</v>
      </c>
      <c r="W132" s="333">
        <v>66.491844</v>
      </c>
      <c r="X132" s="335" t="s">
        <v>1877</v>
      </c>
    </row>
    <row r="133" spans="2:24">
      <c r="B133" s="332">
        <v>44253</v>
      </c>
      <c r="C133" s="333">
        <v>3811.1497495982799</v>
      </c>
      <c r="D133" s="335">
        <f>(C133-C132)/C132</f>
        <v>2.6090664481449789E-2</v>
      </c>
      <c r="F133" s="332">
        <v>44253</v>
      </c>
      <c r="G133" s="333">
        <v>254.5</v>
      </c>
      <c r="H133" s="335">
        <f>(G133-G132)/G132</f>
        <v>8.141412424577206E-2</v>
      </c>
      <c r="J133" s="17">
        <v>44253</v>
      </c>
      <c r="K133" s="333">
        <v>49.838627000000002</v>
      </c>
      <c r="L133" s="335">
        <f>(K133-K132)/K132</f>
        <v>5.2149990035310519E-3</v>
      </c>
      <c r="M133" s="335"/>
      <c r="N133" s="17">
        <v>44253</v>
      </c>
      <c r="O133" s="18">
        <v>91.84</v>
      </c>
      <c r="P133" s="340">
        <f>(O133-O132)/O132</f>
        <v>2.5915996425379888E-2</v>
      </c>
      <c r="Q133" s="335"/>
      <c r="R133" s="17">
        <v>44286</v>
      </c>
      <c r="S133" s="18">
        <v>120.205</v>
      </c>
      <c r="T133" s="335">
        <f>(S133-S132)/S132</f>
        <v>0.1193835265633002</v>
      </c>
      <c r="V133" s="17">
        <v>44253</v>
      </c>
      <c r="W133" s="333">
        <v>70.213263999999995</v>
      </c>
      <c r="X133" s="335">
        <f>(W133-W132)/W132</f>
        <v>5.5968067301607617E-2</v>
      </c>
    </row>
    <row r="134" spans="2:24">
      <c r="B134" s="332">
        <v>44286</v>
      </c>
      <c r="C134" s="333">
        <v>3972.8922084302499</v>
      </c>
      <c r="D134" s="335">
        <f t="shared" ref="D134:D191" si="6">(C134-C133)/C133</f>
        <v>4.2439281964456711E-2</v>
      </c>
      <c r="F134" s="332">
        <v>44286</v>
      </c>
      <c r="G134" s="333">
        <v>284.04000000000002</v>
      </c>
      <c r="H134" s="335">
        <f t="shared" ref="H134:H192" si="7">(G134-G133)/G133</f>
        <v>0.11607072691552071</v>
      </c>
      <c r="J134" s="17">
        <v>44286</v>
      </c>
      <c r="K134" s="333">
        <v>54.910015000000001</v>
      </c>
      <c r="L134" s="335">
        <f t="shared" ref="L134:L192" si="8">(K134-K133)/K133</f>
        <v>0.10175617398127759</v>
      </c>
      <c r="M134" s="335"/>
      <c r="N134" s="17">
        <v>44286</v>
      </c>
      <c r="O134" s="18">
        <v>107.69</v>
      </c>
      <c r="P134" s="340">
        <f t="shared" ref="P134:P192" si="9">(O134-O133)/O133</f>
        <v>0.17258275261324035</v>
      </c>
      <c r="Q134" s="335"/>
      <c r="R134" s="17">
        <v>44316</v>
      </c>
      <c r="S134" s="18">
        <v>128.905</v>
      </c>
      <c r="T134" s="335">
        <f t="shared" ref="T134:T192" si="10">(S134-S133)/S133</f>
        <v>7.2376357056694832E-2</v>
      </c>
      <c r="V134" s="17">
        <v>44286</v>
      </c>
      <c r="W134" s="333">
        <v>74.949269999999999</v>
      </c>
      <c r="X134" s="335">
        <f t="shared" ref="X134:X192" si="11">(W134-W133)/W133</f>
        <v>6.7451728209074621E-2</v>
      </c>
    </row>
    <row r="135" spans="2:24">
      <c r="B135" s="332">
        <v>44316</v>
      </c>
      <c r="C135" s="333">
        <v>4181.1748954407904</v>
      </c>
      <c r="D135" s="335">
        <f t="shared" si="6"/>
        <v>5.2425959750072387E-2</v>
      </c>
      <c r="F135" s="332">
        <v>44316</v>
      </c>
      <c r="G135" s="333">
        <v>290.31</v>
      </c>
      <c r="H135" s="335">
        <f t="shared" si="7"/>
        <v>2.2074355724545774E-2</v>
      </c>
      <c r="J135" s="17">
        <v>44316</v>
      </c>
      <c r="K135" s="333">
        <v>58.932029999999997</v>
      </c>
      <c r="L135" s="335">
        <f t="shared" si="8"/>
        <v>7.3247384834988591E-2</v>
      </c>
      <c r="M135" s="335"/>
      <c r="N135" s="17">
        <v>44316</v>
      </c>
      <c r="O135" s="18">
        <v>109.86</v>
      </c>
      <c r="P135" s="340">
        <f t="shared" si="9"/>
        <v>2.015043179496705E-2</v>
      </c>
      <c r="Q135" s="335"/>
      <c r="R135" s="17">
        <v>44344</v>
      </c>
      <c r="S135" s="18">
        <v>132.72499999999999</v>
      </c>
      <c r="T135" s="335">
        <f t="shared" si="10"/>
        <v>2.963422675613819E-2</v>
      </c>
      <c r="V135" s="17">
        <v>44316</v>
      </c>
      <c r="W135" s="333">
        <v>87.54674</v>
      </c>
      <c r="X135" s="335">
        <f t="shared" si="11"/>
        <v>0.16807995594887051</v>
      </c>
    </row>
    <row r="136" spans="2:24">
      <c r="B136" s="332">
        <v>44344</v>
      </c>
      <c r="C136" s="333">
        <v>4204.1105456536397</v>
      </c>
      <c r="D136" s="335">
        <f t="shared" si="6"/>
        <v>5.4854558315316441E-3</v>
      </c>
      <c r="F136" s="332">
        <v>44344</v>
      </c>
      <c r="G136" s="333">
        <v>314.81</v>
      </c>
      <c r="H136" s="335">
        <f t="shared" si="7"/>
        <v>8.4392545899211191E-2</v>
      </c>
      <c r="J136" s="17">
        <v>44347</v>
      </c>
      <c r="K136" s="333">
        <v>68.223879999999994</v>
      </c>
      <c r="L136" s="335">
        <f t="shared" si="8"/>
        <v>0.15767062495556317</v>
      </c>
      <c r="M136" s="335"/>
      <c r="N136" s="17">
        <v>44344</v>
      </c>
      <c r="O136" s="18">
        <v>125.69</v>
      </c>
      <c r="P136" s="340">
        <f t="shared" si="9"/>
        <v>0.14409248133988711</v>
      </c>
      <c r="Q136" s="335"/>
      <c r="R136" s="17">
        <v>44377</v>
      </c>
      <c r="S136" s="18">
        <v>126.9</v>
      </c>
      <c r="T136" s="335">
        <f t="shared" si="10"/>
        <v>-4.3887737803729433E-2</v>
      </c>
      <c r="V136" s="17">
        <v>44347</v>
      </c>
      <c r="W136" s="333">
        <v>96.068209999999993</v>
      </c>
      <c r="X136" s="335">
        <f t="shared" si="11"/>
        <v>9.7336234336081434E-2</v>
      </c>
    </row>
    <row r="137" spans="2:24">
      <c r="B137" s="332">
        <v>44377</v>
      </c>
      <c r="C137" s="333">
        <v>4297.4966318818797</v>
      </c>
      <c r="D137" s="335">
        <f t="shared" si="6"/>
        <v>2.221304250069871E-2</v>
      </c>
      <c r="F137" s="332">
        <v>44377</v>
      </c>
      <c r="G137" s="333">
        <v>298.33</v>
      </c>
      <c r="H137" s="335">
        <f t="shared" si="7"/>
        <v>-5.2349035926431871E-2</v>
      </c>
      <c r="J137" s="17">
        <v>44377</v>
      </c>
      <c r="K137" s="333">
        <v>68.023223999999999</v>
      </c>
      <c r="L137" s="335">
        <f t="shared" si="8"/>
        <v>-2.9411402576340583E-3</v>
      </c>
      <c r="M137" s="335"/>
      <c r="N137" s="17">
        <v>44377</v>
      </c>
      <c r="O137" s="18">
        <v>126.6</v>
      </c>
      <c r="P137" s="340">
        <f t="shared" si="9"/>
        <v>7.2400350067626431E-3</v>
      </c>
      <c r="Q137" s="335"/>
      <c r="R137" s="17">
        <v>44407</v>
      </c>
      <c r="S137" s="18">
        <v>134.57499999999999</v>
      </c>
      <c r="T137" s="335">
        <f t="shared" si="10"/>
        <v>6.0480693459416729E-2</v>
      </c>
      <c r="V137" s="17">
        <v>44377</v>
      </c>
      <c r="W137" s="333">
        <v>91.391425999999996</v>
      </c>
      <c r="X137" s="335">
        <f t="shared" si="11"/>
        <v>-4.868191048839151E-2</v>
      </c>
    </row>
    <row r="138" spans="2:24">
      <c r="B138" s="332">
        <v>44407</v>
      </c>
      <c r="C138" s="333">
        <v>4395.2639721631804</v>
      </c>
      <c r="D138" s="335">
        <f t="shared" si="6"/>
        <v>2.2749835231048971E-2</v>
      </c>
      <c r="F138" s="332">
        <v>44407</v>
      </c>
      <c r="G138" s="333">
        <v>279.95</v>
      </c>
      <c r="H138" s="335">
        <f t="shared" si="7"/>
        <v>-6.1609626923205832E-2</v>
      </c>
      <c r="J138" s="17">
        <v>44407</v>
      </c>
      <c r="K138" s="333">
        <v>67.721040000000002</v>
      </c>
      <c r="L138" s="335">
        <f t="shared" si="8"/>
        <v>-4.4423651545830419E-3</v>
      </c>
      <c r="M138" s="335"/>
      <c r="N138" s="17">
        <v>44407</v>
      </c>
      <c r="O138" s="18">
        <v>128.25</v>
      </c>
      <c r="P138" s="340">
        <f t="shared" si="9"/>
        <v>1.3033175355450283E-2</v>
      </c>
      <c r="Q138" s="335"/>
      <c r="R138" s="17">
        <v>44439</v>
      </c>
      <c r="S138" s="18">
        <v>144.36000000000001</v>
      </c>
      <c r="T138" s="335">
        <f t="shared" si="10"/>
        <v>7.2710384543934803E-2</v>
      </c>
      <c r="V138" s="17">
        <v>44407</v>
      </c>
      <c r="W138" s="333">
        <v>111.87568</v>
      </c>
      <c r="X138" s="335">
        <f t="shared" si="11"/>
        <v>0.22413759032493932</v>
      </c>
    </row>
    <row r="139" spans="2:24">
      <c r="B139" s="332">
        <v>44439</v>
      </c>
      <c r="C139" s="333">
        <v>4522.6801193645497</v>
      </c>
      <c r="D139" s="335">
        <f t="shared" si="6"/>
        <v>2.8989418612475275E-2</v>
      </c>
      <c r="F139" s="332">
        <v>44439</v>
      </c>
      <c r="G139" s="333">
        <v>265.69</v>
      </c>
      <c r="H139" s="335">
        <f t="shared" si="7"/>
        <v>-5.0937667440614363E-2</v>
      </c>
      <c r="J139" s="17">
        <v>44439</v>
      </c>
      <c r="K139" s="333">
        <v>70.331209999999999</v>
      </c>
      <c r="L139" s="335">
        <f t="shared" si="8"/>
        <v>3.8542969806724711E-2</v>
      </c>
      <c r="M139" s="335"/>
      <c r="N139" s="17">
        <v>44439</v>
      </c>
      <c r="O139" s="18">
        <v>124.64</v>
      </c>
      <c r="P139" s="340">
        <f t="shared" si="9"/>
        <v>-2.8148148148148144E-2</v>
      </c>
      <c r="Q139" s="335"/>
      <c r="R139" s="17">
        <v>44469</v>
      </c>
      <c r="S139" s="18">
        <v>142.99</v>
      </c>
      <c r="T139" s="335">
        <f t="shared" si="10"/>
        <v>-9.4901634801884491E-3</v>
      </c>
      <c r="V139" s="17">
        <v>44439</v>
      </c>
      <c r="W139" s="333">
        <v>112.80813999999999</v>
      </c>
      <c r="X139" s="335">
        <f t="shared" si="11"/>
        <v>8.3347873282199648E-3</v>
      </c>
    </row>
    <row r="140" spans="2:24">
      <c r="B140" s="332">
        <v>44469</v>
      </c>
      <c r="C140" s="333">
        <v>4307.5387507897103</v>
      </c>
      <c r="D140" s="335">
        <f t="shared" si="6"/>
        <v>-4.7569441768317539E-2</v>
      </c>
      <c r="F140" s="332">
        <v>44469</v>
      </c>
      <c r="G140" s="333">
        <v>219.29</v>
      </c>
      <c r="H140" s="335">
        <f t="shared" si="7"/>
        <v>-0.17463961759945804</v>
      </c>
      <c r="J140" s="17">
        <v>44469</v>
      </c>
      <c r="K140" s="333">
        <v>63.139595</v>
      </c>
      <c r="L140" s="335">
        <f t="shared" si="8"/>
        <v>-0.10225353722764045</v>
      </c>
      <c r="M140" s="335"/>
      <c r="N140" s="17">
        <v>44469</v>
      </c>
      <c r="O140" s="18">
        <v>119.13</v>
      </c>
      <c r="P140" s="340">
        <f t="shared" si="9"/>
        <v>-4.4207317073170771E-2</v>
      </c>
      <c r="Q140" s="335"/>
      <c r="R140" s="17">
        <v>44498</v>
      </c>
      <c r="S140" s="18">
        <v>170.67500000000001</v>
      </c>
      <c r="T140" s="335">
        <f t="shared" si="10"/>
        <v>0.19361493810755998</v>
      </c>
      <c r="V140" s="17">
        <v>44469</v>
      </c>
      <c r="W140" s="333">
        <v>102.285194</v>
      </c>
      <c r="X140" s="335">
        <f t="shared" si="11"/>
        <v>-9.3281796863240465E-2</v>
      </c>
    </row>
    <row r="141" spans="2:24">
      <c r="B141" s="332">
        <v>44498</v>
      </c>
      <c r="C141" s="333">
        <v>4605.3766481776001</v>
      </c>
      <c r="D141" s="335">
        <f t="shared" si="6"/>
        <v>6.9143405229560986E-2</v>
      </c>
      <c r="F141" s="332">
        <v>44498</v>
      </c>
      <c r="G141" s="333">
        <v>235.53</v>
      </c>
      <c r="H141" s="335">
        <f t="shared" si="7"/>
        <v>7.4057184550139127E-2</v>
      </c>
      <c r="J141" s="17">
        <v>44498</v>
      </c>
      <c r="K141" s="333">
        <v>61.936019999999999</v>
      </c>
      <c r="L141" s="335">
        <f t="shared" si="8"/>
        <v>-1.9062127338637519E-2</v>
      </c>
      <c r="M141" s="335"/>
      <c r="N141" s="17">
        <v>44498</v>
      </c>
      <c r="O141" s="18">
        <v>123.26</v>
      </c>
      <c r="P141" s="340">
        <f t="shared" si="9"/>
        <v>3.4668009737261897E-2</v>
      </c>
      <c r="Q141" s="335"/>
      <c r="R141" s="17">
        <v>44530</v>
      </c>
      <c r="S141" s="18">
        <v>177.58500000000001</v>
      </c>
      <c r="T141" s="335">
        <f t="shared" si="10"/>
        <v>4.0486304379668936E-2</v>
      </c>
      <c r="V141" s="17">
        <v>44498</v>
      </c>
      <c r="W141" s="333">
        <v>110.709526</v>
      </c>
      <c r="X141" s="335">
        <f t="shared" si="11"/>
        <v>8.2361206647366694E-2</v>
      </c>
    </row>
    <row r="142" spans="2:24">
      <c r="B142" s="332">
        <v>44530</v>
      </c>
      <c r="C142" s="333">
        <v>4567.0014940092397</v>
      </c>
      <c r="D142" s="335">
        <f t="shared" si="6"/>
        <v>-8.3326852720169986E-3</v>
      </c>
      <c r="F142" s="332">
        <v>44530</v>
      </c>
      <c r="G142" s="333">
        <v>230.37</v>
      </c>
      <c r="H142" s="335">
        <f t="shared" si="7"/>
        <v>-2.1908037192714291E-2</v>
      </c>
      <c r="J142" s="17">
        <v>44530</v>
      </c>
      <c r="K142" s="333">
        <v>58.722549999999998</v>
      </c>
      <c r="L142" s="335">
        <f t="shared" si="8"/>
        <v>-5.1883701923371911E-2</v>
      </c>
      <c r="M142" s="335"/>
      <c r="N142" s="17">
        <v>44530</v>
      </c>
      <c r="O142" s="18">
        <v>121.62</v>
      </c>
      <c r="P142" s="340">
        <f t="shared" si="9"/>
        <v>-1.3305208502352754E-2</v>
      </c>
      <c r="Q142" s="335"/>
      <c r="R142" s="17">
        <v>44561</v>
      </c>
      <c r="S142" s="18">
        <v>179.19</v>
      </c>
      <c r="T142" s="335">
        <f t="shared" si="10"/>
        <v>9.0379255004645088E-3</v>
      </c>
      <c r="V142" s="17">
        <v>44530</v>
      </c>
      <c r="W142" s="333">
        <v>98.877459999999999</v>
      </c>
      <c r="X142" s="335">
        <f t="shared" si="11"/>
        <v>-0.10687486820239839</v>
      </c>
    </row>
    <row r="143" spans="2:24">
      <c r="B143" s="332">
        <v>44561</v>
      </c>
      <c r="C143" s="333">
        <v>4766.1829724283098</v>
      </c>
      <c r="D143" s="335">
        <f t="shared" si="6"/>
        <v>4.3613184423159541E-2</v>
      </c>
      <c r="F143" s="332">
        <v>44561</v>
      </c>
      <c r="G143" s="333">
        <v>258.64</v>
      </c>
      <c r="H143" s="335">
        <f t="shared" si="7"/>
        <v>0.12271563137561306</v>
      </c>
      <c r="J143" s="17">
        <v>44560</v>
      </c>
      <c r="K143" s="333">
        <v>64.065475000000006</v>
      </c>
      <c r="L143" s="335">
        <f t="shared" si="8"/>
        <v>9.0985915972654596E-2</v>
      </c>
      <c r="M143" s="335"/>
      <c r="N143" s="17">
        <v>44561</v>
      </c>
      <c r="O143" s="18">
        <v>134.29</v>
      </c>
      <c r="P143" s="340">
        <f t="shared" si="9"/>
        <v>0.1041769445814832</v>
      </c>
      <c r="Q143" s="335"/>
      <c r="R143" s="17">
        <v>44592</v>
      </c>
      <c r="S143" s="18">
        <v>150.965</v>
      </c>
      <c r="T143" s="335">
        <f t="shared" si="10"/>
        <v>-0.15751437022155251</v>
      </c>
      <c r="V143" s="17">
        <v>44561</v>
      </c>
      <c r="W143" s="333">
        <v>112.31444999999999</v>
      </c>
      <c r="X143" s="335">
        <f t="shared" si="11"/>
        <v>0.13589537999863663</v>
      </c>
    </row>
    <row r="144" spans="2:24">
      <c r="B144" s="332">
        <v>44592</v>
      </c>
      <c r="C144" s="333">
        <v>4515.5475786242396</v>
      </c>
      <c r="D144" s="335">
        <f t="shared" si="6"/>
        <v>-5.2586187994451805E-2</v>
      </c>
      <c r="F144" s="332">
        <v>44592</v>
      </c>
      <c r="G144" s="333">
        <v>245.86</v>
      </c>
      <c r="H144" s="335">
        <f t="shared" si="7"/>
        <v>-4.9412310547479021E-2</v>
      </c>
      <c r="J144" s="17">
        <v>44592</v>
      </c>
      <c r="K144" s="333">
        <v>59.401789999999998</v>
      </c>
      <c r="L144" s="335">
        <f t="shared" si="8"/>
        <v>-7.2795604808986544E-2</v>
      </c>
      <c r="M144" s="335"/>
      <c r="N144" s="17">
        <v>44592</v>
      </c>
      <c r="O144" s="18">
        <v>114.48</v>
      </c>
      <c r="P144" s="340">
        <f t="shared" si="9"/>
        <v>-0.14751656862015033</v>
      </c>
      <c r="Q144" s="335"/>
      <c r="R144" s="17">
        <v>44620</v>
      </c>
      <c r="S144" s="18">
        <v>157.01499999999999</v>
      </c>
      <c r="T144" s="335">
        <f t="shared" si="10"/>
        <v>4.0075514192031154E-2</v>
      </c>
      <c r="V144" s="17">
        <v>44592</v>
      </c>
      <c r="W144" s="333">
        <v>96.20223</v>
      </c>
      <c r="X144" s="335">
        <f t="shared" si="11"/>
        <v>-0.14345634065785831</v>
      </c>
    </row>
    <row r="145" spans="2:24">
      <c r="B145" s="332">
        <v>44620</v>
      </c>
      <c r="C145" s="333">
        <v>4373.9391488044403</v>
      </c>
      <c r="D145" s="335">
        <f t="shared" si="6"/>
        <v>-3.1360189955731442E-2</v>
      </c>
      <c r="F145" s="332">
        <v>44620</v>
      </c>
      <c r="G145" s="333">
        <v>222.27</v>
      </c>
      <c r="H145" s="335">
        <f t="shared" si="7"/>
        <v>-9.5948914016106737E-2</v>
      </c>
      <c r="J145" s="17">
        <v>44620</v>
      </c>
      <c r="K145" s="333">
        <v>50.723712999999996</v>
      </c>
      <c r="L145" s="335">
        <f t="shared" si="8"/>
        <v>-0.14609116997989458</v>
      </c>
      <c r="M145" s="335"/>
      <c r="N145" s="17">
        <v>44620</v>
      </c>
      <c r="O145" s="18">
        <v>103.36</v>
      </c>
      <c r="P145" s="340">
        <f t="shared" si="9"/>
        <v>-9.7134870719776417E-2</v>
      </c>
      <c r="Q145" s="335"/>
      <c r="R145" s="17">
        <v>44651</v>
      </c>
      <c r="S145" s="18">
        <v>149.34</v>
      </c>
      <c r="T145" s="335">
        <f t="shared" si="10"/>
        <v>-4.8880680189790679E-2</v>
      </c>
      <c r="V145" s="17">
        <v>44620</v>
      </c>
      <c r="W145" s="333">
        <v>104.16682400000001</v>
      </c>
      <c r="X145" s="335">
        <f t="shared" si="11"/>
        <v>8.2790118274805119E-2</v>
      </c>
    </row>
    <row r="146" spans="2:24">
      <c r="B146" s="332">
        <v>44651</v>
      </c>
      <c r="C146" s="333">
        <v>4530.4134516834702</v>
      </c>
      <c r="D146" s="335">
        <f t="shared" si="6"/>
        <v>3.5774229488720735E-2</v>
      </c>
      <c r="F146" s="332">
        <v>44651</v>
      </c>
      <c r="G146" s="333">
        <v>231.39</v>
      </c>
      <c r="H146" s="335">
        <f t="shared" si="7"/>
        <v>4.103117829666611E-2</v>
      </c>
      <c r="J146" s="17">
        <v>44651</v>
      </c>
      <c r="K146" s="333">
        <v>48.455902000000002</v>
      </c>
      <c r="L146" s="335">
        <f t="shared" si="8"/>
        <v>-4.4709089021144705E-2</v>
      </c>
      <c r="M146" s="335"/>
      <c r="N146" s="17">
        <v>44651</v>
      </c>
      <c r="O146" s="18">
        <v>103.16</v>
      </c>
      <c r="P146" s="340">
        <f t="shared" si="9"/>
        <v>-1.9349845201238666E-3</v>
      </c>
      <c r="Q146" s="335"/>
      <c r="R146" s="17">
        <v>44680</v>
      </c>
      <c r="S146" s="18">
        <v>140.06</v>
      </c>
      <c r="T146" s="335">
        <f t="shared" si="10"/>
        <v>-6.2140083032007506E-2</v>
      </c>
      <c r="V146" s="17">
        <v>44651</v>
      </c>
      <c r="W146" s="333">
        <v>106.60101</v>
      </c>
      <c r="X146" s="335">
        <f t="shared" si="11"/>
        <v>2.3368150304745747E-2</v>
      </c>
    </row>
    <row r="147" spans="2:24">
      <c r="B147" s="332">
        <v>44680</v>
      </c>
      <c r="C147" s="333">
        <v>4131.9264103776004</v>
      </c>
      <c r="D147" s="335">
        <f t="shared" si="6"/>
        <v>-8.795820636586596E-2</v>
      </c>
      <c r="F147" s="332">
        <v>44680</v>
      </c>
      <c r="G147" s="333">
        <v>198.74</v>
      </c>
      <c r="H147" s="335">
        <f t="shared" si="7"/>
        <v>-0.14110376420761475</v>
      </c>
      <c r="J147" s="17">
        <v>44680</v>
      </c>
      <c r="K147" s="333">
        <v>43.168551999999998</v>
      </c>
      <c r="L147" s="335">
        <f t="shared" si="8"/>
        <v>-0.10911673876177154</v>
      </c>
      <c r="M147" s="335"/>
      <c r="N147" s="17">
        <v>44680</v>
      </c>
      <c r="O147" s="18">
        <v>99.07</v>
      </c>
      <c r="P147" s="340">
        <f t="shared" si="9"/>
        <v>-3.9647150058162113E-2</v>
      </c>
      <c r="Q147" s="335"/>
      <c r="R147" s="17">
        <v>44712</v>
      </c>
      <c r="S147" s="18">
        <v>129.12</v>
      </c>
      <c r="T147" s="335">
        <f t="shared" si="10"/>
        <v>-7.8109381693559882E-2</v>
      </c>
      <c r="V147" s="17">
        <v>44680</v>
      </c>
      <c r="W147" s="333">
        <v>80.857560000000007</v>
      </c>
      <c r="X147" s="335">
        <f t="shared" si="11"/>
        <v>-0.24149349054009897</v>
      </c>
    </row>
    <row r="148" spans="2:24">
      <c r="B148" s="332">
        <v>44712</v>
      </c>
      <c r="C148" s="333">
        <v>4132.1477819618904</v>
      </c>
      <c r="D148" s="335">
        <f t="shared" si="6"/>
        <v>5.3575877763448441E-5</v>
      </c>
      <c r="F148" s="332">
        <v>44712</v>
      </c>
      <c r="G148" s="333">
        <v>224.58</v>
      </c>
      <c r="H148" s="335">
        <f t="shared" si="7"/>
        <v>0.13001912045889102</v>
      </c>
      <c r="J148" s="17">
        <v>44712</v>
      </c>
      <c r="K148" s="333">
        <v>41.248480000000001</v>
      </c>
      <c r="L148" s="335">
        <f t="shared" si="8"/>
        <v>-4.4478489804337142E-2</v>
      </c>
      <c r="M148" s="335"/>
      <c r="N148" s="17">
        <v>44712</v>
      </c>
      <c r="O148" s="18">
        <v>108.84</v>
      </c>
      <c r="P148" s="340">
        <f t="shared" si="9"/>
        <v>9.86171393963865E-2</v>
      </c>
      <c r="Q148" s="335"/>
      <c r="R148" s="17">
        <v>44742</v>
      </c>
      <c r="S148" s="18">
        <v>128.13999999999999</v>
      </c>
      <c r="T148" s="335">
        <f t="shared" si="10"/>
        <v>-7.5898389095416527E-3</v>
      </c>
      <c r="V148" s="17">
        <v>44712</v>
      </c>
      <c r="W148" s="333">
        <v>82.120410000000007</v>
      </c>
      <c r="X148" s="335">
        <f t="shared" si="11"/>
        <v>1.561820564459279E-2</v>
      </c>
    </row>
    <row r="149" spans="2:24">
      <c r="B149" s="332">
        <v>44742</v>
      </c>
      <c r="C149" s="333">
        <v>3785.3848459311398</v>
      </c>
      <c r="D149" s="335">
        <f t="shared" si="6"/>
        <v>-8.3918328754958513E-2</v>
      </c>
      <c r="F149" s="332">
        <v>44742</v>
      </c>
      <c r="G149" s="333">
        <v>226.71</v>
      </c>
      <c r="H149" s="335">
        <f t="shared" si="7"/>
        <v>9.4843708255409886E-3</v>
      </c>
      <c r="J149" s="17">
        <v>44742</v>
      </c>
      <c r="K149" s="333">
        <v>37.364384000000001</v>
      </c>
      <c r="L149" s="335">
        <f t="shared" si="8"/>
        <v>-9.4163372807919213E-2</v>
      </c>
      <c r="M149" s="335"/>
      <c r="N149" s="17">
        <v>44742</v>
      </c>
      <c r="O149" s="18">
        <v>97.46</v>
      </c>
      <c r="P149" s="340">
        <f t="shared" si="9"/>
        <v>-0.10455714810731358</v>
      </c>
      <c r="Q149" s="335"/>
      <c r="R149" s="17">
        <v>44771</v>
      </c>
      <c r="S149" s="18">
        <v>151.755</v>
      </c>
      <c r="T149" s="335">
        <f t="shared" si="10"/>
        <v>0.18429061963477456</v>
      </c>
      <c r="V149" s="17">
        <v>44742</v>
      </c>
      <c r="W149" s="333">
        <v>80.103880000000004</v>
      </c>
      <c r="X149" s="335">
        <f t="shared" si="11"/>
        <v>-2.4555771214488615E-2</v>
      </c>
    </row>
    <row r="150" spans="2:24">
      <c r="B150" s="332">
        <v>44771</v>
      </c>
      <c r="C150" s="333">
        <v>4130.2857738191597</v>
      </c>
      <c r="D150" s="335">
        <f t="shared" si="6"/>
        <v>9.1113834372415076E-2</v>
      </c>
      <c r="F150" s="332">
        <v>44771</v>
      </c>
      <c r="G150" s="333">
        <v>233.09</v>
      </c>
      <c r="H150" s="335">
        <f t="shared" si="7"/>
        <v>2.8141678796700608E-2</v>
      </c>
      <c r="J150" s="17">
        <v>44771</v>
      </c>
      <c r="K150" s="333">
        <v>39.664383000000001</v>
      </c>
      <c r="L150" s="335">
        <f t="shared" si="8"/>
        <v>6.1555919134114442E-2</v>
      </c>
      <c r="M150" s="335"/>
      <c r="N150" s="17">
        <v>44771</v>
      </c>
      <c r="O150" s="18">
        <v>106.25</v>
      </c>
      <c r="P150" s="340">
        <f t="shared" si="9"/>
        <v>9.0190847527190712E-2</v>
      </c>
      <c r="Q150" s="335"/>
      <c r="R150" s="17">
        <v>44804</v>
      </c>
      <c r="S150" s="18">
        <v>135.70500000000001</v>
      </c>
      <c r="T150" s="335">
        <f t="shared" si="10"/>
        <v>-0.10576257783928031</v>
      </c>
      <c r="V150" s="17">
        <v>44771</v>
      </c>
      <c r="W150" s="333">
        <v>99.816599999999994</v>
      </c>
      <c r="X150" s="335">
        <f t="shared" si="11"/>
        <v>0.24608945284548001</v>
      </c>
    </row>
    <row r="151" spans="2:24">
      <c r="B151" s="332">
        <v>44804</v>
      </c>
      <c r="C151" s="333">
        <v>3954.9990010277702</v>
      </c>
      <c r="D151" s="335">
        <f t="shared" si="6"/>
        <v>-4.2439381289906895E-2</v>
      </c>
      <c r="F151" s="332">
        <v>44804</v>
      </c>
      <c r="G151" s="333">
        <v>210.81</v>
      </c>
      <c r="H151" s="335">
        <f t="shared" si="7"/>
        <v>-9.5585396198893141E-2</v>
      </c>
      <c r="J151" s="17">
        <v>44804</v>
      </c>
      <c r="K151" s="333">
        <v>36.596995999999997</v>
      </c>
      <c r="L151" s="335">
        <f t="shared" si="8"/>
        <v>-7.7333536235771105E-2</v>
      </c>
      <c r="M151" s="335"/>
      <c r="N151" s="17">
        <v>44804</v>
      </c>
      <c r="O151" s="18">
        <v>102.89</v>
      </c>
      <c r="P151" s="340">
        <f t="shared" si="9"/>
        <v>-3.1623529411764703E-2</v>
      </c>
      <c r="Q151" s="335"/>
      <c r="R151" s="17">
        <v>44834</v>
      </c>
      <c r="S151" s="18">
        <v>124.38500000000001</v>
      </c>
      <c r="T151" s="335">
        <f t="shared" si="10"/>
        <v>-8.3416233742308735E-2</v>
      </c>
      <c r="V151" s="17">
        <v>44804</v>
      </c>
      <c r="W151" s="333">
        <v>100.05345</v>
      </c>
      <c r="X151" s="335">
        <f t="shared" si="11"/>
        <v>2.3728518102199836E-3</v>
      </c>
    </row>
    <row r="152" spans="2:24">
      <c r="B152" s="332">
        <v>44834</v>
      </c>
      <c r="C152" s="333">
        <v>3585.6241035486801</v>
      </c>
      <c r="D152" s="335">
        <f t="shared" si="6"/>
        <v>-9.3394435089137084E-2</v>
      </c>
      <c r="F152" s="332">
        <v>44834</v>
      </c>
      <c r="G152" s="333">
        <v>148.47</v>
      </c>
      <c r="H152" s="335">
        <f t="shared" si="7"/>
        <v>-0.29571652198662302</v>
      </c>
      <c r="J152" s="17">
        <v>44834</v>
      </c>
      <c r="K152" s="333">
        <v>30.481809999999999</v>
      </c>
      <c r="L152" s="335">
        <f t="shared" si="8"/>
        <v>-0.16709529929724282</v>
      </c>
      <c r="M152" s="335"/>
      <c r="N152" s="17">
        <v>44834</v>
      </c>
      <c r="O152" s="18">
        <v>88.31</v>
      </c>
      <c r="P152" s="340">
        <f t="shared" si="9"/>
        <v>-0.1417047332102245</v>
      </c>
      <c r="Q152" s="335"/>
      <c r="R152" s="17">
        <v>44865</v>
      </c>
      <c r="S152" s="18">
        <v>137.30000000000001</v>
      </c>
      <c r="T152" s="335">
        <f t="shared" si="10"/>
        <v>0.10383084777103353</v>
      </c>
      <c r="V152" s="17">
        <v>44834</v>
      </c>
      <c r="W152" s="333">
        <v>90.979225</v>
      </c>
      <c r="X152" s="335">
        <f t="shared" si="11"/>
        <v>-9.0693774177702011E-2</v>
      </c>
    </row>
    <row r="153" spans="2:24">
      <c r="B153" s="332">
        <v>44865</v>
      </c>
      <c r="C153" s="333">
        <v>3871.9772214167401</v>
      </c>
      <c r="D153" s="335">
        <f t="shared" si="6"/>
        <v>7.9861443809644564E-2</v>
      </c>
      <c r="F153" s="332">
        <v>44865</v>
      </c>
      <c r="G153" s="333">
        <v>160.28</v>
      </c>
      <c r="H153" s="335">
        <f t="shared" si="7"/>
        <v>7.954468916279385E-2</v>
      </c>
      <c r="J153" s="17">
        <v>44865</v>
      </c>
      <c r="K153" s="333">
        <v>35.49165</v>
      </c>
      <c r="L153" s="335">
        <f t="shared" si="8"/>
        <v>0.16435506946601927</v>
      </c>
      <c r="M153" s="335"/>
      <c r="N153" s="17">
        <v>44865</v>
      </c>
      <c r="O153" s="18">
        <v>97.85</v>
      </c>
      <c r="P153" s="340">
        <f t="shared" si="9"/>
        <v>0.10802853583965566</v>
      </c>
      <c r="Q153" s="335"/>
      <c r="R153" s="17">
        <v>44895</v>
      </c>
      <c r="S153" s="18">
        <v>151.30500000000001</v>
      </c>
      <c r="T153" s="335">
        <f t="shared" si="10"/>
        <v>0.10200291332847775</v>
      </c>
      <c r="V153" s="17">
        <v>44865</v>
      </c>
      <c r="W153" s="333">
        <v>90.913086000000007</v>
      </c>
      <c r="X153" s="335">
        <f t="shared" si="11"/>
        <v>-7.2696816223695709E-4</v>
      </c>
    </row>
    <row r="154" spans="2:24">
      <c r="B154" s="332">
        <v>44895</v>
      </c>
      <c r="C154" s="333">
        <v>4080.1065521792402</v>
      </c>
      <c r="D154" s="335">
        <f t="shared" si="6"/>
        <v>5.3752726026199724E-2</v>
      </c>
      <c r="F154" s="332">
        <v>44895</v>
      </c>
      <c r="G154" s="333">
        <v>182.22</v>
      </c>
      <c r="H154" s="335">
        <f t="shared" si="7"/>
        <v>0.13688545046169204</v>
      </c>
      <c r="J154" s="17">
        <v>44895</v>
      </c>
      <c r="K154" s="333">
        <v>38.951664000000001</v>
      </c>
      <c r="L154" s="335">
        <f t="shared" si="8"/>
        <v>9.7488113401321186E-2</v>
      </c>
      <c r="M154" s="335"/>
      <c r="N154" s="17">
        <v>44895</v>
      </c>
      <c r="O154" s="18">
        <v>116.06</v>
      </c>
      <c r="P154" s="340">
        <f t="shared" si="9"/>
        <v>0.18610117526826786</v>
      </c>
      <c r="Q154" s="335"/>
      <c r="R154" s="17">
        <v>44925</v>
      </c>
      <c r="S154" s="18">
        <v>141.88999999999999</v>
      </c>
      <c r="T154" s="335">
        <f t="shared" si="10"/>
        <v>-6.222530650011579E-2</v>
      </c>
      <c r="V154" s="17">
        <v>44895</v>
      </c>
      <c r="W154" s="333">
        <v>107.69344</v>
      </c>
      <c r="X154" s="335">
        <f t="shared" si="11"/>
        <v>0.18457578263265628</v>
      </c>
    </row>
    <row r="155" spans="2:24">
      <c r="B155" s="332">
        <v>44925</v>
      </c>
      <c r="C155" s="333">
        <v>3839.4965866768098</v>
      </c>
      <c r="D155" s="335">
        <f t="shared" si="6"/>
        <v>-5.8971490676859258E-2</v>
      </c>
      <c r="F155" s="332">
        <v>44925</v>
      </c>
      <c r="G155" s="333">
        <v>173.2</v>
      </c>
      <c r="H155" s="335">
        <f t="shared" si="7"/>
        <v>-4.9500603665898424E-2</v>
      </c>
      <c r="J155" s="17">
        <v>44925</v>
      </c>
      <c r="K155" s="333">
        <v>37.545853000000001</v>
      </c>
      <c r="L155" s="335">
        <f t="shared" si="8"/>
        <v>-3.6091166734237588E-2</v>
      </c>
      <c r="M155" s="335"/>
      <c r="N155" s="17">
        <v>44925</v>
      </c>
      <c r="O155" s="18">
        <v>103.92</v>
      </c>
      <c r="P155" s="340">
        <f t="shared" si="9"/>
        <v>-0.10460106841288989</v>
      </c>
      <c r="Q155" s="335"/>
      <c r="R155" s="17">
        <v>44957</v>
      </c>
      <c r="S155" s="18">
        <v>166.62</v>
      </c>
      <c r="T155" s="335">
        <f t="shared" si="10"/>
        <v>0.1742899429135247</v>
      </c>
      <c r="V155" s="17">
        <v>44925</v>
      </c>
      <c r="W155" s="333">
        <v>100.08488</v>
      </c>
      <c r="X155" s="335">
        <f t="shared" si="11"/>
        <v>-7.0650171449625876E-2</v>
      </c>
    </row>
    <row r="156" spans="2:24">
      <c r="B156" s="332">
        <v>44957</v>
      </c>
      <c r="C156" s="333">
        <v>4076.6038194027801</v>
      </c>
      <c r="D156" s="335">
        <f t="shared" si="6"/>
        <v>6.1754771067837617E-2</v>
      </c>
      <c r="F156" s="332">
        <v>44957</v>
      </c>
      <c r="G156" s="333">
        <v>193.86</v>
      </c>
      <c r="H156" s="335">
        <f t="shared" si="7"/>
        <v>0.11928406466512717</v>
      </c>
      <c r="J156" s="17">
        <v>44957</v>
      </c>
      <c r="K156" s="333">
        <v>42.768650000000001</v>
      </c>
      <c r="L156" s="335">
        <f t="shared" si="8"/>
        <v>0.13910449710651132</v>
      </c>
      <c r="M156" s="335"/>
      <c r="N156" s="17">
        <v>44957</v>
      </c>
      <c r="O156" s="18">
        <v>108.15</v>
      </c>
      <c r="P156" s="340">
        <f t="shared" si="9"/>
        <v>4.0704387990762161E-2</v>
      </c>
      <c r="Q156" s="335"/>
      <c r="R156" s="17">
        <v>44985</v>
      </c>
      <c r="S156" s="18">
        <v>169.63</v>
      </c>
      <c r="T156" s="335">
        <f t="shared" si="10"/>
        <v>1.8065058216300511E-2</v>
      </c>
      <c r="V156" s="17">
        <v>44957</v>
      </c>
      <c r="W156" s="333">
        <v>111.05782000000001</v>
      </c>
      <c r="X156" s="335">
        <f t="shared" si="11"/>
        <v>0.10963634067403596</v>
      </c>
    </row>
    <row r="157" spans="2:24">
      <c r="B157" s="332">
        <v>44985</v>
      </c>
      <c r="C157" s="333">
        <v>3970.15344248664</v>
      </c>
      <c r="D157" s="335">
        <f t="shared" si="6"/>
        <v>-2.6112514640123912E-2</v>
      </c>
      <c r="F157" s="332">
        <v>44985</v>
      </c>
      <c r="G157" s="333">
        <v>203.22</v>
      </c>
      <c r="H157" s="335">
        <f t="shared" si="7"/>
        <v>4.8282265552460457E-2</v>
      </c>
      <c r="J157" s="17">
        <v>44985</v>
      </c>
      <c r="K157" s="333">
        <v>42.547260000000001</v>
      </c>
      <c r="L157" s="335">
        <f t="shared" si="8"/>
        <v>-5.1764551838788348E-3</v>
      </c>
      <c r="M157" s="335"/>
      <c r="N157" s="17">
        <v>44985</v>
      </c>
      <c r="O157" s="18">
        <v>104.56</v>
      </c>
      <c r="P157" s="340">
        <f t="shared" si="9"/>
        <v>-3.3194637078132257E-2</v>
      </c>
      <c r="Q157" s="335"/>
      <c r="R157" s="17">
        <v>45016</v>
      </c>
      <c r="S157" s="18">
        <v>170.42</v>
      </c>
      <c r="T157" s="335">
        <f t="shared" si="10"/>
        <v>4.6571950716264342E-3</v>
      </c>
      <c r="V157" s="17">
        <v>44985</v>
      </c>
      <c r="W157" s="333">
        <v>122.30343000000001</v>
      </c>
      <c r="X157" s="335">
        <f t="shared" si="11"/>
        <v>0.10125905586837558</v>
      </c>
    </row>
    <row r="158" spans="2:24">
      <c r="B158" s="332">
        <v>45016</v>
      </c>
      <c r="C158" s="333">
        <v>4109.3124446214697</v>
      </c>
      <c r="D158" s="335">
        <f t="shared" si="6"/>
        <v>3.5051290624089779E-2</v>
      </c>
      <c r="F158" s="332">
        <v>45016</v>
      </c>
      <c r="G158" s="333">
        <v>228.49</v>
      </c>
      <c r="H158" s="335">
        <f t="shared" si="7"/>
        <v>0.12434799724436577</v>
      </c>
      <c r="J158" s="17">
        <v>45016</v>
      </c>
      <c r="K158" s="333">
        <v>46.815130000000003</v>
      </c>
      <c r="L158" s="335">
        <f t="shared" si="8"/>
        <v>0.10030892706134313</v>
      </c>
      <c r="M158" s="335"/>
      <c r="N158" s="17">
        <v>45016</v>
      </c>
      <c r="O158" s="18">
        <v>110.12</v>
      </c>
      <c r="P158" s="340">
        <f t="shared" si="9"/>
        <v>5.3175210405508821E-2</v>
      </c>
      <c r="Q158" s="335"/>
      <c r="R158" s="17">
        <v>45044</v>
      </c>
      <c r="S158" s="18">
        <v>160.19499999999999</v>
      </c>
      <c r="T158" s="335">
        <f t="shared" si="10"/>
        <v>-5.9998826428822878E-2</v>
      </c>
      <c r="V158" s="17">
        <v>45016</v>
      </c>
      <c r="W158" s="333">
        <v>119.16356</v>
      </c>
      <c r="X158" s="335">
        <f t="shared" si="11"/>
        <v>-2.5672787754194643E-2</v>
      </c>
    </row>
    <row r="159" spans="2:24">
      <c r="B159" s="332">
        <v>45044</v>
      </c>
      <c r="C159" s="333">
        <v>4169.4814006359802</v>
      </c>
      <c r="D159" s="335">
        <f t="shared" si="6"/>
        <v>1.4642098118692212E-2</v>
      </c>
      <c r="F159" s="332">
        <v>45044</v>
      </c>
      <c r="G159" s="333">
        <v>227.78</v>
      </c>
      <c r="H159" s="335">
        <f t="shared" si="7"/>
        <v>-3.1073569959298346E-3</v>
      </c>
      <c r="J159" s="17">
        <v>45044</v>
      </c>
      <c r="K159" s="333">
        <v>48.046080000000003</v>
      </c>
      <c r="L159" s="335">
        <f t="shared" si="8"/>
        <v>2.6293849872893654E-2</v>
      </c>
      <c r="M159" s="335"/>
      <c r="N159" s="17">
        <v>45044</v>
      </c>
      <c r="O159" s="18">
        <v>113.84</v>
      </c>
      <c r="P159" s="340">
        <f t="shared" si="9"/>
        <v>3.3781329458772234E-2</v>
      </c>
      <c r="Q159" s="335"/>
      <c r="R159" s="17">
        <v>45077</v>
      </c>
      <c r="S159" s="18">
        <v>155.22</v>
      </c>
      <c r="T159" s="335">
        <f t="shared" si="10"/>
        <v>-3.1055900621117977E-2</v>
      </c>
      <c r="V159" s="17">
        <v>45044</v>
      </c>
      <c r="W159" s="333">
        <v>107.66055</v>
      </c>
      <c r="X159" s="335">
        <f t="shared" si="11"/>
        <v>-9.6531271808260877E-2</v>
      </c>
    </row>
    <row r="160" spans="2:24">
      <c r="B160" s="332">
        <v>45077</v>
      </c>
      <c r="C160" s="333">
        <v>4179.8254616673503</v>
      </c>
      <c r="D160" s="335">
        <f t="shared" si="6"/>
        <v>2.4808987107586742E-3</v>
      </c>
      <c r="F160" s="332">
        <v>45077</v>
      </c>
      <c r="G160" s="333">
        <v>217.98</v>
      </c>
      <c r="H160" s="335">
        <f t="shared" si="7"/>
        <v>-4.3023970497848854E-2</v>
      </c>
      <c r="J160" s="17">
        <v>45077</v>
      </c>
      <c r="K160" s="333">
        <v>44.829506000000002</v>
      </c>
      <c r="L160" s="335">
        <f t="shared" si="8"/>
        <v>-6.6947688552323123E-2</v>
      </c>
      <c r="M160" s="335"/>
      <c r="N160" s="17">
        <v>45077</v>
      </c>
      <c r="O160" s="18">
        <v>110.31</v>
      </c>
      <c r="P160" s="340">
        <f t="shared" si="9"/>
        <v>-3.1008432888264239E-2</v>
      </c>
      <c r="Q160" s="335"/>
      <c r="R160" s="17">
        <v>45107</v>
      </c>
      <c r="S160" s="18">
        <v>184.875</v>
      </c>
      <c r="T160" s="335">
        <f t="shared" si="10"/>
        <v>0.19105141090065714</v>
      </c>
      <c r="V160" s="17">
        <v>45077</v>
      </c>
      <c r="W160" s="333">
        <v>105.2012</v>
      </c>
      <c r="X160" s="335">
        <f t="shared" si="11"/>
        <v>-2.284355783060741E-2</v>
      </c>
    </row>
    <row r="161" spans="2:24">
      <c r="B161" s="332">
        <v>45107</v>
      </c>
      <c r="C161" s="333">
        <v>4450.3813118092103</v>
      </c>
      <c r="D161" s="335">
        <f t="shared" si="6"/>
        <v>6.4728982734588658E-2</v>
      </c>
      <c r="F161" s="332">
        <v>45107</v>
      </c>
      <c r="G161" s="333">
        <v>247.9</v>
      </c>
      <c r="H161" s="335">
        <f t="shared" si="7"/>
        <v>0.13726029911001017</v>
      </c>
      <c r="J161" s="17">
        <v>45107</v>
      </c>
      <c r="K161" s="333">
        <v>48.800434000000003</v>
      </c>
      <c r="L161" s="335">
        <f t="shared" si="8"/>
        <v>8.8578446525821641E-2</v>
      </c>
      <c r="M161" s="335"/>
      <c r="N161" s="17">
        <v>45107</v>
      </c>
      <c r="O161" s="18">
        <v>121.13</v>
      </c>
      <c r="P161" s="340">
        <f t="shared" si="9"/>
        <v>9.8087208775269635E-2</v>
      </c>
      <c r="Q161" s="335"/>
      <c r="R161" s="17">
        <v>45138</v>
      </c>
      <c r="S161" s="18">
        <v>209.745</v>
      </c>
      <c r="T161" s="335">
        <f t="shared" si="10"/>
        <v>0.13452332657200813</v>
      </c>
      <c r="V161" s="17">
        <v>45107</v>
      </c>
      <c r="W161" s="333">
        <v>114.06007</v>
      </c>
      <c r="X161" s="335">
        <f t="shared" si="11"/>
        <v>8.4208830317524852E-2</v>
      </c>
    </row>
    <row r="162" spans="2:24">
      <c r="B162" s="332">
        <v>45138</v>
      </c>
      <c r="C162" s="333">
        <v>4588.9611384978498</v>
      </c>
      <c r="D162" s="335">
        <f t="shared" si="6"/>
        <v>3.1138865858733069E-2</v>
      </c>
      <c r="F162" s="332">
        <v>45138</v>
      </c>
      <c r="G162" s="333">
        <v>269.95</v>
      </c>
      <c r="H162" s="335">
        <f t="shared" si="7"/>
        <v>8.8947156111335149E-2</v>
      </c>
      <c r="J162" s="17">
        <v>45138</v>
      </c>
      <c r="K162" s="333">
        <v>51.511139999999997</v>
      </c>
      <c r="L162" s="335">
        <f t="shared" si="8"/>
        <v>5.5546760096436734E-2</v>
      </c>
      <c r="M162" s="335"/>
      <c r="N162" s="17">
        <v>45138</v>
      </c>
      <c r="O162" s="18">
        <v>127.3</v>
      </c>
      <c r="P162" s="340">
        <f t="shared" si="9"/>
        <v>5.0937009824155881E-2</v>
      </c>
      <c r="Q162" s="335"/>
      <c r="R162" s="17">
        <v>45169</v>
      </c>
      <c r="S162" s="18">
        <v>213.685</v>
      </c>
      <c r="T162" s="335">
        <f t="shared" si="10"/>
        <v>1.8784714772700172E-2</v>
      </c>
      <c r="V162" s="17">
        <v>45138</v>
      </c>
      <c r="W162" s="333">
        <v>128.58499</v>
      </c>
      <c r="X162" s="335">
        <f t="shared" si="11"/>
        <v>0.12734447734426263</v>
      </c>
    </row>
    <row r="163" spans="2:24">
      <c r="B163" s="332">
        <v>45169</v>
      </c>
      <c r="C163" s="333">
        <v>4507.66179195929</v>
      </c>
      <c r="D163" s="335">
        <f t="shared" si="6"/>
        <v>-1.7716285687521059E-2</v>
      </c>
      <c r="F163" s="332">
        <v>45169</v>
      </c>
      <c r="G163" s="333">
        <v>261.02</v>
      </c>
      <c r="H163" s="335">
        <f t="shared" si="7"/>
        <v>-3.3080200037043921E-2</v>
      </c>
      <c r="J163" s="17">
        <v>45169</v>
      </c>
      <c r="K163" s="333">
        <v>46.762306000000002</v>
      </c>
      <c r="L163" s="335">
        <f t="shared" si="8"/>
        <v>-9.2190427158086494E-2</v>
      </c>
      <c r="M163" s="335"/>
      <c r="N163" s="17">
        <v>45169</v>
      </c>
      <c r="O163" s="18">
        <v>116.71</v>
      </c>
      <c r="P163" s="340">
        <f t="shared" si="9"/>
        <v>-8.318931657501967E-2</v>
      </c>
      <c r="Q163" s="335"/>
      <c r="R163" s="17">
        <v>45198</v>
      </c>
      <c r="S163" s="18">
        <v>204.57</v>
      </c>
      <c r="T163" s="335">
        <f t="shared" si="10"/>
        <v>-4.2656246343917494E-2</v>
      </c>
      <c r="V163" s="17">
        <v>45169</v>
      </c>
      <c r="W163" s="333">
        <v>136.08780999999999</v>
      </c>
      <c r="X163" s="335">
        <f t="shared" si="11"/>
        <v>5.8349112131983565E-2</v>
      </c>
    </row>
    <row r="164" spans="2:24">
      <c r="B164" s="332">
        <v>45198</v>
      </c>
      <c r="C164" s="333">
        <v>4288.05412263992</v>
      </c>
      <c r="D164" s="335">
        <f t="shared" si="6"/>
        <v>-4.8718754745776034E-2</v>
      </c>
      <c r="F164" s="332">
        <v>45198</v>
      </c>
      <c r="G164" s="333">
        <v>264.92</v>
      </c>
      <c r="H164" s="335">
        <f t="shared" si="7"/>
        <v>1.494138380200764E-2</v>
      </c>
      <c r="J164" s="17">
        <v>45198</v>
      </c>
      <c r="K164" s="333">
        <v>40.798926999999999</v>
      </c>
      <c r="L164" s="335">
        <f t="shared" si="8"/>
        <v>-0.12752534060232193</v>
      </c>
      <c r="M164" s="335"/>
      <c r="N164" s="17">
        <v>45198</v>
      </c>
      <c r="O164" s="18">
        <v>114.63</v>
      </c>
      <c r="P164" s="340">
        <f t="shared" si="9"/>
        <v>-1.7821951846457018E-2</v>
      </c>
      <c r="Q164" s="335"/>
      <c r="R164" s="17">
        <v>45230</v>
      </c>
      <c r="S164" s="18">
        <v>188.33</v>
      </c>
      <c r="T164" s="335">
        <f t="shared" si="10"/>
        <v>-7.9386029232047614E-2</v>
      </c>
      <c r="V164" s="17">
        <v>45198</v>
      </c>
      <c r="W164" s="333">
        <v>129.02367000000001</v>
      </c>
      <c r="X164" s="335">
        <f t="shared" si="11"/>
        <v>-5.1908690425688978E-2</v>
      </c>
    </row>
    <row r="165" spans="2:24">
      <c r="B165" s="332">
        <v>45230</v>
      </c>
      <c r="C165" s="333">
        <v>4193.8009552474696</v>
      </c>
      <c r="D165" s="335">
        <f t="shared" si="6"/>
        <v>-2.1980405260002629E-2</v>
      </c>
      <c r="F165" s="332">
        <v>45230</v>
      </c>
      <c r="G165" s="333">
        <v>240.1</v>
      </c>
      <c r="H165" s="335">
        <f t="shared" si="7"/>
        <v>-9.3688660727766951E-2</v>
      </c>
      <c r="J165" s="17">
        <v>45230</v>
      </c>
      <c r="K165" s="333">
        <v>38.855319999999999</v>
      </c>
      <c r="L165" s="335">
        <f t="shared" si="8"/>
        <v>-4.7638679321149797E-2</v>
      </c>
      <c r="M165" s="335"/>
      <c r="N165" s="17">
        <v>45230</v>
      </c>
      <c r="O165" s="18">
        <v>109.25</v>
      </c>
      <c r="P165" s="340">
        <f t="shared" si="9"/>
        <v>-4.6933612492366709E-2</v>
      </c>
      <c r="Q165" s="335"/>
      <c r="R165" s="17">
        <v>45260</v>
      </c>
      <c r="S165" s="18">
        <v>194.53</v>
      </c>
      <c r="T165" s="335">
        <f t="shared" si="10"/>
        <v>3.292093665374602E-2</v>
      </c>
      <c r="V165" s="17">
        <v>45230</v>
      </c>
      <c r="W165" s="333">
        <v>110.506035</v>
      </c>
      <c r="X165" s="335">
        <f t="shared" si="11"/>
        <v>-0.14352122366384409</v>
      </c>
    </row>
    <row r="166" spans="2:24">
      <c r="B166" s="332">
        <v>45260</v>
      </c>
      <c r="C166" s="333">
        <v>4567.7986422755303</v>
      </c>
      <c r="D166" s="335">
        <f t="shared" si="6"/>
        <v>8.9178692794205747E-2</v>
      </c>
      <c r="F166" s="332">
        <v>45260</v>
      </c>
      <c r="G166" s="333">
        <v>258.83</v>
      </c>
      <c r="H166" s="335">
        <f t="shared" si="7"/>
        <v>7.8009162848812957E-2</v>
      </c>
      <c r="J166" s="17">
        <v>45260</v>
      </c>
      <c r="K166" s="333">
        <v>46.960945000000002</v>
      </c>
      <c r="L166" s="335">
        <f t="shared" si="8"/>
        <v>0.2086104296657447</v>
      </c>
      <c r="M166" s="335"/>
      <c r="N166" s="17">
        <v>45260</v>
      </c>
      <c r="O166" s="18">
        <v>120.34</v>
      </c>
      <c r="P166" s="340">
        <f t="shared" si="9"/>
        <v>0.10151029748283756</v>
      </c>
      <c r="Q166" s="335"/>
      <c r="R166" s="17">
        <v>45289</v>
      </c>
      <c r="S166" s="18">
        <v>202.66499999999999</v>
      </c>
      <c r="T166" s="335">
        <f t="shared" si="10"/>
        <v>4.1818742610394234E-2</v>
      </c>
      <c r="V166" s="17">
        <v>45260</v>
      </c>
      <c r="W166" s="333">
        <v>118.42018</v>
      </c>
      <c r="X166" s="335">
        <f t="shared" si="11"/>
        <v>7.1617310312509216E-2</v>
      </c>
    </row>
    <row r="167" spans="2:24">
      <c r="B167" s="332">
        <v>45289</v>
      </c>
      <c r="C167" s="333">
        <v>4769.8294107906704</v>
      </c>
      <c r="D167" s="335">
        <f t="shared" si="6"/>
        <v>4.4229350796097029E-2</v>
      </c>
      <c r="F167" s="332">
        <v>45289</v>
      </c>
      <c r="G167" s="333">
        <v>252.97</v>
      </c>
      <c r="H167" s="335">
        <f t="shared" si="7"/>
        <v>-2.2640343082331978E-2</v>
      </c>
      <c r="J167" s="17">
        <v>45289</v>
      </c>
      <c r="K167" s="333">
        <v>49.549075999999999</v>
      </c>
      <c r="L167" s="335">
        <f t="shared" si="8"/>
        <v>5.5112413091346374E-2</v>
      </c>
      <c r="M167" s="335"/>
      <c r="N167" s="17">
        <v>45289</v>
      </c>
      <c r="O167" s="18">
        <v>127.2</v>
      </c>
      <c r="P167" s="340">
        <f t="shared" si="9"/>
        <v>5.7005152069137435E-2</v>
      </c>
      <c r="Q167" s="335"/>
      <c r="R167" s="17">
        <v>45322</v>
      </c>
      <c r="S167" s="18">
        <v>195.51</v>
      </c>
      <c r="T167" s="335">
        <f t="shared" si="10"/>
        <v>-3.5304566649396796E-2</v>
      </c>
      <c r="V167" s="17">
        <v>45289</v>
      </c>
      <c r="W167" s="333">
        <v>136.69042999999999</v>
      </c>
      <c r="X167" s="335">
        <f t="shared" si="11"/>
        <v>0.15428324800722301</v>
      </c>
    </row>
    <row r="168" spans="2:24">
      <c r="B168" s="332">
        <v>45322</v>
      </c>
      <c r="C168" s="333">
        <v>4845.6471757314503</v>
      </c>
      <c r="D168" s="335">
        <f t="shared" si="6"/>
        <v>1.5895278093019247E-2</v>
      </c>
      <c r="F168" s="332">
        <v>45322</v>
      </c>
      <c r="G168" s="333">
        <v>241.29</v>
      </c>
      <c r="H168" s="335">
        <f t="shared" si="7"/>
        <v>-4.6171482784519928E-2</v>
      </c>
      <c r="J168" s="17">
        <v>45322</v>
      </c>
      <c r="K168" s="333">
        <v>48.359856000000001</v>
      </c>
      <c r="L168" s="335">
        <f t="shared" si="8"/>
        <v>-2.4000851196498574E-2</v>
      </c>
      <c r="M168" s="335"/>
      <c r="N168" s="17">
        <v>45322</v>
      </c>
      <c r="O168" s="18">
        <v>126.33</v>
      </c>
      <c r="P168" s="340">
        <f t="shared" si="9"/>
        <v>-6.8396226415094697E-3</v>
      </c>
      <c r="Q168" s="335"/>
      <c r="R168" s="17">
        <v>45351</v>
      </c>
      <c r="S168" s="18">
        <v>221.24</v>
      </c>
      <c r="T168" s="335">
        <f t="shared" si="10"/>
        <v>0.13160452150785135</v>
      </c>
      <c r="V168" s="17">
        <v>45322</v>
      </c>
      <c r="W168" s="333">
        <v>132.24805000000001</v>
      </c>
      <c r="X168" s="335">
        <f t="shared" si="11"/>
        <v>-3.2499568550629229E-2</v>
      </c>
    </row>
    <row r="169" spans="2:24">
      <c r="B169" s="332">
        <v>45351</v>
      </c>
      <c r="C169" s="333">
        <v>5096.2694998622401</v>
      </c>
      <c r="D169" s="335">
        <f t="shared" si="6"/>
        <v>5.1721125175185373E-2</v>
      </c>
      <c r="F169" s="332">
        <v>45351</v>
      </c>
      <c r="G169" s="333">
        <v>248.97</v>
      </c>
      <c r="H169" s="335">
        <f t="shared" si="7"/>
        <v>3.1828919557379119E-2</v>
      </c>
      <c r="J169" s="17">
        <v>45351</v>
      </c>
      <c r="K169" s="333">
        <v>46.435054999999998</v>
      </c>
      <c r="L169" s="335">
        <f t="shared" si="8"/>
        <v>-3.9801628028007408E-2</v>
      </c>
      <c r="M169" s="335"/>
      <c r="N169" s="17">
        <v>45351</v>
      </c>
      <c r="O169" s="18">
        <v>119.6</v>
      </c>
      <c r="P169" s="340">
        <f t="shared" si="9"/>
        <v>-5.3273173434655298E-2</v>
      </c>
      <c r="Q169" s="335"/>
      <c r="R169" s="17">
        <v>45379</v>
      </c>
      <c r="S169" s="18">
        <v>219.31</v>
      </c>
      <c r="T169" s="335">
        <f t="shared" si="10"/>
        <v>-8.7235581269210216E-3</v>
      </c>
      <c r="V169" s="17">
        <v>45351</v>
      </c>
      <c r="W169" s="333">
        <v>147.83795000000001</v>
      </c>
      <c r="X169" s="335">
        <f t="shared" si="11"/>
        <v>0.11788377976083579</v>
      </c>
    </row>
    <row r="170" spans="2:24">
      <c r="B170" s="332">
        <v>45379</v>
      </c>
      <c r="C170" s="333">
        <v>5254.3544012624097</v>
      </c>
      <c r="D170" s="335">
        <f t="shared" si="6"/>
        <v>3.1019729510859448E-2</v>
      </c>
      <c r="F170" s="332">
        <v>45379</v>
      </c>
      <c r="G170" s="333">
        <v>289.74</v>
      </c>
      <c r="H170" s="335">
        <f t="shared" si="7"/>
        <v>0.16375466923725754</v>
      </c>
      <c r="J170" s="17">
        <v>45379</v>
      </c>
      <c r="K170" s="333">
        <v>43.108204000000001</v>
      </c>
      <c r="L170" s="335">
        <f t="shared" si="8"/>
        <v>-7.164524732446205E-2</v>
      </c>
      <c r="M170" s="335"/>
      <c r="N170" s="17">
        <v>45379</v>
      </c>
      <c r="O170" s="18">
        <v>121.57</v>
      </c>
      <c r="P170" s="340">
        <f t="shared" si="9"/>
        <v>1.6471571906354506E-2</v>
      </c>
      <c r="Q170" s="335"/>
      <c r="R170" s="17">
        <v>45412</v>
      </c>
      <c r="S170" s="18">
        <v>181.71</v>
      </c>
      <c r="T170" s="335">
        <f t="shared" si="10"/>
        <v>-0.1714468104509598</v>
      </c>
      <c r="V170" s="17">
        <v>45379</v>
      </c>
      <c r="W170" s="333">
        <v>159.61573999999999</v>
      </c>
      <c r="X170" s="335">
        <f t="shared" si="11"/>
        <v>7.9666892026032429E-2</v>
      </c>
    </row>
    <row r="171" spans="2:24">
      <c r="B171" s="332">
        <v>45412</v>
      </c>
      <c r="C171" s="333">
        <v>5035.6916784595196</v>
      </c>
      <c r="D171" s="335">
        <f t="shared" si="6"/>
        <v>-4.1615526114940835E-2</v>
      </c>
      <c r="F171" s="332">
        <v>45412</v>
      </c>
      <c r="G171" s="333">
        <v>261.77999999999997</v>
      </c>
      <c r="H171" s="335">
        <f t="shared" si="7"/>
        <v>-9.6500310623317584E-2</v>
      </c>
      <c r="J171" s="17">
        <v>45412</v>
      </c>
      <c r="K171" s="333">
        <v>41.978755999999997</v>
      </c>
      <c r="L171" s="335">
        <f t="shared" si="8"/>
        <v>-2.62003028472261E-2</v>
      </c>
      <c r="M171" s="335"/>
      <c r="N171" s="17">
        <v>45412</v>
      </c>
      <c r="O171" s="18">
        <v>111.31</v>
      </c>
      <c r="P171" s="340">
        <f t="shared" si="9"/>
        <v>-8.4395821337500954E-2</v>
      </c>
      <c r="Q171" s="335"/>
      <c r="R171" s="17">
        <v>45443</v>
      </c>
      <c r="S171" s="18">
        <v>175.25</v>
      </c>
      <c r="T171" s="335">
        <f t="shared" si="10"/>
        <v>-3.5551152935996963E-2</v>
      </c>
      <c r="V171" s="17">
        <v>45412</v>
      </c>
      <c r="W171" s="333">
        <v>130.49459999999999</v>
      </c>
      <c r="X171" s="335">
        <f t="shared" si="11"/>
        <v>-0.18244529017000452</v>
      </c>
    </row>
    <row r="172" spans="2:24">
      <c r="B172" s="332">
        <v>45443</v>
      </c>
      <c r="C172" s="333">
        <v>5277.5073452655797</v>
      </c>
      <c r="D172" s="335">
        <f t="shared" si="6"/>
        <v>4.8020347997166202E-2</v>
      </c>
      <c r="F172" s="332">
        <v>45443</v>
      </c>
      <c r="G172" s="333">
        <v>253.96</v>
      </c>
      <c r="H172" s="335">
        <f t="shared" si="7"/>
        <v>-2.9872411948964648E-2</v>
      </c>
      <c r="J172" s="17">
        <v>45443</v>
      </c>
      <c r="K172" s="333">
        <v>41.969299999999997</v>
      </c>
      <c r="L172" s="335">
        <f t="shared" si="8"/>
        <v>-2.2525679417465663E-4</v>
      </c>
      <c r="M172" s="335"/>
      <c r="N172" s="17">
        <v>45443</v>
      </c>
      <c r="O172" s="18">
        <v>120.9</v>
      </c>
      <c r="P172" s="340">
        <f t="shared" si="9"/>
        <v>8.6155781151738414E-2</v>
      </c>
      <c r="Q172" s="335"/>
      <c r="R172" s="17">
        <v>45471</v>
      </c>
      <c r="S172" s="18">
        <v>176.6</v>
      </c>
      <c r="T172" s="335">
        <f t="shared" si="10"/>
        <v>7.7032810271041047E-3</v>
      </c>
      <c r="V172" s="17">
        <v>45443</v>
      </c>
      <c r="W172" s="333">
        <v>132.29651000000001</v>
      </c>
      <c r="X172" s="335">
        <f t="shared" si="11"/>
        <v>1.380831084198136E-2</v>
      </c>
    </row>
    <row r="173" spans="2:24">
      <c r="B173" s="332">
        <v>45471</v>
      </c>
      <c r="C173" s="333">
        <v>5460.4826211495201</v>
      </c>
      <c r="D173" s="335">
        <f t="shared" si="6"/>
        <v>3.4670776166344217E-2</v>
      </c>
      <c r="F173" s="332">
        <v>45471</v>
      </c>
      <c r="G173" s="333">
        <v>299.83999999999997</v>
      </c>
      <c r="H173" s="335">
        <f t="shared" si="7"/>
        <v>0.18065837139707028</v>
      </c>
      <c r="J173" s="17">
        <v>45471</v>
      </c>
      <c r="K173" s="333">
        <v>40.501434000000003</v>
      </c>
      <c r="L173" s="335">
        <f t="shared" si="8"/>
        <v>-3.4974755356891672E-2</v>
      </c>
      <c r="M173" s="335"/>
      <c r="N173" s="17">
        <v>45471</v>
      </c>
      <c r="O173" s="18">
        <v>124.79</v>
      </c>
      <c r="P173" s="340">
        <f t="shared" si="9"/>
        <v>3.2175351530190244E-2</v>
      </c>
      <c r="Q173" s="335"/>
      <c r="R173" s="17">
        <v>45504</v>
      </c>
      <c r="S173" s="18">
        <v>210.18</v>
      </c>
      <c r="T173" s="335">
        <f t="shared" si="10"/>
        <v>0.1901472253680635</v>
      </c>
      <c r="V173" s="17">
        <v>45471</v>
      </c>
      <c r="W173" s="333">
        <v>145.16754</v>
      </c>
      <c r="X173" s="335">
        <f t="shared" si="11"/>
        <v>9.7289263337332094E-2</v>
      </c>
    </row>
    <row r="174" spans="2:24">
      <c r="B174" s="332">
        <v>45504</v>
      </c>
      <c r="C174" s="333">
        <v>5522.3018368946596</v>
      </c>
      <c r="D174" s="335">
        <f t="shared" si="6"/>
        <v>1.1321199980694288E-2</v>
      </c>
      <c r="F174" s="332">
        <v>45504</v>
      </c>
      <c r="G174" s="333">
        <v>302.25</v>
      </c>
      <c r="H174" s="335">
        <f t="shared" si="7"/>
        <v>8.037620064034235E-3</v>
      </c>
      <c r="J174" s="17">
        <v>45504</v>
      </c>
      <c r="K174" s="333">
        <v>44.636626999999997</v>
      </c>
      <c r="L174" s="335">
        <f t="shared" si="8"/>
        <v>0.10209991577088341</v>
      </c>
      <c r="M174" s="335"/>
      <c r="N174" s="17">
        <v>45504</v>
      </c>
      <c r="O174" s="18">
        <v>124.82</v>
      </c>
      <c r="P174" s="340">
        <f t="shared" si="9"/>
        <v>2.4040387851580194E-4</v>
      </c>
      <c r="Q174" s="335"/>
      <c r="R174" s="17">
        <v>45534</v>
      </c>
      <c r="S174" s="18">
        <v>192.8</v>
      </c>
      <c r="T174" s="335">
        <f t="shared" si="10"/>
        <v>-8.269102673898561E-2</v>
      </c>
      <c r="V174" s="17">
        <v>45504</v>
      </c>
      <c r="W174" s="333">
        <v>155.56842</v>
      </c>
      <c r="X174" s="335">
        <f t="shared" si="11"/>
        <v>7.1647422006324554E-2</v>
      </c>
    </row>
    <row r="175" spans="2:24">
      <c r="B175" s="332">
        <v>45534</v>
      </c>
      <c r="C175" s="333">
        <v>5648.3972363167604</v>
      </c>
      <c r="D175" s="335">
        <f t="shared" si="6"/>
        <v>2.2833847758855521E-2</v>
      </c>
      <c r="F175" s="332">
        <v>45534</v>
      </c>
      <c r="G175" s="333">
        <v>298.77</v>
      </c>
      <c r="H175" s="335">
        <f t="shared" si="7"/>
        <v>-1.1513647642679961E-2</v>
      </c>
      <c r="J175" s="17">
        <v>45534</v>
      </c>
      <c r="K175" s="333">
        <v>43.390476</v>
      </c>
      <c r="L175" s="335">
        <f t="shared" si="8"/>
        <v>-2.7917678457200577E-2</v>
      </c>
      <c r="M175" s="335"/>
      <c r="N175" s="17">
        <v>45534</v>
      </c>
      <c r="O175" s="18">
        <v>123.41</v>
      </c>
      <c r="P175" s="340">
        <f t="shared" si="9"/>
        <v>-1.1296266623938445E-2</v>
      </c>
      <c r="Q175" s="335"/>
      <c r="R175" s="17">
        <v>45565</v>
      </c>
      <c r="S175" s="18">
        <v>198.64</v>
      </c>
      <c r="T175" s="335">
        <f t="shared" si="10"/>
        <v>3.0290456431535138E-2</v>
      </c>
      <c r="V175" s="17">
        <v>45534</v>
      </c>
      <c r="W175" s="333">
        <v>147.98740000000001</v>
      </c>
      <c r="X175" s="335">
        <f t="shared" si="11"/>
        <v>-4.8731098509581794E-2</v>
      </c>
    </row>
    <row r="176" spans="2:24">
      <c r="B176" s="332">
        <v>45565</v>
      </c>
      <c r="C176" s="333">
        <v>5762.4848833691203</v>
      </c>
      <c r="D176" s="335">
        <f t="shared" si="6"/>
        <v>2.0198233636760793E-2</v>
      </c>
      <c r="F176" s="332">
        <v>45565</v>
      </c>
      <c r="G176" s="333">
        <v>273.68</v>
      </c>
      <c r="H176" s="335">
        <f t="shared" si="7"/>
        <v>-8.3977641664156291E-2</v>
      </c>
      <c r="J176" s="17">
        <v>45565</v>
      </c>
      <c r="K176" s="333">
        <v>44.67548</v>
      </c>
      <c r="L176" s="335">
        <f t="shared" si="8"/>
        <v>2.9614885994797585E-2</v>
      </c>
      <c r="M176" s="335"/>
      <c r="N176" s="17">
        <v>45565</v>
      </c>
      <c r="O176" s="18">
        <v>131.4</v>
      </c>
      <c r="P176" s="340">
        <f t="shared" si="9"/>
        <v>6.4743537800826589E-2</v>
      </c>
      <c r="Q176" s="335"/>
      <c r="R176" s="17">
        <v>45596</v>
      </c>
      <c r="S176" s="18">
        <v>201.32</v>
      </c>
      <c r="T176" s="335">
        <f t="shared" si="10"/>
        <v>1.349174385823604E-2</v>
      </c>
      <c r="V176" s="17">
        <v>45565</v>
      </c>
      <c r="W176" s="333">
        <v>137.12573</v>
      </c>
      <c r="X176" s="335">
        <f t="shared" si="11"/>
        <v>-7.33959107329408E-2</v>
      </c>
    </row>
    <row r="177" spans="2:24">
      <c r="B177" s="332">
        <v>45596</v>
      </c>
      <c r="C177" s="333">
        <v>5705.4479206697297</v>
      </c>
      <c r="D177" s="335">
        <f t="shared" si="6"/>
        <v>-9.8979804465956622E-3</v>
      </c>
      <c r="F177" s="332">
        <v>45596</v>
      </c>
      <c r="G177" s="333">
        <v>273.85000000000002</v>
      </c>
      <c r="H177" s="335">
        <f t="shared" si="7"/>
        <v>6.2116340251394295E-4</v>
      </c>
      <c r="J177" s="17">
        <v>45596</v>
      </c>
      <c r="K177" s="333">
        <v>40.093052</v>
      </c>
      <c r="L177" s="335">
        <f t="shared" si="8"/>
        <v>-0.10257143292025066</v>
      </c>
      <c r="M177" s="335"/>
      <c r="N177" s="17">
        <v>45596</v>
      </c>
      <c r="O177" s="18">
        <v>119</v>
      </c>
      <c r="P177" s="340">
        <f t="shared" si="9"/>
        <v>-9.4368340943683446E-2</v>
      </c>
      <c r="Q177" s="335"/>
      <c r="R177" s="17">
        <v>45625</v>
      </c>
      <c r="S177" s="18">
        <v>225.14</v>
      </c>
      <c r="T177" s="335">
        <f t="shared" si="10"/>
        <v>0.11831909397973372</v>
      </c>
      <c r="V177" s="17">
        <v>45596</v>
      </c>
      <c r="W177" s="333">
        <v>133.6705</v>
      </c>
      <c r="X177" s="335">
        <f t="shared" si="11"/>
        <v>-2.5197532220977058E-2</v>
      </c>
    </row>
    <row r="178" spans="2:24">
      <c r="B178" s="332">
        <v>45625</v>
      </c>
      <c r="C178" s="333">
        <v>6032.3844122739201</v>
      </c>
      <c r="D178" s="335">
        <f t="shared" si="6"/>
        <v>5.7302510889594316E-2</v>
      </c>
      <c r="F178" s="332">
        <v>45625</v>
      </c>
      <c r="G178" s="333">
        <v>302.67</v>
      </c>
      <c r="H178" s="335">
        <f t="shared" si="7"/>
        <v>0.10524009494248673</v>
      </c>
      <c r="J178" s="17">
        <v>45625</v>
      </c>
      <c r="K178" s="333">
        <v>36.724074999999999</v>
      </c>
      <c r="L178" s="335">
        <f t="shared" si="8"/>
        <v>-8.4028948457204031E-2</v>
      </c>
      <c r="M178" s="335"/>
      <c r="N178" s="17">
        <v>45625</v>
      </c>
      <c r="O178" s="18">
        <v>121.64</v>
      </c>
      <c r="P178" s="340">
        <f t="shared" si="9"/>
        <v>2.2184873949579836E-2</v>
      </c>
      <c r="Q178" s="335"/>
      <c r="R178" s="17">
        <v>45657</v>
      </c>
      <c r="S178" s="18">
        <v>176.4</v>
      </c>
      <c r="T178" s="335">
        <f t="shared" si="10"/>
        <v>-0.21648751887714304</v>
      </c>
      <c r="V178" s="17">
        <v>45625</v>
      </c>
      <c r="W178" s="333">
        <v>152.24798999999999</v>
      </c>
      <c r="X178" s="335">
        <f t="shared" si="11"/>
        <v>0.1389797300077428</v>
      </c>
    </row>
    <row r="179" spans="2:24">
      <c r="B179" s="332">
        <v>45657</v>
      </c>
      <c r="C179" s="333">
        <v>5881.6276482140902</v>
      </c>
      <c r="D179" s="335">
        <f t="shared" si="6"/>
        <v>-2.4991239575695719E-2</v>
      </c>
      <c r="F179" s="332">
        <v>45657</v>
      </c>
      <c r="G179" s="333">
        <v>281.33</v>
      </c>
      <c r="H179" s="335">
        <f t="shared" si="7"/>
        <v>-7.0505831433574626E-2</v>
      </c>
      <c r="J179" s="17">
        <v>45656</v>
      </c>
      <c r="K179" s="333">
        <v>35.272933999999999</v>
      </c>
      <c r="L179" s="335">
        <f t="shared" si="8"/>
        <v>-3.9514705271678045E-2</v>
      </c>
      <c r="M179" s="335"/>
      <c r="N179" s="17">
        <v>45657</v>
      </c>
      <c r="O179" s="18">
        <v>110.77</v>
      </c>
      <c r="P179" s="340">
        <f t="shared" si="9"/>
        <v>-8.9362051956593261E-2</v>
      </c>
      <c r="Q179" s="335"/>
      <c r="R179" s="17">
        <v>45688</v>
      </c>
      <c r="S179" s="18">
        <v>185.61</v>
      </c>
      <c r="T179" s="335">
        <f t="shared" si="10"/>
        <v>5.2210884353741542E-2</v>
      </c>
      <c r="V179" s="17">
        <v>45657</v>
      </c>
      <c r="W179" s="333">
        <v>135.05770999999999</v>
      </c>
      <c r="X179" s="335">
        <f t="shared" si="11"/>
        <v>-0.11290973365231294</v>
      </c>
    </row>
    <row r="180" spans="2:24">
      <c r="B180" s="332">
        <v>45688</v>
      </c>
      <c r="C180" s="333">
        <v>6040.5259338818596</v>
      </c>
      <c r="D180" s="335">
        <f t="shared" si="6"/>
        <v>2.7016039635902083E-2</v>
      </c>
      <c r="F180" s="332">
        <v>45688</v>
      </c>
      <c r="G180" s="333">
        <v>264.87</v>
      </c>
      <c r="H180" s="335">
        <f t="shared" si="7"/>
        <v>-5.8507802225144775E-2</v>
      </c>
      <c r="J180" s="17">
        <v>45688</v>
      </c>
      <c r="K180" s="333">
        <v>36.186732999999997</v>
      </c>
      <c r="L180" s="335">
        <f t="shared" si="8"/>
        <v>2.5906520846833932E-2</v>
      </c>
      <c r="M180" s="335"/>
      <c r="N180" s="17">
        <v>45688</v>
      </c>
      <c r="O180" s="18">
        <v>113.58</v>
      </c>
      <c r="P180" s="340">
        <f t="shared" si="9"/>
        <v>2.5367879389726483E-2</v>
      </c>
      <c r="Q180" s="335"/>
      <c r="R180" s="17">
        <v>45716</v>
      </c>
      <c r="S180" s="18">
        <v>176.5</v>
      </c>
      <c r="T180" s="335">
        <f t="shared" si="10"/>
        <v>-4.9081407251764519E-2</v>
      </c>
      <c r="V180" s="17">
        <v>45688</v>
      </c>
      <c r="W180" s="333">
        <v>132.25615999999999</v>
      </c>
      <c r="X180" s="335">
        <f t="shared" si="11"/>
        <v>-2.0743354822171885E-2</v>
      </c>
    </row>
    <row r="181" spans="2:24">
      <c r="B181" s="332">
        <v>45716</v>
      </c>
      <c r="C181" s="333">
        <v>5954.5048269650797</v>
      </c>
      <c r="D181" s="335">
        <f t="shared" si="6"/>
        <v>-1.4240665110678473E-2</v>
      </c>
      <c r="F181" s="332">
        <v>45716</v>
      </c>
      <c r="G181" s="333">
        <v>262.89999999999998</v>
      </c>
      <c r="H181" s="335">
        <f t="shared" si="7"/>
        <v>-7.4376109034621782E-3</v>
      </c>
      <c r="J181" s="17">
        <v>45716</v>
      </c>
      <c r="K181" s="333">
        <v>39.197600000000001</v>
      </c>
      <c r="L181" s="335">
        <f t="shared" si="8"/>
        <v>8.3203614982319762E-2</v>
      </c>
      <c r="M181" s="335"/>
      <c r="N181" s="17">
        <v>45716</v>
      </c>
      <c r="O181" s="18">
        <v>117.36</v>
      </c>
      <c r="P181" s="340">
        <f t="shared" si="9"/>
        <v>3.3280507131537254E-2</v>
      </c>
      <c r="Q181" s="335"/>
      <c r="R181" s="17">
        <v>45747</v>
      </c>
      <c r="S181" s="18">
        <v>165.45</v>
      </c>
      <c r="T181" s="335">
        <f t="shared" si="10"/>
        <v>-6.2606232294617634E-2</v>
      </c>
      <c r="V181" s="17">
        <v>45716</v>
      </c>
      <c r="W181" s="333">
        <v>91.076324</v>
      </c>
      <c r="X181" s="335">
        <f t="shared" si="11"/>
        <v>-0.31136421925451335</v>
      </c>
    </row>
    <row r="182" spans="2:24">
      <c r="B182" s="332">
        <v>45747</v>
      </c>
      <c r="C182" s="333">
        <v>5611.8526068176297</v>
      </c>
      <c r="D182" s="335">
        <f t="shared" si="6"/>
        <v>-5.7545040285422788E-2</v>
      </c>
      <c r="F182" s="332">
        <v>45747</v>
      </c>
      <c r="G182" s="333">
        <v>243.78</v>
      </c>
      <c r="H182" s="335">
        <f t="shared" si="7"/>
        <v>-7.272727272727264E-2</v>
      </c>
      <c r="J182" s="17">
        <v>45747</v>
      </c>
      <c r="K182" s="333">
        <v>42.646293999999997</v>
      </c>
      <c r="L182" s="335">
        <f t="shared" si="8"/>
        <v>8.7982274424964688E-2</v>
      </c>
      <c r="M182" s="335"/>
      <c r="N182" s="17">
        <v>45747</v>
      </c>
      <c r="O182" s="18">
        <v>120.25</v>
      </c>
      <c r="P182" s="340">
        <f t="shared" si="9"/>
        <v>2.46250852079073E-2</v>
      </c>
      <c r="Q182" s="335"/>
      <c r="R182" s="17">
        <v>45777</v>
      </c>
      <c r="S182" s="18">
        <v>153.28</v>
      </c>
      <c r="T182" s="335">
        <f t="shared" si="10"/>
        <v>-7.3556965850710115E-2</v>
      </c>
      <c r="V182" s="17">
        <v>45747</v>
      </c>
      <c r="W182" s="333">
        <v>77.415319999999994</v>
      </c>
      <c r="X182" s="335">
        <f t="shared" si="11"/>
        <v>-0.14999511838005239</v>
      </c>
    </row>
    <row r="183" spans="2:24">
      <c r="B183" s="332">
        <v>45777</v>
      </c>
      <c r="C183" s="333">
        <v>5569.0646749468096</v>
      </c>
      <c r="D183" s="335">
        <f t="shared" si="6"/>
        <v>-7.6245644475477926E-3</v>
      </c>
      <c r="F183" s="332">
        <v>45777</v>
      </c>
      <c r="G183" s="333">
        <v>210.33</v>
      </c>
      <c r="H183" s="335">
        <f t="shared" si="7"/>
        <v>-0.13721388136844692</v>
      </c>
      <c r="J183" s="17">
        <v>45777</v>
      </c>
      <c r="K183" s="333">
        <v>42.639491999999997</v>
      </c>
      <c r="L183" s="335">
        <f t="shared" si="8"/>
        <v>-1.5949803281852391E-4</v>
      </c>
      <c r="M183" s="335"/>
      <c r="N183" s="17">
        <v>45777</v>
      </c>
      <c r="O183" s="18">
        <v>109.91</v>
      </c>
      <c r="P183" s="340">
        <f t="shared" si="9"/>
        <v>-8.5987525987526015E-2</v>
      </c>
      <c r="Q183" s="335"/>
      <c r="R183" s="17">
        <v>45807</v>
      </c>
      <c r="S183" s="18">
        <v>160.16999999999999</v>
      </c>
      <c r="T183" s="335">
        <f t="shared" si="10"/>
        <v>4.4950417536534358E-2</v>
      </c>
      <c r="V183" s="17">
        <v>45777</v>
      </c>
      <c r="W183" s="333">
        <v>81.133709999999994</v>
      </c>
      <c r="X183" s="335">
        <f t="shared" si="11"/>
        <v>4.8031707419151658E-2</v>
      </c>
    </row>
    <row r="184" spans="2:24">
      <c r="B184" s="332">
        <v>45807</v>
      </c>
      <c r="C184" s="333">
        <v>5911.6867231263304</v>
      </c>
      <c r="D184" s="335">
        <f t="shared" si="6"/>
        <v>6.1522368328895946E-2</v>
      </c>
      <c r="F184" s="332">
        <v>45807</v>
      </c>
      <c r="G184" s="333">
        <v>218.1</v>
      </c>
      <c r="H184" s="335">
        <f t="shared" si="7"/>
        <v>3.6941948366852002E-2</v>
      </c>
      <c r="J184" s="17">
        <v>45807</v>
      </c>
      <c r="K184" s="333">
        <v>44.694789999999998</v>
      </c>
      <c r="L184" s="335">
        <f t="shared" si="8"/>
        <v>4.8201746868841697E-2</v>
      </c>
      <c r="M184" s="335"/>
      <c r="N184" s="17">
        <v>45807</v>
      </c>
      <c r="O184" s="18">
        <v>112.73</v>
      </c>
      <c r="P184" s="340">
        <f t="shared" si="9"/>
        <v>2.5657356018560708E-2</v>
      </c>
      <c r="Q184" s="335"/>
      <c r="R184" s="17">
        <v>45838</v>
      </c>
      <c r="S184" s="18">
        <v>162.30000000000001</v>
      </c>
      <c r="T184" s="335">
        <f t="shared" si="10"/>
        <v>1.3298370481363701E-2</v>
      </c>
      <c r="V184" s="17">
        <v>45807</v>
      </c>
      <c r="W184" s="333">
        <v>86.177670000000006</v>
      </c>
      <c r="X184" s="335">
        <f t="shared" si="11"/>
        <v>6.2168487056736506E-2</v>
      </c>
    </row>
    <row r="185" spans="2:24">
      <c r="B185" s="332">
        <v>45838</v>
      </c>
      <c r="C185" s="333">
        <v>6204.9539523896201</v>
      </c>
      <c r="D185" s="335">
        <f t="shared" si="6"/>
        <v>4.9608046400029554E-2</v>
      </c>
      <c r="F185" s="332">
        <v>45838</v>
      </c>
      <c r="G185" s="333">
        <v>227.31</v>
      </c>
      <c r="H185" s="335">
        <f t="shared" si="7"/>
        <v>4.2228335625859738E-2</v>
      </c>
      <c r="J185" s="17">
        <v>45838</v>
      </c>
      <c r="K185" s="333">
        <v>46.026657</v>
      </c>
      <c r="L185" s="335">
        <f t="shared" si="8"/>
        <v>2.979915556153195E-2</v>
      </c>
      <c r="M185" s="335"/>
      <c r="N185" s="17">
        <v>45838</v>
      </c>
      <c r="O185" s="18">
        <v>114.25</v>
      </c>
      <c r="P185" s="340">
        <f t="shared" si="9"/>
        <v>1.3483544752949489E-2</v>
      </c>
      <c r="Q185" s="335"/>
      <c r="R185" s="17">
        <v>45869</v>
      </c>
      <c r="S185" s="18">
        <v>149.25</v>
      </c>
      <c r="T185" s="335">
        <f t="shared" si="10"/>
        <v>-8.0406654343807824E-2</v>
      </c>
      <c r="V185" s="17">
        <v>45838</v>
      </c>
      <c r="W185" s="333">
        <v>89.585920000000002</v>
      </c>
      <c r="X185" s="335">
        <f t="shared" si="11"/>
        <v>3.9549108255073441E-2</v>
      </c>
    </row>
    <row r="186" spans="2:24">
      <c r="B186" s="332">
        <v>45869</v>
      </c>
      <c r="C186" s="333">
        <v>6339.3945671658003</v>
      </c>
      <c r="D186" s="335">
        <f t="shared" si="6"/>
        <v>2.1666657932957759E-2</v>
      </c>
      <c r="F186" s="332">
        <v>45869</v>
      </c>
      <c r="G186" s="333">
        <v>223.49</v>
      </c>
      <c r="H186" s="335">
        <f t="shared" si="7"/>
        <v>-1.6805243939993809E-2</v>
      </c>
      <c r="J186" s="17">
        <v>45869</v>
      </c>
      <c r="K186" s="333">
        <v>45.152500000000003</v>
      </c>
      <c r="L186" s="335">
        <f t="shared" si="8"/>
        <v>-1.8992406943654342E-2</v>
      </c>
      <c r="M186" s="335"/>
      <c r="N186" s="17">
        <v>45869</v>
      </c>
      <c r="O186" s="18">
        <v>116.24</v>
      </c>
      <c r="P186" s="340">
        <f t="shared" si="9"/>
        <v>1.7417943107220963E-2</v>
      </c>
      <c r="Q186" s="335"/>
      <c r="R186" s="17">
        <v>45898</v>
      </c>
      <c r="S186" s="18">
        <v>150.97</v>
      </c>
      <c r="T186" s="335">
        <f t="shared" si="10"/>
        <v>1.1524288107202673E-2</v>
      </c>
      <c r="V186" s="17">
        <v>45869</v>
      </c>
      <c r="W186" s="333">
        <v>87.157790000000006</v>
      </c>
      <c r="X186" s="335">
        <f t="shared" si="11"/>
        <v>-2.7103924366686148E-2</v>
      </c>
    </row>
    <row r="187" spans="2:24">
      <c r="B187" s="332">
        <v>45898</v>
      </c>
      <c r="C187" s="333">
        <v>6460.2626670192003</v>
      </c>
      <c r="D187" s="335">
        <f t="shared" si="6"/>
        <v>1.9066189771405482E-2</v>
      </c>
      <c r="F187" s="332">
        <v>45898</v>
      </c>
      <c r="G187" s="333">
        <v>231.07</v>
      </c>
      <c r="H187" s="335">
        <f t="shared" si="7"/>
        <v>3.3916506331379409E-2</v>
      </c>
      <c r="J187" s="17">
        <v>45898</v>
      </c>
      <c r="K187" s="333">
        <v>45.509039999999999</v>
      </c>
      <c r="L187" s="335">
        <f t="shared" si="8"/>
        <v>7.8963512540832816E-3</v>
      </c>
      <c r="M187" s="335"/>
      <c r="N187" s="17">
        <v>45898</v>
      </c>
      <c r="O187" s="18">
        <v>120.54</v>
      </c>
      <c r="P187" s="340">
        <f t="shared" si="9"/>
        <v>3.6992429456297417E-2</v>
      </c>
      <c r="Q187" s="335"/>
      <c r="R187" s="17">
        <v>45930</v>
      </c>
      <c r="S187" s="18">
        <v>140.78</v>
      </c>
      <c r="T187" s="335">
        <f t="shared" si="10"/>
        <v>-6.7496853679538962E-2</v>
      </c>
      <c r="V187" s="17">
        <v>45898</v>
      </c>
      <c r="W187" s="333">
        <v>94.774024999999995</v>
      </c>
      <c r="X187" s="335">
        <f t="shared" si="11"/>
        <v>8.7384443777199824E-2</v>
      </c>
    </row>
    <row r="188" spans="2:24">
      <c r="B188" s="332">
        <v>45930</v>
      </c>
      <c r="C188" s="333">
        <v>6688.45903689016</v>
      </c>
      <c r="D188" s="335">
        <f t="shared" si="6"/>
        <v>3.5323079204804327E-2</v>
      </c>
      <c r="F188" s="332">
        <v>45930</v>
      </c>
      <c r="G188" s="333">
        <v>235.81</v>
      </c>
      <c r="H188" s="335">
        <f t="shared" si="7"/>
        <v>2.0513264378759725E-2</v>
      </c>
      <c r="J188" s="17">
        <v>45930</v>
      </c>
      <c r="K188" s="333">
        <v>44.579493999999997</v>
      </c>
      <c r="L188" s="335">
        <f t="shared" si="8"/>
        <v>-2.0425524247490213E-2</v>
      </c>
      <c r="M188" s="335"/>
      <c r="N188" s="17">
        <v>45930</v>
      </c>
      <c r="O188" s="18">
        <v>122.59</v>
      </c>
      <c r="P188" s="340">
        <f t="shared" si="9"/>
        <v>1.7006802721088413E-2</v>
      </c>
      <c r="Q188" s="335"/>
      <c r="R188" s="17">
        <v>45961</v>
      </c>
      <c r="S188" s="18">
        <v>140.41999999999999</v>
      </c>
      <c r="T188" s="335">
        <f t="shared" si="10"/>
        <v>-2.5571814178151275E-3</v>
      </c>
      <c r="V188" s="17">
        <v>45930</v>
      </c>
      <c r="W188" s="333">
        <v>88.026449999999997</v>
      </c>
      <c r="X188" s="335">
        <f t="shared" si="11"/>
        <v>-7.1196459156398578E-2</v>
      </c>
    </row>
    <row r="189" spans="2:24">
      <c r="B189" s="332">
        <v>45961</v>
      </c>
      <c r="C189" s="333">
        <v>6840.1987413872303</v>
      </c>
      <c r="D189" s="335">
        <f t="shared" si="6"/>
        <v>2.2686795816517794E-2</v>
      </c>
      <c r="F189" s="332">
        <v>45961</v>
      </c>
      <c r="G189" s="333">
        <v>253.82</v>
      </c>
      <c r="H189" s="335">
        <f t="shared" si="7"/>
        <v>7.6375047707900393E-2</v>
      </c>
      <c r="J189" s="17">
        <v>45961</v>
      </c>
      <c r="K189" s="333">
        <v>45.937156999999999</v>
      </c>
      <c r="L189" s="335">
        <f t="shared" si="8"/>
        <v>3.0454876854367222E-2</v>
      </c>
      <c r="M189" s="335"/>
      <c r="N189" s="17">
        <v>45961</v>
      </c>
      <c r="O189" s="18">
        <v>121.9</v>
      </c>
      <c r="P189" s="340">
        <f t="shared" si="9"/>
        <v>-5.6285178236397558E-3</v>
      </c>
      <c r="Q189" s="335"/>
      <c r="R189" s="17">
        <v>45989</v>
      </c>
      <c r="S189" s="18">
        <v>135.29</v>
      </c>
      <c r="T189" s="335">
        <f t="shared" si="10"/>
        <v>-3.6533257370744879E-2</v>
      </c>
      <c r="V189" s="17">
        <v>45961</v>
      </c>
      <c r="W189" s="333">
        <v>89.954679999999996</v>
      </c>
      <c r="X189" s="335">
        <f t="shared" si="11"/>
        <v>2.1905120563194349E-2</v>
      </c>
    </row>
    <row r="190" spans="2:24">
      <c r="B190" s="332">
        <v>45989</v>
      </c>
      <c r="C190" s="333">
        <v>6849.0873723464601</v>
      </c>
      <c r="D190" s="335">
        <f t="shared" si="6"/>
        <v>1.2994696931023998E-3</v>
      </c>
      <c r="F190" s="332">
        <v>45989</v>
      </c>
      <c r="G190" s="333">
        <v>275.68</v>
      </c>
      <c r="H190" s="335">
        <f t="shared" si="7"/>
        <v>8.6124024899535162E-2</v>
      </c>
      <c r="J190" s="17">
        <v>45989</v>
      </c>
      <c r="K190" s="333">
        <v>52.027459999999998</v>
      </c>
      <c r="L190" s="335">
        <f t="shared" si="8"/>
        <v>0.13257901441310352</v>
      </c>
      <c r="M190" s="335"/>
      <c r="N190" s="17">
        <v>45989</v>
      </c>
      <c r="O190" s="18">
        <v>146.9</v>
      </c>
      <c r="P190" s="340">
        <f t="shared" si="9"/>
        <v>0.2050861361771944</v>
      </c>
      <c r="Q190" s="335"/>
      <c r="R190" s="17">
        <v>46022</v>
      </c>
      <c r="S190" s="18">
        <v>156.80000000000001</v>
      </c>
      <c r="T190" s="335">
        <f t="shared" si="10"/>
        <v>0.15899179540246891</v>
      </c>
      <c r="V190" s="17">
        <v>45989</v>
      </c>
      <c r="W190" s="333">
        <v>87.421549999999996</v>
      </c>
      <c r="X190" s="335">
        <f t="shared" si="11"/>
        <v>-2.8160069048102889E-2</v>
      </c>
    </row>
    <row r="191" spans="2:24">
      <c r="B191" s="332">
        <v>46022</v>
      </c>
      <c r="C191" s="333">
        <v>6845.5047061575797</v>
      </c>
      <c r="D191" s="335">
        <f t="shared" si="6"/>
        <v>-5.2308665287957405E-4</v>
      </c>
      <c r="F191" s="332">
        <v>46022</v>
      </c>
      <c r="G191" s="333">
        <v>288.86</v>
      </c>
      <c r="H191" s="335">
        <f t="shared" si="7"/>
        <v>4.7809053975623933E-2</v>
      </c>
      <c r="J191" s="17">
        <v>46021</v>
      </c>
      <c r="K191" s="333">
        <v>54.947468000000001</v>
      </c>
      <c r="L191" s="335">
        <f t="shared" si="8"/>
        <v>5.6124362019595093E-2</v>
      </c>
      <c r="M191" s="335"/>
      <c r="N191" s="17">
        <v>46022</v>
      </c>
      <c r="O191" s="18">
        <v>149.01</v>
      </c>
      <c r="P191" s="340">
        <f t="shared" si="9"/>
        <v>1.4363512593600988E-2</v>
      </c>
      <c r="Q191" s="335"/>
      <c r="R191" s="17">
        <v>46052</v>
      </c>
      <c r="S191" s="18">
        <v>173.2</v>
      </c>
      <c r="T191" s="335">
        <f t="shared" si="10"/>
        <v>0.10459183673469373</v>
      </c>
      <c r="V191" s="17">
        <v>46022</v>
      </c>
      <c r="W191" s="333">
        <v>103.498085</v>
      </c>
      <c r="X191" s="335">
        <f t="shared" si="11"/>
        <v>0.18389670510303247</v>
      </c>
    </row>
    <row r="192" spans="2:24">
      <c r="B192" s="332">
        <v>46052</v>
      </c>
      <c r="C192" s="333">
        <v>6939.0295201634999</v>
      </c>
      <c r="D192" s="335">
        <f>(C192-C191)/C191</f>
        <v>1.366222331595127E-2</v>
      </c>
      <c r="F192" s="332">
        <v>46052</v>
      </c>
      <c r="G192" s="333">
        <v>322.25</v>
      </c>
      <c r="H192" s="335">
        <f t="shared" si="7"/>
        <v>0.11559232846361554</v>
      </c>
      <c r="J192" s="17">
        <v>46052</v>
      </c>
      <c r="K192" s="333">
        <v>56.294235</v>
      </c>
      <c r="L192" s="335">
        <f t="shared" si="8"/>
        <v>2.451008297597989E-2</v>
      </c>
      <c r="M192" s="335"/>
      <c r="N192" s="17">
        <v>46052</v>
      </c>
      <c r="O192" s="18">
        <v>160.54</v>
      </c>
      <c r="P192" s="340">
        <f t="shared" si="9"/>
        <v>7.7377357224347368E-2</v>
      </c>
      <c r="Q192" s="335"/>
      <c r="R192" s="17">
        <v>46052</v>
      </c>
      <c r="S192" s="18">
        <v>173.2</v>
      </c>
      <c r="T192" s="335">
        <f t="shared" si="10"/>
        <v>0</v>
      </c>
      <c r="V192" s="17">
        <v>46052</v>
      </c>
      <c r="W192" s="333">
        <v>107.44600639535</v>
      </c>
      <c r="X192" s="335">
        <f t="shared" si="11"/>
        <v>3.8144873843317911E-2</v>
      </c>
    </row>
    <row r="196" spans="2:4">
      <c r="B196" s="332"/>
      <c r="C196" s="333"/>
    </row>
    <row r="197" spans="2:4">
      <c r="B197" s="332"/>
      <c r="C197" s="333"/>
      <c r="D197" s="335"/>
    </row>
    <row r="198" spans="2:4">
      <c r="B198" s="332"/>
      <c r="C198" s="333"/>
      <c r="D198" s="335"/>
    </row>
    <row r="199" spans="2:4">
      <c r="B199" s="332"/>
      <c r="C199" s="333"/>
      <c r="D199" s="335"/>
    </row>
    <row r="200" spans="2:4">
      <c r="B200" s="332"/>
      <c r="C200" s="333"/>
      <c r="D200" s="335"/>
    </row>
    <row r="201" spans="2:4">
      <c r="B201" s="332"/>
      <c r="C201" s="333"/>
      <c r="D201" s="335"/>
    </row>
    <row r="202" spans="2:4">
      <c r="B202" s="332"/>
      <c r="C202" s="333"/>
      <c r="D202" s="335"/>
    </row>
    <row r="203" spans="2:4">
      <c r="B203" s="332"/>
      <c r="C203" s="333"/>
      <c r="D203" s="335"/>
    </row>
    <row r="204" spans="2:4">
      <c r="B204" s="332"/>
      <c r="C204" s="333"/>
      <c r="D204" s="335"/>
    </row>
    <row r="205" spans="2:4">
      <c r="B205" s="332"/>
      <c r="C205" s="333"/>
      <c r="D205" s="335"/>
    </row>
    <row r="206" spans="2:4">
      <c r="B206" s="332"/>
      <c r="C206" s="333"/>
      <c r="D206" s="335"/>
    </row>
    <row r="207" spans="2:4">
      <c r="B207" s="332"/>
      <c r="C207" s="333"/>
      <c r="D207" s="335"/>
    </row>
    <row r="208" spans="2:4">
      <c r="B208" s="332"/>
      <c r="C208" s="333"/>
      <c r="D208" s="335"/>
    </row>
    <row r="209" spans="2:4">
      <c r="B209" s="332"/>
      <c r="C209" s="333"/>
      <c r="D209" s="335"/>
    </row>
    <row r="210" spans="2:4">
      <c r="B210" s="332"/>
      <c r="C210" s="333"/>
      <c r="D210" s="335"/>
    </row>
    <row r="211" spans="2:4">
      <c r="B211" s="332"/>
      <c r="C211" s="333"/>
      <c r="D211" s="335"/>
    </row>
    <row r="212" spans="2:4">
      <c r="B212" s="332"/>
      <c r="C212" s="333"/>
      <c r="D212" s="335"/>
    </row>
    <row r="213" spans="2:4">
      <c r="B213" s="332"/>
      <c r="C213" s="333"/>
      <c r="D213" s="335"/>
    </row>
    <row r="214" spans="2:4">
      <c r="B214" s="332"/>
      <c r="C214" s="333"/>
      <c r="D214" s="335"/>
    </row>
    <row r="215" spans="2:4">
      <c r="B215" s="332"/>
      <c r="C215" s="333"/>
      <c r="D215" s="335"/>
    </row>
    <row r="216" spans="2:4">
      <c r="B216" s="332"/>
      <c r="C216" s="333"/>
      <c r="D216" s="335"/>
    </row>
    <row r="217" spans="2:4">
      <c r="B217" s="332"/>
      <c r="C217" s="333"/>
      <c r="D217" s="335"/>
    </row>
    <row r="218" spans="2:4">
      <c r="B218" s="332"/>
      <c r="C218" s="333"/>
      <c r="D218" s="335"/>
    </row>
    <row r="219" spans="2:4">
      <c r="B219" s="332"/>
      <c r="C219" s="333"/>
      <c r="D219" s="335"/>
    </row>
    <row r="220" spans="2:4">
      <c r="B220" s="332"/>
      <c r="C220" s="333"/>
      <c r="D220" s="335"/>
    </row>
    <row r="221" spans="2:4">
      <c r="B221" s="332"/>
      <c r="C221" s="333"/>
      <c r="D221" s="335"/>
    </row>
    <row r="222" spans="2:4">
      <c r="B222" s="332"/>
      <c r="C222" s="333"/>
      <c r="D222" s="335"/>
    </row>
    <row r="223" spans="2:4">
      <c r="B223" s="332"/>
      <c r="C223" s="333"/>
      <c r="D223" s="335"/>
    </row>
    <row r="224" spans="2:4">
      <c r="B224" s="332"/>
      <c r="C224" s="333"/>
      <c r="D224" s="335"/>
    </row>
    <row r="225" spans="2:4">
      <c r="B225" s="332"/>
      <c r="C225" s="333"/>
      <c r="D225" s="335"/>
    </row>
    <row r="226" spans="2:4">
      <c r="B226" s="332"/>
      <c r="C226" s="333"/>
      <c r="D226" s="335"/>
    </row>
    <row r="227" spans="2:4">
      <c r="B227" s="332"/>
      <c r="C227" s="333"/>
      <c r="D227" s="335"/>
    </row>
    <row r="228" spans="2:4">
      <c r="B228" s="332"/>
      <c r="C228" s="333"/>
      <c r="D228" s="335"/>
    </row>
    <row r="229" spans="2:4">
      <c r="B229" s="332"/>
      <c r="C229" s="333"/>
      <c r="D229" s="335"/>
    </row>
    <row r="230" spans="2:4">
      <c r="B230" s="332"/>
      <c r="C230" s="333"/>
      <c r="D230" s="335"/>
    </row>
    <row r="231" spans="2:4">
      <c r="B231" s="332"/>
      <c r="C231" s="333"/>
      <c r="D231" s="335"/>
    </row>
    <row r="232" spans="2:4">
      <c r="B232" s="332"/>
      <c r="C232" s="333"/>
      <c r="D232" s="335"/>
    </row>
    <row r="233" spans="2:4">
      <c r="B233" s="332"/>
      <c r="C233" s="333"/>
      <c r="D233" s="335"/>
    </row>
    <row r="234" spans="2:4">
      <c r="B234" s="332"/>
      <c r="C234" s="333"/>
      <c r="D234" s="335"/>
    </row>
    <row r="235" spans="2:4">
      <c r="B235" s="332"/>
      <c r="C235" s="333"/>
      <c r="D235" s="335"/>
    </row>
    <row r="236" spans="2:4">
      <c r="B236" s="332"/>
      <c r="C236" s="333"/>
      <c r="D236" s="335"/>
    </row>
    <row r="237" spans="2:4">
      <c r="B237" s="332"/>
      <c r="C237" s="333"/>
      <c r="D237" s="335"/>
    </row>
    <row r="238" spans="2:4">
      <c r="B238" s="332"/>
      <c r="C238" s="333"/>
      <c r="D238" s="335"/>
    </row>
    <row r="239" spans="2:4">
      <c r="B239" s="332"/>
      <c r="C239" s="333"/>
      <c r="D239" s="335"/>
    </row>
    <row r="240" spans="2:4">
      <c r="B240" s="332"/>
      <c r="C240" s="333"/>
      <c r="D240" s="335"/>
    </row>
    <row r="241" spans="2:4">
      <c r="B241" s="332"/>
      <c r="C241" s="333"/>
      <c r="D241" s="335"/>
    </row>
    <row r="242" spans="2:4">
      <c r="B242" s="332"/>
      <c r="C242" s="333"/>
      <c r="D242" s="335"/>
    </row>
    <row r="243" spans="2:4">
      <c r="B243" s="332"/>
      <c r="C243" s="333"/>
      <c r="D243" s="335"/>
    </row>
    <row r="244" spans="2:4">
      <c r="B244" s="332"/>
      <c r="C244" s="333"/>
      <c r="D244" s="335"/>
    </row>
    <row r="245" spans="2:4">
      <c r="B245" s="332"/>
      <c r="C245" s="333"/>
      <c r="D245" s="335"/>
    </row>
    <row r="246" spans="2:4">
      <c r="B246" s="332"/>
      <c r="C246" s="333"/>
      <c r="D246" s="335"/>
    </row>
    <row r="247" spans="2:4">
      <c r="B247" s="332"/>
      <c r="C247" s="333"/>
      <c r="D247" s="335"/>
    </row>
    <row r="248" spans="2:4">
      <c r="B248" s="332"/>
      <c r="C248" s="333"/>
      <c r="D248" s="335"/>
    </row>
    <row r="249" spans="2:4">
      <c r="B249" s="332"/>
      <c r="C249" s="333"/>
      <c r="D249" s="335"/>
    </row>
    <row r="250" spans="2:4">
      <c r="B250" s="332"/>
      <c r="C250" s="333"/>
      <c r="D250" s="335"/>
    </row>
    <row r="251" spans="2:4">
      <c r="B251" s="332"/>
      <c r="C251" s="333"/>
      <c r="D251" s="335"/>
    </row>
    <row r="252" spans="2:4">
      <c r="B252" s="332"/>
      <c r="C252" s="333"/>
      <c r="D252" s="335"/>
    </row>
    <row r="253" spans="2:4">
      <c r="B253" s="332"/>
      <c r="C253" s="333"/>
      <c r="D253" s="335"/>
    </row>
    <row r="254" spans="2:4">
      <c r="B254" s="332"/>
      <c r="C254" s="333"/>
      <c r="D254" s="335"/>
    </row>
    <row r="255" spans="2:4">
      <c r="B255" s="332"/>
      <c r="C255" s="333"/>
      <c r="D255" s="335"/>
    </row>
    <row r="256" spans="2:4">
      <c r="B256" s="332"/>
      <c r="C256" s="333"/>
      <c r="D256" s="335"/>
    </row>
  </sheetData>
  <sortState xmlns:xlrd2="http://schemas.microsoft.com/office/spreadsheetml/2017/richdata2" ref="R132:T192">
    <sortCondition ref="R132:R192"/>
  </sortState>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21944-C6B3-4DC9-BF97-6688AB634942}">
  <dimension ref="A2:FF122"/>
  <sheetViews>
    <sheetView zoomScale="75" workbookViewId="0">
      <selection activeCell="B2" sqref="B2"/>
    </sheetView>
  </sheetViews>
  <sheetFormatPr baseColWidth="10" defaultColWidth="8.83203125" defaultRowHeight="16"/>
  <cols>
    <col min="1" max="1" width="58.1640625" bestFit="1" customWidth="1"/>
    <col min="2" max="2" width="17.33203125" bestFit="1" customWidth="1"/>
    <col min="3" max="3" width="34" bestFit="1" customWidth="1"/>
    <col min="4" max="4" width="21.1640625" bestFit="1" customWidth="1"/>
    <col min="5" max="5" width="8.6640625" bestFit="1" customWidth="1"/>
    <col min="6" max="6" width="14" bestFit="1" customWidth="1"/>
    <col min="7" max="7" width="22.1640625" bestFit="1" customWidth="1"/>
    <col min="8" max="8" width="23.33203125" bestFit="1" customWidth="1"/>
    <col min="9" max="9" width="22.1640625" bestFit="1" customWidth="1"/>
    <col min="10" max="10" width="20.1640625" bestFit="1" customWidth="1"/>
    <col min="11" max="11" width="14.1640625" bestFit="1" customWidth="1"/>
    <col min="12" max="12" width="18.33203125" bestFit="1" customWidth="1"/>
    <col min="13" max="13" width="42.33203125" bestFit="1" customWidth="1"/>
    <col min="14" max="14" width="49" bestFit="1" customWidth="1"/>
    <col min="15" max="15" width="23.6640625" bestFit="1" customWidth="1"/>
    <col min="16" max="16" width="24.6640625" bestFit="1" customWidth="1"/>
    <col min="17" max="17" width="18.83203125" bestFit="1" customWidth="1"/>
    <col min="18" max="18" width="17.83203125" bestFit="1" customWidth="1"/>
    <col min="19" max="19" width="18.83203125" bestFit="1" customWidth="1"/>
    <col min="20" max="20" width="17.83203125" bestFit="1" customWidth="1"/>
    <col min="21" max="21" width="14.5" bestFit="1" customWidth="1"/>
    <col min="22" max="22" width="27.1640625" bestFit="1" customWidth="1"/>
    <col min="23" max="23" width="26.6640625" bestFit="1" customWidth="1"/>
    <col min="24" max="24" width="17.5" bestFit="1" customWidth="1"/>
    <col min="25" max="25" width="9.6640625" bestFit="1" customWidth="1"/>
    <col min="26" max="26" width="22.5" bestFit="1" customWidth="1"/>
    <col min="27" max="27" width="15.1640625" bestFit="1" customWidth="1"/>
    <col min="28" max="28" width="41.83203125" bestFit="1" customWidth="1"/>
    <col min="29" max="29" width="22" bestFit="1" customWidth="1"/>
    <col min="30" max="30" width="23.33203125" bestFit="1" customWidth="1"/>
    <col min="31" max="31" width="22.1640625" bestFit="1" customWidth="1"/>
    <col min="32" max="32" width="23" bestFit="1" customWidth="1"/>
    <col min="33" max="33" width="37.6640625" bestFit="1" customWidth="1"/>
    <col min="34" max="34" width="24" bestFit="1" customWidth="1"/>
    <col min="35" max="35" width="13.6640625" bestFit="1" customWidth="1"/>
    <col min="36" max="36" width="5.6640625" bestFit="1" customWidth="1"/>
    <col min="37" max="37" width="20.33203125" bestFit="1" customWidth="1"/>
    <col min="38" max="38" width="28.6640625" bestFit="1" customWidth="1"/>
    <col min="39" max="39" width="29.33203125" bestFit="1" customWidth="1"/>
    <col min="40" max="40" width="16.33203125" bestFit="1" customWidth="1"/>
    <col min="41" max="41" width="10" bestFit="1" customWidth="1"/>
    <col min="42" max="42" width="10.1640625" bestFit="1" customWidth="1"/>
    <col min="43" max="43" width="14.83203125" bestFit="1" customWidth="1"/>
    <col min="44" max="44" width="10.6640625" bestFit="1" customWidth="1"/>
    <col min="45" max="45" width="5.1640625" bestFit="1" customWidth="1"/>
    <col min="46" max="46" width="7.1640625" bestFit="1" customWidth="1"/>
    <col min="47" max="47" width="16.6640625" bestFit="1" customWidth="1"/>
    <col min="48" max="48" width="7.1640625" bestFit="1" customWidth="1"/>
    <col min="49" max="49" width="8.1640625" bestFit="1" customWidth="1"/>
    <col min="50" max="50" width="10.1640625" bestFit="1" customWidth="1"/>
    <col min="51" max="51" width="17.33203125" bestFit="1" customWidth="1"/>
    <col min="52" max="52" width="8.6640625" bestFit="1" customWidth="1"/>
    <col min="53" max="53" width="11" bestFit="1" customWidth="1"/>
    <col min="54" max="54" width="13" bestFit="1" customWidth="1"/>
    <col min="55" max="55" width="18.83203125" bestFit="1" customWidth="1"/>
    <col min="56" max="57" width="39.1640625" bestFit="1" customWidth="1"/>
    <col min="58" max="59" width="38.1640625" bestFit="1" customWidth="1"/>
    <col min="60" max="60" width="36.5" bestFit="1" customWidth="1"/>
    <col min="61" max="61" width="37.6640625" bestFit="1" customWidth="1"/>
    <col min="62" max="62" width="14.6640625" bestFit="1" customWidth="1"/>
    <col min="63" max="63" width="27.6640625" bestFit="1" customWidth="1"/>
    <col min="64" max="64" width="12" bestFit="1" customWidth="1"/>
    <col min="65" max="65" width="14.6640625" bestFit="1" customWidth="1"/>
    <col min="66" max="66" width="21.83203125" bestFit="1" customWidth="1"/>
    <col min="67" max="67" width="12.1640625" bestFit="1" customWidth="1"/>
    <col min="68" max="68" width="15.83203125" bestFit="1" customWidth="1"/>
    <col min="69" max="69" width="16" bestFit="1" customWidth="1"/>
    <col min="70" max="70" width="18.83203125" bestFit="1" customWidth="1"/>
    <col min="71" max="71" width="10.33203125" bestFit="1" customWidth="1"/>
    <col min="72" max="72" width="17.1640625" bestFit="1" customWidth="1"/>
    <col min="73" max="73" width="15.6640625" bestFit="1" customWidth="1"/>
    <col min="74" max="74" width="35.6640625" bestFit="1" customWidth="1"/>
    <col min="75" max="75" width="17.83203125" bestFit="1" customWidth="1"/>
    <col min="76" max="76" width="10.6640625" bestFit="1" customWidth="1"/>
    <col min="77" max="77" width="16" bestFit="1" customWidth="1"/>
    <col min="78" max="78" width="10.6640625" bestFit="1" customWidth="1"/>
    <col min="79" max="79" width="27.1640625" bestFit="1" customWidth="1"/>
    <col min="80" max="80" width="30.1640625" bestFit="1" customWidth="1"/>
    <col min="81" max="81" width="32.1640625" bestFit="1" customWidth="1"/>
    <col min="82" max="82" width="31" bestFit="1" customWidth="1"/>
    <col min="83" max="83" width="22.5" bestFit="1" customWidth="1"/>
    <col min="84" max="84" width="38.1640625" bestFit="1" customWidth="1"/>
    <col min="85" max="85" width="10.1640625" bestFit="1" customWidth="1"/>
    <col min="86" max="86" width="16.6640625" bestFit="1" customWidth="1"/>
    <col min="87" max="88" width="9.6640625" bestFit="1" customWidth="1"/>
    <col min="89" max="89" width="15.83203125" bestFit="1" customWidth="1"/>
    <col min="90" max="90" width="28.33203125" bestFit="1" customWidth="1"/>
    <col min="91" max="91" width="24.33203125" bestFit="1" customWidth="1"/>
    <col min="92" max="92" width="25" bestFit="1" customWidth="1"/>
    <col min="93" max="93" width="21" bestFit="1" customWidth="1"/>
    <col min="94" max="94" width="10.1640625" bestFit="1" customWidth="1"/>
    <col min="95" max="96" width="17.83203125" bestFit="1" customWidth="1"/>
    <col min="97" max="97" width="19.6640625" bestFit="1" customWidth="1"/>
    <col min="98" max="98" width="25.6640625" bestFit="1" customWidth="1"/>
    <col min="99" max="99" width="26" bestFit="1" customWidth="1"/>
    <col min="100" max="100" width="19.1640625" bestFit="1" customWidth="1"/>
    <col min="101" max="101" width="22.6640625" bestFit="1" customWidth="1"/>
    <col min="102" max="102" width="19.6640625" bestFit="1" customWidth="1"/>
    <col min="103" max="103" width="22.33203125" bestFit="1" customWidth="1"/>
    <col min="104" max="104" width="14" bestFit="1" customWidth="1"/>
    <col min="105" max="105" width="18.6640625" bestFit="1" customWidth="1"/>
    <col min="106" max="106" width="25.1640625" bestFit="1" customWidth="1"/>
    <col min="107" max="107" width="16" bestFit="1" customWidth="1"/>
    <col min="108" max="108" width="18.1640625" bestFit="1" customWidth="1"/>
    <col min="109" max="109" width="16.5" bestFit="1" customWidth="1"/>
    <col min="110" max="110" width="14.1640625" bestFit="1" customWidth="1"/>
    <col min="111" max="111" width="38.33203125" bestFit="1" customWidth="1"/>
    <col min="112" max="112" width="29.1640625" bestFit="1" customWidth="1"/>
    <col min="113" max="113" width="10.83203125" bestFit="1" customWidth="1"/>
    <col min="114" max="114" width="15.5" bestFit="1" customWidth="1"/>
    <col min="115" max="115" width="16" bestFit="1" customWidth="1"/>
    <col min="116" max="116" width="13.6640625" bestFit="1" customWidth="1"/>
    <col min="117" max="117" width="32.83203125" bestFit="1" customWidth="1"/>
    <col min="118" max="118" width="27" bestFit="1" customWidth="1"/>
    <col min="119" max="119" width="25.6640625" bestFit="1" customWidth="1"/>
    <col min="120" max="120" width="15" bestFit="1" customWidth="1"/>
    <col min="121" max="121" width="13.5" bestFit="1" customWidth="1"/>
    <col min="122" max="123" width="11" bestFit="1" customWidth="1"/>
    <col min="124" max="124" width="27" bestFit="1" customWidth="1"/>
    <col min="125" max="125" width="15.33203125" bestFit="1" customWidth="1"/>
    <col min="126" max="126" width="11.5" bestFit="1" customWidth="1"/>
    <col min="127" max="127" width="14.83203125" bestFit="1" customWidth="1"/>
    <col min="128" max="128" width="13.83203125" bestFit="1" customWidth="1"/>
    <col min="129" max="129" width="16" bestFit="1" customWidth="1"/>
    <col min="130" max="130" width="12.5" bestFit="1" customWidth="1"/>
    <col min="131" max="131" width="22.33203125" bestFit="1" customWidth="1"/>
    <col min="132" max="132" width="22" bestFit="1" customWidth="1"/>
    <col min="133" max="133" width="22.33203125" bestFit="1" customWidth="1"/>
    <col min="134" max="134" width="22.1640625" bestFit="1" customWidth="1"/>
    <col min="135" max="135" width="19.33203125" bestFit="1" customWidth="1"/>
    <col min="136" max="136" width="25.1640625" bestFit="1" customWidth="1"/>
    <col min="137" max="137" width="25.83203125" bestFit="1" customWidth="1"/>
    <col min="138" max="138" width="29" bestFit="1" customWidth="1"/>
    <col min="139" max="139" width="13.5" bestFit="1" customWidth="1"/>
    <col min="140" max="140" width="32" bestFit="1" customWidth="1"/>
    <col min="141" max="141" width="34.5" bestFit="1" customWidth="1"/>
    <col min="142" max="145" width="61.1640625" bestFit="1" customWidth="1"/>
    <col min="146" max="146" width="28.5" bestFit="1" customWidth="1"/>
    <col min="147" max="147" width="29.6640625" bestFit="1" customWidth="1"/>
    <col min="148" max="148" width="20.33203125" bestFit="1" customWidth="1"/>
    <col min="149" max="149" width="26.33203125" bestFit="1" customWidth="1"/>
    <col min="150" max="150" width="34.5" bestFit="1" customWidth="1"/>
    <col min="151" max="151" width="44.6640625" bestFit="1" customWidth="1"/>
    <col min="152" max="152" width="42.83203125" bestFit="1" customWidth="1"/>
    <col min="153" max="155" width="22.83203125" bestFit="1" customWidth="1"/>
    <col min="156" max="158" width="23" bestFit="1" customWidth="1"/>
    <col min="159" max="159" width="13.83203125" bestFit="1" customWidth="1"/>
    <col min="160" max="160" width="17.1640625" bestFit="1" customWidth="1"/>
    <col min="161" max="161" width="16.5" bestFit="1" customWidth="1"/>
    <col min="162" max="162" width="13" bestFit="1" customWidth="1"/>
  </cols>
  <sheetData>
    <row r="2" spans="1:162">
      <c r="A2" s="237" t="s">
        <v>203</v>
      </c>
    </row>
    <row r="3" spans="1:162" s="238" customFormat="1">
      <c r="A3" s="232" t="s">
        <v>204</v>
      </c>
      <c r="B3" s="232" t="s">
        <v>205</v>
      </c>
      <c r="C3" s="232" t="s">
        <v>206</v>
      </c>
      <c r="D3" s="232" t="s">
        <v>207</v>
      </c>
      <c r="E3" s="232" t="s">
        <v>208</v>
      </c>
      <c r="F3" s="232" t="s">
        <v>209</v>
      </c>
      <c r="G3" s="232" t="s">
        <v>210</v>
      </c>
      <c r="H3" s="232" t="s">
        <v>211</v>
      </c>
      <c r="I3" s="232" t="s">
        <v>212</v>
      </c>
      <c r="J3" s="232" t="s">
        <v>213</v>
      </c>
      <c r="K3" s="232" t="s">
        <v>214</v>
      </c>
      <c r="L3" s="232" t="s">
        <v>215</v>
      </c>
      <c r="M3" s="232" t="s">
        <v>216</v>
      </c>
      <c r="N3" s="232" t="s">
        <v>217</v>
      </c>
      <c r="O3" s="232" t="s">
        <v>218</v>
      </c>
      <c r="P3" s="232" t="s">
        <v>219</v>
      </c>
      <c r="Q3" s="232" t="s">
        <v>220</v>
      </c>
      <c r="R3" s="232" t="s">
        <v>221</v>
      </c>
      <c r="S3" s="232" t="s">
        <v>222</v>
      </c>
      <c r="T3" s="232" t="s">
        <v>223</v>
      </c>
      <c r="U3" s="232" t="s">
        <v>224</v>
      </c>
      <c r="V3" s="232" t="s">
        <v>225</v>
      </c>
      <c r="W3" s="232" t="s">
        <v>226</v>
      </c>
      <c r="X3" s="232" t="s">
        <v>227</v>
      </c>
      <c r="Y3" s="232" t="s">
        <v>228</v>
      </c>
      <c r="Z3" s="232" t="s">
        <v>229</v>
      </c>
      <c r="AA3" s="232" t="s">
        <v>230</v>
      </c>
      <c r="AB3" s="232" t="s">
        <v>231</v>
      </c>
      <c r="AC3" s="232" t="s">
        <v>232</v>
      </c>
      <c r="AD3" s="232" t="s">
        <v>233</v>
      </c>
      <c r="AE3" s="232" t="s">
        <v>234</v>
      </c>
      <c r="AF3" s="232" t="s">
        <v>235</v>
      </c>
      <c r="AG3" s="232" t="s">
        <v>236</v>
      </c>
      <c r="AH3" s="232" t="s">
        <v>237</v>
      </c>
      <c r="AI3" s="232" t="s">
        <v>238</v>
      </c>
      <c r="AJ3" s="232" t="s">
        <v>239</v>
      </c>
      <c r="AK3" s="232" t="s">
        <v>240</v>
      </c>
      <c r="AL3" s="232" t="s">
        <v>241</v>
      </c>
      <c r="AM3" s="232" t="s">
        <v>242</v>
      </c>
      <c r="AN3" s="239" t="s">
        <v>243</v>
      </c>
      <c r="AO3" s="232" t="s">
        <v>244</v>
      </c>
      <c r="AP3" s="232" t="s">
        <v>245</v>
      </c>
      <c r="AQ3" s="232" t="s">
        <v>246</v>
      </c>
      <c r="AR3" s="232" t="s">
        <v>247</v>
      </c>
      <c r="AS3" s="232" t="s">
        <v>248</v>
      </c>
      <c r="AT3" s="232" t="s">
        <v>249</v>
      </c>
      <c r="AU3" s="232" t="s">
        <v>250</v>
      </c>
      <c r="AV3" s="232" t="s">
        <v>251</v>
      </c>
      <c r="AW3" s="232" t="s">
        <v>252</v>
      </c>
      <c r="AX3" s="232" t="s">
        <v>195</v>
      </c>
      <c r="AY3" s="232" t="s">
        <v>253</v>
      </c>
      <c r="AZ3" s="232" t="s">
        <v>194</v>
      </c>
      <c r="BA3" s="232" t="s">
        <v>254</v>
      </c>
      <c r="BB3" s="232" t="s">
        <v>255</v>
      </c>
      <c r="BC3" s="232" t="s">
        <v>256</v>
      </c>
      <c r="BD3" s="232" t="s">
        <v>257</v>
      </c>
      <c r="BE3" s="232" t="s">
        <v>258</v>
      </c>
      <c r="BF3" s="232" t="s">
        <v>259</v>
      </c>
      <c r="BG3" s="232" t="s">
        <v>260</v>
      </c>
      <c r="BH3" s="232" t="s">
        <v>261</v>
      </c>
      <c r="BI3" s="232" t="s">
        <v>262</v>
      </c>
      <c r="BJ3" s="232" t="s">
        <v>263</v>
      </c>
      <c r="BK3" s="232" t="s">
        <v>264</v>
      </c>
      <c r="BL3" s="232" t="s">
        <v>265</v>
      </c>
      <c r="BM3" s="232" t="s">
        <v>266</v>
      </c>
      <c r="BN3" s="232" t="s">
        <v>267</v>
      </c>
      <c r="BO3" s="232" t="s">
        <v>268</v>
      </c>
      <c r="BP3" s="232" t="s">
        <v>269</v>
      </c>
      <c r="BQ3" s="232" t="s">
        <v>270</v>
      </c>
      <c r="BR3" s="232" t="s">
        <v>271</v>
      </c>
      <c r="BS3" s="232" t="s">
        <v>58</v>
      </c>
      <c r="BT3" s="232" t="s">
        <v>272</v>
      </c>
      <c r="BU3" s="232" t="s">
        <v>273</v>
      </c>
      <c r="BV3" s="232" t="s">
        <v>274</v>
      </c>
      <c r="BW3" s="232" t="s">
        <v>275</v>
      </c>
      <c r="BX3" s="232" t="s">
        <v>276</v>
      </c>
      <c r="BY3" s="232" t="s">
        <v>277</v>
      </c>
      <c r="BZ3" s="232" t="s">
        <v>70</v>
      </c>
      <c r="CA3" s="232" t="s">
        <v>278</v>
      </c>
      <c r="CB3" s="232" t="s">
        <v>279</v>
      </c>
      <c r="CC3" s="232" t="s">
        <v>280</v>
      </c>
      <c r="CD3" s="232" t="s">
        <v>281</v>
      </c>
      <c r="CE3" s="232" t="s">
        <v>282</v>
      </c>
      <c r="CF3" s="232" t="s">
        <v>283</v>
      </c>
      <c r="CG3" s="232" t="s">
        <v>284</v>
      </c>
      <c r="CH3" s="232" t="s">
        <v>285</v>
      </c>
      <c r="CI3" s="232" t="s">
        <v>286</v>
      </c>
      <c r="CJ3" s="232" t="s">
        <v>287</v>
      </c>
      <c r="CK3" s="232" t="s">
        <v>288</v>
      </c>
      <c r="CL3" s="232" t="s">
        <v>289</v>
      </c>
      <c r="CM3" s="232" t="s">
        <v>290</v>
      </c>
      <c r="CN3" s="232" t="s">
        <v>291</v>
      </c>
      <c r="CO3" s="232" t="s">
        <v>292</v>
      </c>
      <c r="CP3" s="232" t="s">
        <v>293</v>
      </c>
      <c r="CQ3" s="232" t="s">
        <v>294</v>
      </c>
      <c r="CR3" s="232" t="s">
        <v>295</v>
      </c>
      <c r="CS3" s="232" t="s">
        <v>296</v>
      </c>
      <c r="CT3" s="232" t="s">
        <v>297</v>
      </c>
      <c r="CU3" s="232" t="s">
        <v>298</v>
      </c>
      <c r="CV3" s="232" t="s">
        <v>299</v>
      </c>
      <c r="CW3" s="232" t="s">
        <v>300</v>
      </c>
      <c r="CX3" s="232" t="s">
        <v>301</v>
      </c>
      <c r="CY3" s="232" t="s">
        <v>302</v>
      </c>
      <c r="CZ3" s="232" t="s">
        <v>303</v>
      </c>
      <c r="DA3" s="232" t="s">
        <v>304</v>
      </c>
      <c r="DB3" s="232" t="s">
        <v>305</v>
      </c>
      <c r="DC3" s="232" t="s">
        <v>306</v>
      </c>
      <c r="DD3" s="232" t="s">
        <v>307</v>
      </c>
      <c r="DE3" s="232" t="s">
        <v>308</v>
      </c>
      <c r="DF3" s="232" t="s">
        <v>309</v>
      </c>
      <c r="DG3" s="232" t="s">
        <v>310</v>
      </c>
      <c r="DH3" s="232" t="s">
        <v>311</v>
      </c>
      <c r="DI3" s="232" t="s">
        <v>312</v>
      </c>
      <c r="DJ3" s="232" t="s">
        <v>313</v>
      </c>
      <c r="DK3" s="232" t="s">
        <v>314</v>
      </c>
      <c r="DL3" s="232" t="s">
        <v>315</v>
      </c>
      <c r="DM3" s="232" t="s">
        <v>316</v>
      </c>
      <c r="DN3" s="232" t="s">
        <v>317</v>
      </c>
      <c r="DO3" s="232" t="s">
        <v>318</v>
      </c>
      <c r="DP3" s="232" t="s">
        <v>319</v>
      </c>
      <c r="DQ3" s="232" t="s">
        <v>320</v>
      </c>
      <c r="DR3" s="232" t="s">
        <v>321</v>
      </c>
      <c r="DS3" s="232" t="s">
        <v>322</v>
      </c>
      <c r="DT3" s="232" t="s">
        <v>323</v>
      </c>
      <c r="DU3" s="232" t="s">
        <v>324</v>
      </c>
      <c r="DV3" s="232" t="s">
        <v>71</v>
      </c>
      <c r="DW3" s="232" t="s">
        <v>325</v>
      </c>
      <c r="DX3" s="232" t="s">
        <v>326</v>
      </c>
      <c r="DY3" s="232" t="s">
        <v>109</v>
      </c>
      <c r="DZ3" s="232" t="s">
        <v>327</v>
      </c>
      <c r="EA3" s="232" t="s">
        <v>328</v>
      </c>
      <c r="EB3" s="232" t="s">
        <v>329</v>
      </c>
      <c r="EC3" s="232" t="s">
        <v>330</v>
      </c>
      <c r="ED3" s="232" t="s">
        <v>331</v>
      </c>
      <c r="EE3" s="232" t="s">
        <v>332</v>
      </c>
      <c r="EF3" s="232" t="s">
        <v>333</v>
      </c>
      <c r="EG3" s="232" t="s">
        <v>334</v>
      </c>
      <c r="EH3" s="232" t="s">
        <v>335</v>
      </c>
      <c r="EI3" s="232" t="s">
        <v>320</v>
      </c>
      <c r="EJ3" s="232" t="s">
        <v>336</v>
      </c>
      <c r="EK3" s="232" t="s">
        <v>337</v>
      </c>
      <c r="EL3" s="232" t="s">
        <v>338</v>
      </c>
      <c r="EM3" s="232" t="s">
        <v>339</v>
      </c>
      <c r="EN3" s="232" t="s">
        <v>340</v>
      </c>
      <c r="EO3" s="232" t="s">
        <v>341</v>
      </c>
      <c r="EP3" s="232" t="s">
        <v>342</v>
      </c>
      <c r="EQ3" s="232" t="s">
        <v>343</v>
      </c>
      <c r="ER3" s="232" t="s">
        <v>344</v>
      </c>
      <c r="ES3" s="232" t="s">
        <v>345</v>
      </c>
      <c r="ET3" s="232" t="s">
        <v>346</v>
      </c>
      <c r="EU3" s="232" t="s">
        <v>347</v>
      </c>
      <c r="EV3" s="232" t="s">
        <v>348</v>
      </c>
      <c r="EW3" s="232" t="s">
        <v>349</v>
      </c>
      <c r="EX3" s="232" t="s">
        <v>350</v>
      </c>
      <c r="EY3" s="232" t="s">
        <v>351</v>
      </c>
      <c r="EZ3" s="232" t="s">
        <v>352</v>
      </c>
      <c r="FA3" s="232" t="s">
        <v>353</v>
      </c>
      <c r="FB3" s="232" t="s">
        <v>354</v>
      </c>
      <c r="FC3" s="232" t="s">
        <v>355</v>
      </c>
      <c r="FD3" s="232" t="s">
        <v>356</v>
      </c>
      <c r="FE3" s="232" t="s">
        <v>357</v>
      </c>
      <c r="FF3" s="232" t="s">
        <v>358</v>
      </c>
    </row>
    <row r="4" spans="1:162" s="245" customFormat="1">
      <c r="A4" s="235" t="s">
        <v>359</v>
      </c>
      <c r="B4" s="235" t="s">
        <v>360</v>
      </c>
      <c r="C4" s="240" t="s">
        <v>361</v>
      </c>
      <c r="D4" s="240" t="s">
        <v>362</v>
      </c>
      <c r="E4" s="240">
        <v>4210</v>
      </c>
      <c r="F4" s="240" t="s">
        <v>363</v>
      </c>
      <c r="G4" s="240" t="s">
        <v>363</v>
      </c>
      <c r="H4" s="240" t="s">
        <v>363</v>
      </c>
      <c r="I4" s="240">
        <v>0.74739999999999995</v>
      </c>
      <c r="J4" s="240">
        <v>0.94059999999999999</v>
      </c>
      <c r="K4" s="241">
        <v>4.4600000000000001E-2</v>
      </c>
      <c r="L4" s="241">
        <v>8.1500000000000003E-2</v>
      </c>
      <c r="M4" s="241">
        <v>7.7999999999999996E-3</v>
      </c>
      <c r="N4" s="241">
        <v>1.01E-2</v>
      </c>
      <c r="O4" s="241">
        <v>4.9599999999999998E-2</v>
      </c>
      <c r="P4" s="241">
        <v>3.7199999999999997E-2</v>
      </c>
      <c r="Q4" s="241">
        <v>7.0099999999999996E-2</v>
      </c>
      <c r="R4" s="241">
        <v>0.24490000000000001</v>
      </c>
      <c r="S4" s="241">
        <v>0.1232</v>
      </c>
      <c r="T4" s="242">
        <v>84151.4</v>
      </c>
      <c r="U4" s="242">
        <v>4217.1499999999996</v>
      </c>
      <c r="V4" s="242">
        <v>24782</v>
      </c>
      <c r="W4" s="242">
        <v>28999.15</v>
      </c>
      <c r="X4" s="242">
        <v>113150.55</v>
      </c>
      <c r="Y4" s="242">
        <v>6764</v>
      </c>
      <c r="Z4" s="242">
        <v>106386.55</v>
      </c>
      <c r="AA4" s="241">
        <v>5.9799999999999999E-2</v>
      </c>
      <c r="AB4" s="240">
        <v>1.99</v>
      </c>
      <c r="AC4" s="241">
        <v>0.64659999999999995</v>
      </c>
      <c r="AD4" s="241">
        <v>0.25629999999999997</v>
      </c>
      <c r="AE4" s="241">
        <v>1.8298000000000001</v>
      </c>
      <c r="AF4" s="241">
        <v>0.34460000000000002</v>
      </c>
      <c r="AG4" s="242">
        <v>99.19</v>
      </c>
      <c r="AH4" s="240">
        <v>31.61</v>
      </c>
      <c r="AI4" s="241">
        <v>-0.14449999999999999</v>
      </c>
      <c r="AJ4" s="240">
        <v>0.78</v>
      </c>
      <c r="AK4" s="241">
        <v>0.38990000000000002</v>
      </c>
      <c r="AL4" s="241">
        <v>0.23449999999999999</v>
      </c>
      <c r="AM4" s="240">
        <v>0.25</v>
      </c>
      <c r="AN4" s="236">
        <v>8.18</v>
      </c>
      <c r="AO4" s="240">
        <v>14.55</v>
      </c>
      <c r="AP4" s="240">
        <v>15.29</v>
      </c>
      <c r="AQ4" s="240">
        <v>14.23</v>
      </c>
      <c r="AR4" s="240">
        <v>14.44</v>
      </c>
      <c r="AS4" s="240">
        <v>2.39</v>
      </c>
      <c r="AT4" s="240">
        <v>5.31</v>
      </c>
      <c r="AU4" s="240">
        <v>4.91</v>
      </c>
      <c r="AV4" s="240">
        <v>0.92</v>
      </c>
      <c r="AW4" s="240">
        <v>13.37</v>
      </c>
      <c r="AX4" s="240">
        <v>8.5500000000000007</v>
      </c>
      <c r="AY4" s="240">
        <v>3.2</v>
      </c>
      <c r="AZ4" s="240">
        <v>1.17</v>
      </c>
      <c r="BA4" s="241">
        <v>0.98060000000000003</v>
      </c>
      <c r="BB4" s="241">
        <v>6.4100000000000004E-2</v>
      </c>
      <c r="BC4" s="241">
        <v>2.2800000000000001E-2</v>
      </c>
      <c r="BD4" s="241">
        <v>-0.21099999999999999</v>
      </c>
      <c r="BE4" s="241">
        <v>3.7199999999999997E-2</v>
      </c>
      <c r="BF4" s="241">
        <v>-3.9800000000000002E-2</v>
      </c>
      <c r="BG4" s="241">
        <v>2.1899999999999999E-2</v>
      </c>
      <c r="BH4" s="241">
        <v>6.08E-2</v>
      </c>
      <c r="BI4" s="241">
        <v>-1.7600000000000001E-2</v>
      </c>
      <c r="BJ4" s="241">
        <v>0.32640000000000002</v>
      </c>
      <c r="BK4" s="241">
        <v>0.1933</v>
      </c>
      <c r="BL4" s="240">
        <v>2.73</v>
      </c>
      <c r="BM4" s="241">
        <v>6.1499999999999999E-2</v>
      </c>
      <c r="BN4" s="241">
        <v>8.8900000000000007E-2</v>
      </c>
      <c r="BO4" s="241">
        <v>0.21690000000000001</v>
      </c>
      <c r="BP4" s="241">
        <v>0.25</v>
      </c>
      <c r="BQ4" s="241">
        <v>0.20480000000000001</v>
      </c>
      <c r="BR4" s="241">
        <v>0.57609999999999995</v>
      </c>
      <c r="BS4" s="242">
        <v>5782</v>
      </c>
      <c r="BT4" s="242">
        <v>5502</v>
      </c>
      <c r="BU4" s="242">
        <v>7953</v>
      </c>
      <c r="BV4" s="242">
        <v>7956.57</v>
      </c>
      <c r="BW4" s="242">
        <v>19410</v>
      </c>
      <c r="BX4" s="242">
        <v>91070</v>
      </c>
      <c r="BY4" s="242">
        <v>89483</v>
      </c>
      <c r="BZ4" s="242">
        <v>11620</v>
      </c>
      <c r="CA4" s="242">
        <v>12448</v>
      </c>
      <c r="CB4" s="242">
        <v>6327.08</v>
      </c>
      <c r="CC4" s="242">
        <v>-2465</v>
      </c>
      <c r="CD4" s="242">
        <v>817</v>
      </c>
      <c r="CE4" s="242">
        <v>5020</v>
      </c>
      <c r="CF4" s="241">
        <v>5.6099999999999997E-2</v>
      </c>
      <c r="CG4" s="242">
        <v>858</v>
      </c>
      <c r="CH4" s="241">
        <v>0.26469999999999999</v>
      </c>
      <c r="CI4" s="242">
        <v>4652.08</v>
      </c>
      <c r="CJ4" s="242">
        <v>6292</v>
      </c>
      <c r="CK4" s="242">
        <v>3827</v>
      </c>
      <c r="CL4" s="242">
        <v>16857</v>
      </c>
      <c r="CM4" s="242">
        <v>32738.15</v>
      </c>
      <c r="CN4" s="242">
        <v>15848</v>
      </c>
      <c r="CO4" s="242">
        <v>33273.15</v>
      </c>
      <c r="CP4" s="242">
        <v>-5395</v>
      </c>
      <c r="CQ4" s="240">
        <v>0.76</v>
      </c>
      <c r="CR4" s="240">
        <v>1.0900000000000001</v>
      </c>
      <c r="CS4" s="240">
        <v>1.1200000000000001</v>
      </c>
      <c r="CT4" s="240">
        <v>0.28000000000000003</v>
      </c>
      <c r="CU4" s="240">
        <v>0.62</v>
      </c>
      <c r="CV4" s="242">
        <v>8983.6</v>
      </c>
      <c r="CW4" s="242">
        <v>6099</v>
      </c>
      <c r="CX4" s="242">
        <v>-6395</v>
      </c>
      <c r="CY4" s="242">
        <v>6919</v>
      </c>
      <c r="CZ4" s="242">
        <v>1417</v>
      </c>
      <c r="DA4" s="242">
        <v>5502</v>
      </c>
      <c r="DB4" s="242">
        <v>84151.4</v>
      </c>
      <c r="DC4" s="242">
        <v>12448</v>
      </c>
      <c r="DD4" s="242">
        <v>106386.55</v>
      </c>
      <c r="DE4" s="242">
        <v>6292</v>
      </c>
      <c r="DF4" s="242">
        <v>0</v>
      </c>
      <c r="DG4" s="242">
        <v>7956.57</v>
      </c>
      <c r="DH4" s="242">
        <v>33273.15</v>
      </c>
      <c r="DI4" s="242">
        <v>11620</v>
      </c>
      <c r="DJ4" s="241">
        <v>0.32640000000000002</v>
      </c>
      <c r="DK4" s="241">
        <v>0.1933</v>
      </c>
      <c r="DL4" s="240">
        <v>9.16</v>
      </c>
      <c r="DM4" s="240">
        <v>3693</v>
      </c>
      <c r="DN4" s="240">
        <v>8505</v>
      </c>
      <c r="DO4" s="240">
        <v>8983.6</v>
      </c>
      <c r="DP4" s="241">
        <v>0.43009999999999998</v>
      </c>
      <c r="DQ4" s="240" t="s">
        <v>364</v>
      </c>
      <c r="DR4" s="240" t="s">
        <v>365</v>
      </c>
      <c r="DS4" s="240" t="s">
        <v>366</v>
      </c>
      <c r="DT4" s="240" t="e">
        <v>#REF!</v>
      </c>
      <c r="DU4" s="240" t="s">
        <v>367</v>
      </c>
      <c r="DV4" s="240" t="s">
        <v>368</v>
      </c>
      <c r="DW4" s="240" t="s">
        <v>369</v>
      </c>
      <c r="DX4" s="240" t="s">
        <v>370</v>
      </c>
      <c r="DY4" s="240" t="s">
        <v>371</v>
      </c>
      <c r="DZ4" s="240">
        <v>113</v>
      </c>
      <c r="EA4" s="241">
        <v>-0.13370000000000001</v>
      </c>
      <c r="EB4" s="241">
        <v>-8.3099999999999993E-2</v>
      </c>
      <c r="EC4" s="241">
        <v>-0.17169999999999999</v>
      </c>
      <c r="ED4" s="241">
        <v>0.18859999999999999</v>
      </c>
      <c r="EE4" s="241">
        <v>-0.218</v>
      </c>
      <c r="EF4" s="241">
        <v>-9.1999999999999998E-3</v>
      </c>
      <c r="EG4" s="241">
        <v>8.6599999999999996E-2</v>
      </c>
      <c r="EH4" s="241">
        <v>8.8999999999999996E-2</v>
      </c>
      <c r="EI4" s="240" t="s">
        <v>364</v>
      </c>
      <c r="EJ4" s="235">
        <v>7953</v>
      </c>
      <c r="EK4" s="235">
        <v>7825</v>
      </c>
      <c r="EL4" s="235" t="s">
        <v>372</v>
      </c>
      <c r="EM4" s="235" t="s">
        <v>373</v>
      </c>
      <c r="EN4" s="235" t="s">
        <v>374</v>
      </c>
      <c r="EO4" s="235" t="s">
        <v>375</v>
      </c>
      <c r="EP4" s="235" t="s">
        <v>376</v>
      </c>
      <c r="EQ4" s="235" t="s">
        <v>377</v>
      </c>
      <c r="ER4" s="235">
        <v>1</v>
      </c>
      <c r="ES4" s="243">
        <v>1.12E-2</v>
      </c>
      <c r="ET4" s="243">
        <v>1.5100000000000001E-2</v>
      </c>
      <c r="EU4" s="244">
        <v>89483</v>
      </c>
      <c r="EV4" s="235" t="s">
        <v>378</v>
      </c>
      <c r="EW4" s="244">
        <v>100041.2</v>
      </c>
      <c r="EX4" s="244">
        <v>185909.5</v>
      </c>
      <c r="EY4" s="244">
        <v>150357.4</v>
      </c>
      <c r="EZ4" s="244">
        <v>133948.29999999999</v>
      </c>
      <c r="FA4" s="244">
        <v>107609.9</v>
      </c>
      <c r="FB4" s="244">
        <v>82278.399999999994</v>
      </c>
      <c r="FC4" s="244">
        <v>0</v>
      </c>
      <c r="FD4" s="243">
        <v>0.81200000000000006</v>
      </c>
      <c r="FE4" s="244">
        <v>2246</v>
      </c>
      <c r="FF4" s="244">
        <v>21975</v>
      </c>
    </row>
    <row r="5" spans="1:162">
      <c r="A5" s="234" t="s">
        <v>379</v>
      </c>
      <c r="B5" s="234" t="s">
        <v>380</v>
      </c>
      <c r="C5" s="246" t="s">
        <v>361</v>
      </c>
      <c r="D5" s="246" t="s">
        <v>362</v>
      </c>
      <c r="E5" s="246">
        <v>4210</v>
      </c>
      <c r="F5" s="246" t="s">
        <v>381</v>
      </c>
      <c r="G5" s="246" t="s">
        <v>382</v>
      </c>
      <c r="H5" s="246" t="s">
        <v>383</v>
      </c>
      <c r="I5" s="246">
        <v>0.74739999999999995</v>
      </c>
      <c r="J5" s="246">
        <v>1.0099</v>
      </c>
      <c r="K5" s="247">
        <v>4.2299999999999997E-2</v>
      </c>
      <c r="L5" s="247">
        <v>8.2199999999999995E-2</v>
      </c>
      <c r="M5" s="246" t="s">
        <v>384</v>
      </c>
      <c r="N5" s="247">
        <v>5.4999999999999997E-3</v>
      </c>
      <c r="O5" s="247">
        <v>4.4999999999999998E-2</v>
      </c>
      <c r="P5" s="247">
        <v>3.15E-2</v>
      </c>
      <c r="Q5" s="247">
        <v>6.5299999999999997E-2</v>
      </c>
      <c r="R5" s="247">
        <v>8.5000000000000006E-2</v>
      </c>
      <c r="S5" s="247">
        <v>3.0200000000000001E-2</v>
      </c>
      <c r="T5" s="248">
        <v>61526.6</v>
      </c>
      <c r="U5" s="248">
        <v>0</v>
      </c>
      <c r="V5" s="248">
        <v>30835.4</v>
      </c>
      <c r="W5" s="248">
        <v>30835.4</v>
      </c>
      <c r="X5" s="248">
        <v>92362</v>
      </c>
      <c r="Y5" s="248">
        <v>4165.2</v>
      </c>
      <c r="Z5" s="248">
        <v>88196.800000000003</v>
      </c>
      <c r="AA5" s="247">
        <v>4.5100000000000001E-2</v>
      </c>
      <c r="AB5" s="246">
        <v>0.49</v>
      </c>
      <c r="AC5" s="247">
        <v>0.54620000000000002</v>
      </c>
      <c r="AD5" s="247">
        <v>0.33389999999999997</v>
      </c>
      <c r="AE5" s="247">
        <v>1.2034</v>
      </c>
      <c r="AF5" s="247">
        <v>0.50119999999999998</v>
      </c>
      <c r="AG5" s="248">
        <v>54.97</v>
      </c>
      <c r="AH5" s="246">
        <v>50.04</v>
      </c>
      <c r="AI5" s="247">
        <v>-0.1489</v>
      </c>
      <c r="AJ5" s="246">
        <v>2.1</v>
      </c>
      <c r="AK5" s="247">
        <v>0.60329999999999995</v>
      </c>
      <c r="AL5" s="247">
        <v>0.23069999999999999</v>
      </c>
      <c r="AM5" s="246">
        <v>0.21</v>
      </c>
      <c r="AN5" s="233">
        <v>5.12</v>
      </c>
      <c r="AO5" s="246">
        <v>17.84</v>
      </c>
      <c r="AP5" s="246">
        <v>14.82</v>
      </c>
      <c r="AQ5" s="246">
        <v>12.88</v>
      </c>
      <c r="AR5" s="246">
        <v>14.47</v>
      </c>
      <c r="AS5" s="246">
        <v>1.88</v>
      </c>
      <c r="AT5" s="246">
        <v>2.4</v>
      </c>
      <c r="AU5" s="246">
        <v>1.77</v>
      </c>
      <c r="AV5" s="246">
        <v>0.7</v>
      </c>
      <c r="AW5" s="246">
        <v>13.58</v>
      </c>
      <c r="AX5" s="246">
        <v>9.49</v>
      </c>
      <c r="AY5" s="246">
        <v>1.69</v>
      </c>
      <c r="AZ5" s="246">
        <v>1</v>
      </c>
      <c r="BA5" s="247">
        <v>0.59989999999999999</v>
      </c>
      <c r="BB5" s="247">
        <v>4.0500000000000001E-2</v>
      </c>
      <c r="BC5" s="247">
        <v>0.38469999999999999</v>
      </c>
      <c r="BD5" s="247">
        <v>-0.13700000000000001</v>
      </c>
      <c r="BE5" s="247">
        <v>6.9000000000000006E-2</v>
      </c>
      <c r="BF5" s="247">
        <v>-3.78E-2</v>
      </c>
      <c r="BG5" s="247">
        <v>5.33E-2</v>
      </c>
      <c r="BH5" s="247">
        <v>9.5100000000000004E-2</v>
      </c>
      <c r="BI5" s="247">
        <v>7.4000000000000003E-3</v>
      </c>
      <c r="BJ5" s="247">
        <v>0.16719999999999999</v>
      </c>
      <c r="BK5" s="247">
        <v>9.5500000000000002E-2</v>
      </c>
      <c r="BL5" s="246">
        <v>2.06</v>
      </c>
      <c r="BM5" s="247">
        <v>4.2099999999999999E-2</v>
      </c>
      <c r="BN5" s="247">
        <v>6.59E-2</v>
      </c>
      <c r="BO5" s="247">
        <v>0.1716</v>
      </c>
      <c r="BP5" s="247">
        <v>0.29930000000000001</v>
      </c>
      <c r="BQ5" s="247">
        <v>0.29520000000000002</v>
      </c>
      <c r="BR5" s="247">
        <v>0.35410000000000003</v>
      </c>
      <c r="BS5" s="248">
        <v>3449.6</v>
      </c>
      <c r="BT5" s="248">
        <v>4152.3</v>
      </c>
      <c r="BU5" s="248">
        <v>6496.5</v>
      </c>
      <c r="BV5" s="248">
        <v>6496.5</v>
      </c>
      <c r="BW5" s="248">
        <v>16926</v>
      </c>
      <c r="BX5" s="248">
        <v>87764.800000000003</v>
      </c>
      <c r="BY5" s="248">
        <v>98619</v>
      </c>
      <c r="BZ5" s="248">
        <v>7838.3</v>
      </c>
      <c r="CA5" s="248">
        <v>9298.4</v>
      </c>
      <c r="CB5" s="248">
        <v>4578.8</v>
      </c>
      <c r="CC5" s="248">
        <v>583.1</v>
      </c>
      <c r="CD5" s="248">
        <v>768.5</v>
      </c>
      <c r="CE5" s="248">
        <v>-287.39999999999998</v>
      </c>
      <c r="CF5" s="247">
        <v>-2.8999999999999998E-3</v>
      </c>
      <c r="CG5" s="248">
        <v>-2012.2</v>
      </c>
      <c r="CH5" s="247">
        <v>-0.27160000000000001</v>
      </c>
      <c r="CI5" s="248">
        <v>5822.5</v>
      </c>
      <c r="CJ5" s="248">
        <v>4812.8999999999996</v>
      </c>
      <c r="CK5" s="248">
        <v>5396</v>
      </c>
      <c r="CL5" s="248">
        <v>24829.4</v>
      </c>
      <c r="CM5" s="248">
        <v>47936.7</v>
      </c>
      <c r="CN5" s="248">
        <v>25623.599999999999</v>
      </c>
      <c r="CO5" s="248">
        <v>52293.8</v>
      </c>
      <c r="CP5" s="248">
        <v>-2490.9</v>
      </c>
      <c r="CQ5" s="246">
        <v>1.1599999999999999</v>
      </c>
      <c r="CR5" s="246">
        <v>1.1499999999999999</v>
      </c>
      <c r="CS5" s="246">
        <v>0.55000000000000004</v>
      </c>
      <c r="CT5" s="246">
        <v>0.46</v>
      </c>
      <c r="CU5" s="246">
        <v>0.39</v>
      </c>
      <c r="CV5" s="248">
        <v>5088.5200000000004</v>
      </c>
      <c r="CW5" s="248">
        <v>3579.49</v>
      </c>
      <c r="CX5" s="248">
        <v>-4446.8</v>
      </c>
      <c r="CY5" s="248">
        <v>6212.6</v>
      </c>
      <c r="CZ5" s="248">
        <v>1833.9</v>
      </c>
      <c r="DA5" s="248">
        <v>4152.3</v>
      </c>
      <c r="DB5" s="248">
        <v>61526.6</v>
      </c>
      <c r="DC5" s="248">
        <v>9298.4</v>
      </c>
      <c r="DD5" s="248">
        <v>88196.800000000003</v>
      </c>
      <c r="DE5" s="248">
        <v>4812.8999999999996</v>
      </c>
      <c r="DF5" s="248">
        <v>310.32</v>
      </c>
      <c r="DG5" s="248">
        <v>6508</v>
      </c>
      <c r="DH5" s="248">
        <v>52604.12</v>
      </c>
      <c r="DI5" s="248">
        <v>7946.2</v>
      </c>
      <c r="DJ5" s="247">
        <v>0.1656</v>
      </c>
      <c r="DK5" s="247">
        <v>9.5100000000000004E-2</v>
      </c>
      <c r="DL5" s="246">
        <v>11.1</v>
      </c>
      <c r="DM5" s="246">
        <v>5697.5</v>
      </c>
      <c r="DN5" s="246">
        <v>801.3</v>
      </c>
      <c r="DO5" s="246">
        <v>5088.5200000000004</v>
      </c>
      <c r="DP5" s="247">
        <v>0.19170000000000001</v>
      </c>
      <c r="DQ5" s="246" t="s">
        <v>385</v>
      </c>
      <c r="DR5" s="246" t="s">
        <v>386</v>
      </c>
      <c r="DS5" s="246" t="s">
        <v>387</v>
      </c>
      <c r="DT5" s="246" t="e">
        <v>#REF!</v>
      </c>
      <c r="DU5" s="246" t="s">
        <v>388</v>
      </c>
      <c r="DV5" s="246" t="s">
        <v>389</v>
      </c>
      <c r="DW5" s="246" t="s">
        <v>390</v>
      </c>
      <c r="DX5" s="246" t="s">
        <v>391</v>
      </c>
      <c r="DY5" s="246" t="s">
        <v>392</v>
      </c>
      <c r="DZ5" s="246">
        <v>25</v>
      </c>
      <c r="EA5" s="247">
        <v>0.20899999999999999</v>
      </c>
      <c r="EB5" s="247">
        <v>6.5299999999999997E-2</v>
      </c>
      <c r="EC5" s="247">
        <v>-4.2500000000000003E-2</v>
      </c>
      <c r="ED5" s="247">
        <v>0.23</v>
      </c>
      <c r="EE5" s="247">
        <v>0.51670000000000005</v>
      </c>
      <c r="EF5" s="247">
        <v>-6.4000000000000003E-3</v>
      </c>
      <c r="EG5" s="247">
        <v>6.3700000000000007E-2</v>
      </c>
      <c r="EH5" s="247">
        <v>6.6000000000000003E-2</v>
      </c>
      <c r="EI5" s="246" t="s">
        <v>385</v>
      </c>
      <c r="EJ5" s="234">
        <v>6496.5</v>
      </c>
      <c r="EK5" s="234">
        <v>6323</v>
      </c>
      <c r="EL5" s="234" t="s">
        <v>393</v>
      </c>
      <c r="EM5" s="234" t="s">
        <v>394</v>
      </c>
      <c r="EN5" s="234" t="s">
        <v>395</v>
      </c>
      <c r="EO5" s="234" t="s">
        <v>396</v>
      </c>
      <c r="EP5" s="234" t="s">
        <v>397</v>
      </c>
      <c r="EQ5" s="234" t="s">
        <v>398</v>
      </c>
      <c r="ER5" s="234">
        <v>1</v>
      </c>
      <c r="ES5" s="249">
        <v>3.7400000000000003E-2</v>
      </c>
      <c r="ET5" s="249">
        <v>2.07E-2</v>
      </c>
      <c r="EU5" s="250">
        <v>98619</v>
      </c>
      <c r="EV5" s="234" t="s">
        <v>397</v>
      </c>
      <c r="EW5" s="250">
        <v>39376.300000000003</v>
      </c>
      <c r="EX5" s="250">
        <v>78398</v>
      </c>
      <c r="EY5" s="250">
        <v>45307.3</v>
      </c>
      <c r="EZ5" s="250">
        <v>58616.6</v>
      </c>
      <c r="FA5" s="250">
        <v>40566.199999999997</v>
      </c>
      <c r="FB5" s="250">
        <v>44432.800000000003</v>
      </c>
      <c r="FC5" s="250">
        <v>0</v>
      </c>
      <c r="FD5" s="249">
        <v>0.309</v>
      </c>
      <c r="FE5" s="250">
        <v>0</v>
      </c>
      <c r="FF5" s="250">
        <v>11296.5</v>
      </c>
    </row>
    <row r="6" spans="1:162">
      <c r="A6" s="234" t="s">
        <v>399</v>
      </c>
      <c r="B6" s="234" t="s">
        <v>400</v>
      </c>
      <c r="C6" s="246" t="s">
        <v>401</v>
      </c>
      <c r="D6" s="246" t="s">
        <v>362</v>
      </c>
      <c r="E6" s="246">
        <v>4210</v>
      </c>
      <c r="F6" s="246" t="s">
        <v>363</v>
      </c>
      <c r="G6" s="246" t="s">
        <v>363</v>
      </c>
      <c r="H6" s="246" t="s">
        <v>363</v>
      </c>
      <c r="I6" s="246">
        <v>0.66930000000000001</v>
      </c>
      <c r="J6" s="246">
        <v>0.67220000000000002</v>
      </c>
      <c r="K6" s="247">
        <v>4.4600000000000001E-2</v>
      </c>
      <c r="L6" s="247">
        <v>6.9500000000000006E-2</v>
      </c>
      <c r="M6" s="246" t="s">
        <v>384</v>
      </c>
      <c r="N6" s="247">
        <v>1.12E-2</v>
      </c>
      <c r="O6" s="247">
        <v>5.0700000000000002E-2</v>
      </c>
      <c r="P6" s="247">
        <v>3.7999999999999999E-2</v>
      </c>
      <c r="Q6" s="247">
        <v>6.93E-2</v>
      </c>
      <c r="R6" s="247">
        <v>0.1837</v>
      </c>
      <c r="S6" s="247">
        <v>0.17829999999999999</v>
      </c>
      <c r="T6" s="248">
        <v>32786.6</v>
      </c>
      <c r="U6" s="248">
        <v>105.06</v>
      </c>
      <c r="V6" s="248">
        <v>85</v>
      </c>
      <c r="W6" s="248">
        <v>190.06</v>
      </c>
      <c r="X6" s="248">
        <v>32976.660000000003</v>
      </c>
      <c r="Y6" s="248">
        <v>46.6</v>
      </c>
      <c r="Z6" s="248">
        <v>32930.06</v>
      </c>
      <c r="AA6" s="247">
        <v>1.4E-3</v>
      </c>
      <c r="AB6" s="246">
        <v>2.34</v>
      </c>
      <c r="AC6" s="247">
        <v>4.2700000000000002E-2</v>
      </c>
      <c r="AD6" s="247">
        <v>5.7999999999999996E-3</v>
      </c>
      <c r="AE6" s="247">
        <v>4.4600000000000001E-2</v>
      </c>
      <c r="AF6" s="247">
        <v>5.7999999999999996E-3</v>
      </c>
      <c r="AG6" s="248">
        <v>156.80000000000001</v>
      </c>
      <c r="AH6" s="246">
        <v>31.61</v>
      </c>
      <c r="AI6" s="247">
        <v>4.2700000000000002E-2</v>
      </c>
      <c r="AJ6" s="246">
        <v>1.01</v>
      </c>
      <c r="AK6" s="247">
        <v>0.45279999999999998</v>
      </c>
      <c r="AL6" s="247">
        <v>0.27829999999999999</v>
      </c>
      <c r="AM6" s="246">
        <v>0.25</v>
      </c>
      <c r="AN6" s="233">
        <v>37589.19</v>
      </c>
      <c r="AO6" s="246">
        <v>27.64</v>
      </c>
      <c r="AP6" s="246">
        <v>31.01</v>
      </c>
      <c r="AQ6" s="246">
        <v>27.28</v>
      </c>
      <c r="AR6" s="246">
        <v>32.07</v>
      </c>
      <c r="AS6" s="246">
        <v>2.4900000000000002</v>
      </c>
      <c r="AT6" s="246">
        <v>7.69</v>
      </c>
      <c r="AU6" s="246">
        <v>7.62</v>
      </c>
      <c r="AV6" s="246">
        <v>5.64</v>
      </c>
      <c r="AW6" s="246">
        <v>23.69</v>
      </c>
      <c r="AX6" s="246">
        <v>18.579999999999998</v>
      </c>
      <c r="AY6" s="246">
        <v>7.47</v>
      </c>
      <c r="AZ6" s="246">
        <v>5.66</v>
      </c>
      <c r="BA6" s="247">
        <v>0.22</v>
      </c>
      <c r="BB6" s="247">
        <v>7.1000000000000004E-3</v>
      </c>
      <c r="BC6" s="247">
        <v>1.3299999999999999E-2</v>
      </c>
      <c r="BD6" s="247">
        <v>-7.4099999999999999E-2</v>
      </c>
      <c r="BE6" s="247">
        <v>0.11</v>
      </c>
      <c r="BF6" s="247">
        <v>-3.3700000000000001E-2</v>
      </c>
      <c r="BG6" s="247">
        <v>7.1300000000000002E-2</v>
      </c>
      <c r="BH6" s="247">
        <v>0.111</v>
      </c>
      <c r="BI6" s="247">
        <v>-1.38E-2</v>
      </c>
      <c r="BJ6" s="247">
        <v>0.25319999999999998</v>
      </c>
      <c r="BK6" s="247">
        <v>0.24759999999999999</v>
      </c>
      <c r="BL6" s="246">
        <v>1.31</v>
      </c>
      <c r="BM6" s="247">
        <v>0.18970000000000001</v>
      </c>
      <c r="BN6" s="247">
        <v>0.24940000000000001</v>
      </c>
      <c r="BO6" s="247">
        <v>0.39300000000000002</v>
      </c>
      <c r="BP6" s="247">
        <v>0.25</v>
      </c>
      <c r="BQ6" s="247">
        <v>0.24010000000000001</v>
      </c>
      <c r="BR6" s="247">
        <v>0.77980000000000005</v>
      </c>
      <c r="BS6" s="248">
        <v>1186.0999999999999</v>
      </c>
      <c r="BT6" s="248">
        <v>1057.4000000000001</v>
      </c>
      <c r="BU6" s="248">
        <v>1390.8</v>
      </c>
      <c r="BV6" s="248">
        <v>1390.29</v>
      </c>
      <c r="BW6" s="248">
        <v>2190.6999999999998</v>
      </c>
      <c r="BX6" s="248">
        <v>5814.8</v>
      </c>
      <c r="BY6" s="248">
        <v>5574.9</v>
      </c>
      <c r="BZ6" s="248">
        <v>1888.6</v>
      </c>
      <c r="CA6" s="248">
        <v>1772.1</v>
      </c>
      <c r="CB6" s="248">
        <v>1056.53</v>
      </c>
      <c r="CC6" s="248">
        <v>-25</v>
      </c>
      <c r="CD6" s="248">
        <v>-53.1</v>
      </c>
      <c r="CE6" s="248">
        <v>437.1</v>
      </c>
      <c r="CF6" s="247">
        <v>7.8399999999999997E-2</v>
      </c>
      <c r="CG6" s="248">
        <v>179.4</v>
      </c>
      <c r="CH6" s="247">
        <v>0.1195</v>
      </c>
      <c r="CI6" s="248">
        <v>930.23</v>
      </c>
      <c r="CJ6" s="248">
        <v>956.1</v>
      </c>
      <c r="CK6" s="248">
        <v>931.1</v>
      </c>
      <c r="CL6" s="248">
        <v>4175.7</v>
      </c>
      <c r="CM6" s="248">
        <v>4266.5600000000004</v>
      </c>
      <c r="CN6" s="248">
        <v>4263.2</v>
      </c>
      <c r="CO6" s="248">
        <v>4406.66</v>
      </c>
      <c r="CP6" s="248">
        <v>-232.6</v>
      </c>
      <c r="CQ6" s="246">
        <v>1.05</v>
      </c>
      <c r="CR6" s="246">
        <v>1.27</v>
      </c>
      <c r="CS6" s="246">
        <v>1.1200000000000001</v>
      </c>
      <c r="CT6" s="246">
        <v>0.48</v>
      </c>
      <c r="CU6" s="246">
        <v>0.51</v>
      </c>
      <c r="CV6" s="248">
        <v>1051.75</v>
      </c>
      <c r="CW6" s="248">
        <v>734.37</v>
      </c>
      <c r="CX6" s="248">
        <v>-1020.5</v>
      </c>
      <c r="CY6" s="248">
        <v>1391.3</v>
      </c>
      <c r="CZ6" s="248">
        <v>334</v>
      </c>
      <c r="DA6" s="248">
        <v>1057.4000000000001</v>
      </c>
      <c r="DB6" s="248">
        <v>32786.6</v>
      </c>
      <c r="DC6" s="248">
        <v>1772.1</v>
      </c>
      <c r="DD6" s="248">
        <v>32930.06</v>
      </c>
      <c r="DE6" s="248">
        <v>956.1</v>
      </c>
      <c r="DF6" s="248">
        <v>0</v>
      </c>
      <c r="DG6" s="248">
        <v>1390.29</v>
      </c>
      <c r="DH6" s="248">
        <v>4406.66</v>
      </c>
      <c r="DI6" s="248">
        <v>1888.6</v>
      </c>
      <c r="DJ6" s="247">
        <v>0.25319999999999998</v>
      </c>
      <c r="DK6" s="247">
        <v>0.24759999999999999</v>
      </c>
      <c r="DL6" s="246">
        <v>17.440000000000001</v>
      </c>
      <c r="DM6" s="246">
        <v>360.8</v>
      </c>
      <c r="DN6" s="246">
        <v>1595.5</v>
      </c>
      <c r="DO6" s="246">
        <v>1051.75</v>
      </c>
      <c r="DP6" s="247">
        <v>0.35049999999999998</v>
      </c>
      <c r="DQ6" s="246" t="s">
        <v>402</v>
      </c>
      <c r="DR6" s="246" t="s">
        <v>403</v>
      </c>
      <c r="DS6" s="246" t="s">
        <v>404</v>
      </c>
      <c r="DT6" s="246" t="e">
        <v>#REF!</v>
      </c>
      <c r="DU6" s="246" t="s">
        <v>388</v>
      </c>
      <c r="DV6" s="246" t="s">
        <v>405</v>
      </c>
      <c r="DW6" s="246" t="s">
        <v>406</v>
      </c>
      <c r="DX6" s="246" t="s">
        <v>407</v>
      </c>
      <c r="DY6" s="246" t="s">
        <v>408</v>
      </c>
      <c r="DZ6" s="246">
        <v>86</v>
      </c>
      <c r="EA6" s="247">
        <v>-6.6299999999999998E-2</v>
      </c>
      <c r="EB6" s="247">
        <v>-2.47E-2</v>
      </c>
      <c r="EC6" s="247">
        <v>-0.13730000000000001</v>
      </c>
      <c r="ED6" s="247">
        <v>0.1081</v>
      </c>
      <c r="EE6" s="247">
        <v>-0.12939999999999999</v>
      </c>
      <c r="EF6" s="247">
        <v>-1.1299999999999999E-2</v>
      </c>
      <c r="EG6" s="247">
        <v>0.25390000000000001</v>
      </c>
      <c r="EH6" s="247">
        <v>0.249</v>
      </c>
      <c r="EI6" s="246" t="s">
        <v>402</v>
      </c>
      <c r="EJ6" s="234">
        <v>1390.8</v>
      </c>
      <c r="EK6" s="234">
        <v>1431.8</v>
      </c>
      <c r="EL6" s="234" t="s">
        <v>409</v>
      </c>
      <c r="EM6" s="234" t="s">
        <v>410</v>
      </c>
      <c r="EN6" s="234" t="s">
        <v>411</v>
      </c>
      <c r="EO6" s="234" t="s">
        <v>412</v>
      </c>
      <c r="EP6" s="234" t="s">
        <v>376</v>
      </c>
      <c r="EQ6" s="234" t="s">
        <v>377</v>
      </c>
      <c r="ER6" s="234">
        <v>1</v>
      </c>
      <c r="ES6" s="249">
        <v>6.7799999999999999E-2</v>
      </c>
      <c r="ET6" s="249">
        <v>3.7100000000000001E-2</v>
      </c>
      <c r="EU6" s="250">
        <v>5574.9</v>
      </c>
      <c r="EV6" s="234" t="s">
        <v>413</v>
      </c>
      <c r="EW6" s="250">
        <v>7072.5</v>
      </c>
      <c r="EX6" s="250">
        <v>40975</v>
      </c>
      <c r="EY6" s="250">
        <v>31352.5</v>
      </c>
      <c r="EZ6" s="250">
        <v>44227</v>
      </c>
      <c r="FA6" s="250">
        <v>37661</v>
      </c>
      <c r="FB6" s="250">
        <v>32355.7</v>
      </c>
      <c r="FC6" s="250">
        <v>0</v>
      </c>
      <c r="FD6" s="249">
        <v>0.35599999999999998</v>
      </c>
      <c r="FE6" s="250">
        <v>45</v>
      </c>
      <c r="FF6" s="250">
        <v>40</v>
      </c>
    </row>
    <row r="7" spans="1:162">
      <c r="A7" s="234" t="s">
        <v>414</v>
      </c>
      <c r="B7" s="234" t="s">
        <v>415</v>
      </c>
      <c r="C7" s="246" t="s">
        <v>361</v>
      </c>
      <c r="D7" s="246" t="s">
        <v>362</v>
      </c>
      <c r="E7" s="246">
        <v>4210</v>
      </c>
      <c r="F7" s="246" t="s">
        <v>416</v>
      </c>
      <c r="G7" s="246" t="s">
        <v>417</v>
      </c>
      <c r="H7" s="246" t="s">
        <v>418</v>
      </c>
      <c r="I7" s="246">
        <v>0.74739999999999995</v>
      </c>
      <c r="J7" s="246">
        <v>0.81240000000000001</v>
      </c>
      <c r="K7" s="247">
        <v>4.2299999999999997E-2</v>
      </c>
      <c r="L7" s="247">
        <v>7.3899999999999993E-2</v>
      </c>
      <c r="M7" s="247">
        <v>2.3E-2</v>
      </c>
      <c r="N7" s="247">
        <v>2.3E-2</v>
      </c>
      <c r="O7" s="247">
        <v>6.25E-2</v>
      </c>
      <c r="P7" s="247">
        <v>5.1799999999999999E-2</v>
      </c>
      <c r="Q7" s="247">
        <v>7.1800000000000003E-2</v>
      </c>
      <c r="R7" s="247">
        <v>-5.4699999999999999E-2</v>
      </c>
      <c r="S7" s="247">
        <v>-6.8400000000000002E-2</v>
      </c>
      <c r="T7" s="248">
        <v>20394.099999999999</v>
      </c>
      <c r="U7" s="248">
        <v>0</v>
      </c>
      <c r="V7" s="248">
        <v>2137</v>
      </c>
      <c r="W7" s="248">
        <v>2137</v>
      </c>
      <c r="X7" s="248">
        <v>22531.1</v>
      </c>
      <c r="Y7" s="248">
        <v>3280</v>
      </c>
      <c r="Z7" s="248">
        <v>19251.099999999999</v>
      </c>
      <c r="AA7" s="247">
        <v>0.14560000000000001</v>
      </c>
      <c r="AB7" s="246">
        <v>2.5</v>
      </c>
      <c r="AC7" s="247">
        <v>0.247</v>
      </c>
      <c r="AD7" s="247">
        <v>9.4799999999999995E-2</v>
      </c>
      <c r="AE7" s="247">
        <v>0.3281</v>
      </c>
      <c r="AF7" s="247">
        <v>0.1048</v>
      </c>
      <c r="AG7" s="248">
        <v>4.99</v>
      </c>
      <c r="AH7" s="246">
        <v>69.06</v>
      </c>
      <c r="AI7" s="247">
        <v>-0.48849999999999999</v>
      </c>
      <c r="AJ7" s="246">
        <v>2.85</v>
      </c>
      <c r="AK7" s="247">
        <v>0.52059999999999995</v>
      </c>
      <c r="AL7" s="247">
        <v>0.31119999999999998</v>
      </c>
      <c r="AM7" s="246">
        <v>0.33</v>
      </c>
      <c r="AN7" s="233">
        <v>0.9</v>
      </c>
      <c r="AO7" s="246" t="s">
        <v>384</v>
      </c>
      <c r="AP7" s="246">
        <v>167.16</v>
      </c>
      <c r="AQ7" s="246" t="s">
        <v>384</v>
      </c>
      <c r="AR7" s="246">
        <v>61.6</v>
      </c>
      <c r="AS7" s="246" t="s">
        <v>384</v>
      </c>
      <c r="AT7" s="246">
        <v>3.13</v>
      </c>
      <c r="AU7" s="246">
        <v>2.6</v>
      </c>
      <c r="AV7" s="246">
        <v>7.29</v>
      </c>
      <c r="AW7" s="246">
        <v>740.43</v>
      </c>
      <c r="AX7" s="246">
        <v>100.79</v>
      </c>
      <c r="AY7" s="246">
        <v>3.58</v>
      </c>
      <c r="AZ7" s="246">
        <v>6.88</v>
      </c>
      <c r="BA7" s="247">
        <v>0</v>
      </c>
      <c r="BB7" s="247">
        <v>0</v>
      </c>
      <c r="BC7" s="247">
        <v>0.23719999999999999</v>
      </c>
      <c r="BD7" s="246" t="s">
        <v>384</v>
      </c>
      <c r="BE7" s="246" t="s">
        <v>384</v>
      </c>
      <c r="BF7" s="247">
        <v>0.45300000000000001</v>
      </c>
      <c r="BG7" s="246" t="s">
        <v>384</v>
      </c>
      <c r="BH7" s="246" t="s">
        <v>384</v>
      </c>
      <c r="BI7" s="247">
        <v>0.216</v>
      </c>
      <c r="BJ7" s="247">
        <v>1.9199999999999998E-2</v>
      </c>
      <c r="BK7" s="247">
        <v>3.3999999999999998E-3</v>
      </c>
      <c r="BL7" s="246">
        <v>0.85</v>
      </c>
      <c r="BM7" s="247">
        <v>3.78E-2</v>
      </c>
      <c r="BN7" s="247">
        <v>8.0999999999999996E-3</v>
      </c>
      <c r="BO7" s="247">
        <v>0.41360000000000002</v>
      </c>
      <c r="BP7" s="247">
        <v>0.17</v>
      </c>
      <c r="BQ7" s="247">
        <v>0.5</v>
      </c>
      <c r="BR7" s="247">
        <v>0.48949999999999999</v>
      </c>
      <c r="BS7" s="248">
        <v>-105</v>
      </c>
      <c r="BT7" s="248">
        <v>122</v>
      </c>
      <c r="BU7" s="248">
        <v>26</v>
      </c>
      <c r="BV7" s="248">
        <v>26</v>
      </c>
      <c r="BW7" s="248">
        <v>1335</v>
      </c>
      <c r="BX7" s="248">
        <v>2797</v>
      </c>
      <c r="BY7" s="248">
        <v>3228</v>
      </c>
      <c r="BZ7" s="248">
        <v>-9</v>
      </c>
      <c r="CA7" s="248">
        <v>191</v>
      </c>
      <c r="CB7" s="248">
        <v>13</v>
      </c>
      <c r="CC7" s="248">
        <v>-1405</v>
      </c>
      <c r="CD7" s="248">
        <v>4</v>
      </c>
      <c r="CE7" s="248">
        <v>-2218</v>
      </c>
      <c r="CF7" s="247">
        <v>-0.68710000000000004</v>
      </c>
      <c r="CG7" s="248">
        <v>193</v>
      </c>
      <c r="CH7" s="247">
        <v>15.1538</v>
      </c>
      <c r="CI7" s="248">
        <v>-184</v>
      </c>
      <c r="CJ7" s="248">
        <v>1330</v>
      </c>
      <c r="CK7" s="248">
        <v>-75</v>
      </c>
      <c r="CL7" s="248">
        <v>6359</v>
      </c>
      <c r="CM7" s="248">
        <v>3802</v>
      </c>
      <c r="CN7" s="248">
        <v>6514</v>
      </c>
      <c r="CO7" s="248">
        <v>5371</v>
      </c>
      <c r="CP7" s="248">
        <v>0</v>
      </c>
      <c r="CQ7" s="246">
        <v>1.35</v>
      </c>
      <c r="CR7" s="246">
        <v>0.89</v>
      </c>
      <c r="CS7" s="246">
        <v>0.42</v>
      </c>
      <c r="CT7" s="246" t="s">
        <v>384</v>
      </c>
      <c r="CU7" s="246" t="s">
        <v>384</v>
      </c>
      <c r="CV7" s="246" t="s">
        <v>384</v>
      </c>
      <c r="CW7" s="246" t="s">
        <v>384</v>
      </c>
      <c r="CX7" s="248">
        <v>-311</v>
      </c>
      <c r="CY7" s="248">
        <v>116</v>
      </c>
      <c r="CZ7" s="248">
        <v>58</v>
      </c>
      <c r="DA7" s="248">
        <v>122</v>
      </c>
      <c r="DB7" s="248">
        <v>20394.099999999999</v>
      </c>
      <c r="DC7" s="248">
        <v>191</v>
      </c>
      <c r="DD7" s="248">
        <v>19251.099999999999</v>
      </c>
      <c r="DE7" s="248">
        <v>1330</v>
      </c>
      <c r="DF7" s="248">
        <v>1266.8</v>
      </c>
      <c r="DG7" s="248">
        <v>37.799999999999997</v>
      </c>
      <c r="DH7" s="248">
        <v>6637.8</v>
      </c>
      <c r="DI7" s="248">
        <v>421</v>
      </c>
      <c r="DJ7" s="247">
        <v>1.7500000000000002E-2</v>
      </c>
      <c r="DK7" s="247">
        <v>3.7000000000000002E-3</v>
      </c>
      <c r="DL7" s="246">
        <v>45.73</v>
      </c>
      <c r="DM7" s="246">
        <v>165</v>
      </c>
      <c r="DN7" s="246" t="s">
        <v>384</v>
      </c>
      <c r="DO7" s="246" t="s">
        <v>384</v>
      </c>
      <c r="DP7" s="246" t="s">
        <v>384</v>
      </c>
      <c r="DQ7" s="246" t="s">
        <v>419</v>
      </c>
      <c r="DR7" s="246" t="s">
        <v>420</v>
      </c>
      <c r="DS7" s="246" t="s">
        <v>421</v>
      </c>
      <c r="DT7" s="246" t="e">
        <v>#REF!</v>
      </c>
      <c r="DU7" s="246" t="s">
        <v>422</v>
      </c>
      <c r="DV7" s="246" t="s">
        <v>423</v>
      </c>
      <c r="DW7" s="246" t="s">
        <v>424</v>
      </c>
      <c r="DX7" s="246" t="s">
        <v>425</v>
      </c>
      <c r="DY7" s="246" t="s">
        <v>426</v>
      </c>
      <c r="DZ7" s="246">
        <v>8</v>
      </c>
      <c r="EA7" s="247">
        <v>-2.9899999999999999E-2</v>
      </c>
      <c r="EB7" s="247">
        <v>0.125</v>
      </c>
      <c r="EC7" s="247">
        <v>0.18310000000000001</v>
      </c>
      <c r="ED7" s="247">
        <v>-0.16900000000000001</v>
      </c>
      <c r="EE7" s="247">
        <v>7.2999999999999995E-2</v>
      </c>
      <c r="EF7" s="247">
        <v>5.0799999999999998E-2</v>
      </c>
      <c r="EG7" s="247">
        <v>-1.2999999999999999E-2</v>
      </c>
      <c r="EH7" s="247">
        <v>8.0000000000000002E-3</v>
      </c>
      <c r="EI7" s="246" t="s">
        <v>419</v>
      </c>
      <c r="EJ7" s="234">
        <v>26</v>
      </c>
      <c r="EK7" s="234">
        <v>-40</v>
      </c>
      <c r="EL7" s="234" t="s">
        <v>427</v>
      </c>
      <c r="EM7" s="234" t="s">
        <v>428</v>
      </c>
      <c r="EN7" s="234" t="s">
        <v>429</v>
      </c>
      <c r="EO7" s="234" t="s">
        <v>430</v>
      </c>
      <c r="EP7" s="234" t="s">
        <v>376</v>
      </c>
      <c r="EQ7" s="234" t="s">
        <v>377</v>
      </c>
      <c r="ER7" s="234">
        <v>1</v>
      </c>
      <c r="ES7" s="249">
        <v>0.4708</v>
      </c>
      <c r="ET7" s="249">
        <v>0.14330000000000001</v>
      </c>
      <c r="EU7" s="250">
        <v>3228</v>
      </c>
      <c r="EV7" s="234" t="s">
        <v>431</v>
      </c>
      <c r="EW7" s="250">
        <v>0</v>
      </c>
      <c r="EX7" s="250">
        <v>26748.799999999999</v>
      </c>
      <c r="EY7" s="250">
        <v>12401.3</v>
      </c>
      <c r="EZ7" s="250">
        <v>13183.4</v>
      </c>
      <c r="FA7" s="250">
        <v>19007.400000000001</v>
      </c>
      <c r="FB7" s="250">
        <v>16484.7</v>
      </c>
      <c r="FC7" s="250">
        <v>0</v>
      </c>
      <c r="FD7" s="249">
        <v>0</v>
      </c>
      <c r="FE7" s="250">
        <v>0</v>
      </c>
      <c r="FF7" s="250">
        <v>0</v>
      </c>
    </row>
    <row r="8" spans="1:162">
      <c r="A8" s="234" t="s">
        <v>432</v>
      </c>
      <c r="B8" s="234" t="s">
        <v>433</v>
      </c>
      <c r="C8" s="246" t="s">
        <v>401</v>
      </c>
      <c r="D8" s="246" t="s">
        <v>362</v>
      </c>
      <c r="E8" s="246">
        <v>4210</v>
      </c>
      <c r="F8" s="246" t="s">
        <v>434</v>
      </c>
      <c r="G8" s="246" t="s">
        <v>435</v>
      </c>
      <c r="H8" s="246" t="s">
        <v>434</v>
      </c>
      <c r="I8" s="246">
        <v>0.66930000000000001</v>
      </c>
      <c r="J8" s="246">
        <v>0.84319999999999995</v>
      </c>
      <c r="K8" s="247">
        <v>4.2299999999999997E-2</v>
      </c>
      <c r="L8" s="247">
        <v>7.5200000000000003E-2</v>
      </c>
      <c r="M8" s="246" t="s">
        <v>384</v>
      </c>
      <c r="N8" s="247">
        <v>8.8999999999999999E-3</v>
      </c>
      <c r="O8" s="247">
        <v>4.8399999999999999E-2</v>
      </c>
      <c r="P8" s="247">
        <v>3.5700000000000003E-2</v>
      </c>
      <c r="Q8" s="247">
        <v>6.4899999999999999E-2</v>
      </c>
      <c r="R8" s="247">
        <v>4.3700000000000003E-2</v>
      </c>
      <c r="S8" s="247">
        <v>4.9599999999999998E-2</v>
      </c>
      <c r="T8" s="248">
        <v>8514.2999999999993</v>
      </c>
      <c r="U8" s="248">
        <v>0</v>
      </c>
      <c r="V8" s="248">
        <v>2994.2</v>
      </c>
      <c r="W8" s="248">
        <v>2994.2</v>
      </c>
      <c r="X8" s="248">
        <v>11508.5</v>
      </c>
      <c r="Y8" s="248">
        <v>31.6</v>
      </c>
      <c r="Z8" s="248">
        <v>11476.9</v>
      </c>
      <c r="AA8" s="247">
        <v>2.7000000000000001E-3</v>
      </c>
      <c r="AB8" s="246">
        <v>0.84</v>
      </c>
      <c r="AC8" s="247">
        <v>0.53159999999999996</v>
      </c>
      <c r="AD8" s="247">
        <v>0.26019999999999999</v>
      </c>
      <c r="AE8" s="247">
        <v>1.1348</v>
      </c>
      <c r="AF8" s="247">
        <v>0.35170000000000001</v>
      </c>
      <c r="AG8" s="248">
        <v>103.47</v>
      </c>
      <c r="AH8" s="246">
        <v>16.54</v>
      </c>
      <c r="AI8" s="247">
        <v>0.11990000000000001</v>
      </c>
      <c r="AJ8" s="246">
        <v>1.52</v>
      </c>
      <c r="AK8" s="247">
        <v>0.35210000000000002</v>
      </c>
      <c r="AL8" s="247">
        <v>0.38850000000000001</v>
      </c>
      <c r="AM8" s="246">
        <v>0.33</v>
      </c>
      <c r="AN8" s="233">
        <v>3.89</v>
      </c>
      <c r="AO8" s="246">
        <v>20.149999999999999</v>
      </c>
      <c r="AP8" s="246">
        <v>26.04</v>
      </c>
      <c r="AQ8" s="246">
        <v>16.170000000000002</v>
      </c>
      <c r="AR8" s="246">
        <v>22.16</v>
      </c>
      <c r="AS8" s="246">
        <v>2.48</v>
      </c>
      <c r="AT8" s="246">
        <v>3.23</v>
      </c>
      <c r="AU8" s="246">
        <v>2.56</v>
      </c>
      <c r="AV8" s="246">
        <v>1.01</v>
      </c>
      <c r="AW8" s="246">
        <v>19.7</v>
      </c>
      <c r="AX8" s="246">
        <v>11.36</v>
      </c>
      <c r="AY8" s="246">
        <v>3.17</v>
      </c>
      <c r="AZ8" s="246">
        <v>1.37</v>
      </c>
      <c r="BA8" s="247">
        <v>0.4511</v>
      </c>
      <c r="BB8" s="247">
        <v>1.7299999999999999E-2</v>
      </c>
      <c r="BC8" s="247">
        <v>0.246</v>
      </c>
      <c r="BD8" s="247">
        <v>-0.26200000000000001</v>
      </c>
      <c r="BE8" s="247">
        <v>5.8299999999999998E-2</v>
      </c>
      <c r="BF8" s="247">
        <v>-3.6499999999999998E-2</v>
      </c>
      <c r="BG8" s="247">
        <v>0.17100000000000001</v>
      </c>
      <c r="BH8" s="247">
        <v>8.14E-2</v>
      </c>
      <c r="BI8" s="247">
        <v>-1.7999999999999999E-2</v>
      </c>
      <c r="BJ8" s="247">
        <v>0.1188</v>
      </c>
      <c r="BK8" s="247">
        <v>0.1145</v>
      </c>
      <c r="BL8" s="246">
        <v>2.1</v>
      </c>
      <c r="BM8" s="247">
        <v>4.0599999999999997E-2</v>
      </c>
      <c r="BN8" s="247">
        <v>7.2400000000000006E-2</v>
      </c>
      <c r="BO8" s="247">
        <v>0.20169999999999999</v>
      </c>
      <c r="BP8" s="247">
        <v>0.26140000000000002</v>
      </c>
      <c r="BQ8" s="247">
        <v>0.24529999999999999</v>
      </c>
      <c r="BR8" s="247">
        <v>0.70350000000000001</v>
      </c>
      <c r="BS8" s="248">
        <v>422.5</v>
      </c>
      <c r="BT8" s="248">
        <v>327</v>
      </c>
      <c r="BU8" s="248">
        <v>582.5</v>
      </c>
      <c r="BV8" s="248">
        <v>582.5</v>
      </c>
      <c r="BW8" s="248">
        <v>1623</v>
      </c>
      <c r="BX8" s="248">
        <v>8396.7999999999993</v>
      </c>
      <c r="BY8" s="248">
        <v>8047.6</v>
      </c>
      <c r="BZ8" s="248">
        <v>1118.5999999999999</v>
      </c>
      <c r="CA8" s="248">
        <v>1010.7</v>
      </c>
      <c r="CB8" s="248">
        <v>439.6</v>
      </c>
      <c r="CC8" s="248">
        <v>329.6</v>
      </c>
      <c r="CD8" s="248">
        <v>-92.04</v>
      </c>
      <c r="CE8" s="248">
        <v>239</v>
      </c>
      <c r="CF8" s="247">
        <v>2.9700000000000001E-2</v>
      </c>
      <c r="CG8" s="248">
        <v>-303.10000000000002</v>
      </c>
      <c r="CH8" s="247">
        <v>-0.89890000000000003</v>
      </c>
      <c r="CI8" s="248">
        <v>834.74</v>
      </c>
      <c r="CJ8" s="248">
        <v>392.54</v>
      </c>
      <c r="CK8" s="248">
        <v>722.14</v>
      </c>
      <c r="CL8" s="248">
        <v>2751.9</v>
      </c>
      <c r="CM8" s="248">
        <v>3839.4</v>
      </c>
      <c r="CN8" s="248">
        <v>2638.6</v>
      </c>
      <c r="CO8" s="248">
        <v>3615.7</v>
      </c>
      <c r="CP8" s="248">
        <v>-147.5</v>
      </c>
      <c r="CQ8" s="246">
        <v>1.1399999999999999</v>
      </c>
      <c r="CR8" s="246">
        <v>1.32</v>
      </c>
      <c r="CS8" s="246">
        <v>0.79</v>
      </c>
      <c r="CT8" s="246">
        <v>0.6</v>
      </c>
      <c r="CU8" s="246">
        <v>0.67</v>
      </c>
      <c r="CV8" s="248">
        <v>456.95</v>
      </c>
      <c r="CW8" s="248">
        <v>391.77</v>
      </c>
      <c r="CX8" s="248">
        <v>-415.5</v>
      </c>
      <c r="CY8" s="248">
        <v>433.3</v>
      </c>
      <c r="CZ8" s="248">
        <v>106.3</v>
      </c>
      <c r="DA8" s="248">
        <v>327</v>
      </c>
      <c r="DB8" s="248">
        <v>8514.2999999999993</v>
      </c>
      <c r="DC8" s="248">
        <v>1010.7</v>
      </c>
      <c r="DD8" s="248">
        <v>11476.9</v>
      </c>
      <c r="DE8" s="248">
        <v>392.54</v>
      </c>
      <c r="DF8" s="248">
        <v>0</v>
      </c>
      <c r="DG8" s="248">
        <v>582.5</v>
      </c>
      <c r="DH8" s="248">
        <v>3615.7</v>
      </c>
      <c r="DI8" s="248">
        <v>1118.5999999999999</v>
      </c>
      <c r="DJ8" s="247">
        <v>0.1188</v>
      </c>
      <c r="DK8" s="247">
        <v>0.1145</v>
      </c>
      <c r="DL8" s="246">
        <v>10.26</v>
      </c>
      <c r="DM8" s="246">
        <v>615.29999999999995</v>
      </c>
      <c r="DN8" s="246">
        <v>1365.1</v>
      </c>
      <c r="DO8" s="246">
        <v>456.95</v>
      </c>
      <c r="DP8" s="247">
        <v>0.1835</v>
      </c>
      <c r="DQ8" s="248">
        <v>-175.2</v>
      </c>
      <c r="DR8" s="246" t="s">
        <v>436</v>
      </c>
      <c r="DS8" s="246" t="s">
        <v>437</v>
      </c>
      <c r="DT8" s="246" t="e">
        <v>#REF!</v>
      </c>
      <c r="DU8" s="246" t="s">
        <v>438</v>
      </c>
      <c r="DV8" s="246" t="s">
        <v>439</v>
      </c>
      <c r="DW8" s="246" t="s">
        <v>440</v>
      </c>
      <c r="DX8" s="246" t="s">
        <v>441</v>
      </c>
      <c r="DY8" s="246" t="s">
        <v>442</v>
      </c>
      <c r="DZ8" s="246">
        <v>63</v>
      </c>
      <c r="EA8" s="247">
        <v>-0.4284</v>
      </c>
      <c r="EB8" s="247">
        <v>0.15240000000000001</v>
      </c>
      <c r="EC8" s="247">
        <v>-0.03</v>
      </c>
      <c r="ED8" s="247">
        <v>0.1663</v>
      </c>
      <c r="EE8" s="247">
        <v>-0.25480000000000003</v>
      </c>
      <c r="EF8" s="247">
        <v>-2.6100000000000002E-2</v>
      </c>
      <c r="EG8" s="247">
        <v>7.6300000000000007E-2</v>
      </c>
      <c r="EH8" s="247">
        <v>7.1999999999999995E-2</v>
      </c>
      <c r="EI8" s="248">
        <v>-175.2</v>
      </c>
      <c r="EJ8" s="234">
        <v>582.5</v>
      </c>
      <c r="EK8" s="234">
        <v>630.1</v>
      </c>
      <c r="EL8" s="234" t="s">
        <v>443</v>
      </c>
      <c r="EM8" s="234" t="s">
        <v>444</v>
      </c>
      <c r="EN8" s="234" t="s">
        <v>445</v>
      </c>
      <c r="EO8" s="234" t="s">
        <v>446</v>
      </c>
      <c r="EP8" s="234" t="s">
        <v>447</v>
      </c>
      <c r="EQ8" s="234" t="s">
        <v>448</v>
      </c>
      <c r="ER8" s="234">
        <v>1</v>
      </c>
      <c r="ES8" s="249">
        <v>0.16309999999999999</v>
      </c>
      <c r="ET8" s="249">
        <v>3.1899999999999998E-2</v>
      </c>
      <c r="EU8" s="250">
        <v>8047.6</v>
      </c>
      <c r="EV8" s="234" t="s">
        <v>447</v>
      </c>
      <c r="EW8" s="250">
        <v>2371.1</v>
      </c>
      <c r="EX8" s="250">
        <v>10244.700000000001</v>
      </c>
      <c r="EY8" s="250">
        <v>8735.2000000000007</v>
      </c>
      <c r="EZ8" s="250">
        <v>11566.7</v>
      </c>
      <c r="FA8" s="250">
        <v>11425.7</v>
      </c>
      <c r="FB8" s="250">
        <v>6833.2</v>
      </c>
      <c r="FC8" s="250">
        <v>0</v>
      </c>
      <c r="FD8" s="249">
        <v>0.55400000000000005</v>
      </c>
      <c r="FE8" s="250">
        <v>275.10000000000002</v>
      </c>
      <c r="FF8" s="250">
        <v>1851.3</v>
      </c>
    </row>
    <row r="9" spans="1:162">
      <c r="A9" s="234" t="s">
        <v>449</v>
      </c>
      <c r="B9" s="234" t="s">
        <v>450</v>
      </c>
      <c r="C9" s="246" t="s">
        <v>401</v>
      </c>
      <c r="D9" s="246" t="s">
        <v>362</v>
      </c>
      <c r="E9" s="246">
        <v>4210</v>
      </c>
      <c r="F9" s="246" t="s">
        <v>363</v>
      </c>
      <c r="G9" s="246" t="s">
        <v>363</v>
      </c>
      <c r="H9" s="246" t="s">
        <v>363</v>
      </c>
      <c r="I9" s="246">
        <v>0.66930000000000001</v>
      </c>
      <c r="J9" s="246">
        <v>0.86399999999999999</v>
      </c>
      <c r="K9" s="247">
        <v>4.4600000000000001E-2</v>
      </c>
      <c r="L9" s="247">
        <v>7.8E-2</v>
      </c>
      <c r="M9" s="246" t="s">
        <v>384</v>
      </c>
      <c r="N9" s="247">
        <v>1.12E-2</v>
      </c>
      <c r="O9" s="247">
        <v>5.0700000000000002E-2</v>
      </c>
      <c r="P9" s="247">
        <v>3.7999999999999999E-2</v>
      </c>
      <c r="Q9" s="247">
        <v>6.6799999999999998E-2</v>
      </c>
      <c r="R9" s="247">
        <v>-5.79E-2</v>
      </c>
      <c r="S9" s="247">
        <v>-2.7300000000000001E-2</v>
      </c>
      <c r="T9" s="248">
        <v>8487.1</v>
      </c>
      <c r="U9" s="248">
        <v>391.36</v>
      </c>
      <c r="V9" s="248">
        <v>2899.8</v>
      </c>
      <c r="W9" s="248">
        <v>3291.16</v>
      </c>
      <c r="X9" s="248">
        <v>11778.26</v>
      </c>
      <c r="Y9" s="248">
        <v>192.7</v>
      </c>
      <c r="Z9" s="248">
        <v>11585.56</v>
      </c>
      <c r="AA9" s="247">
        <v>1.6400000000000001E-2</v>
      </c>
      <c r="AB9" s="246">
        <v>4.68</v>
      </c>
      <c r="AC9" s="247">
        <v>0.31609999999999999</v>
      </c>
      <c r="AD9" s="247">
        <v>0.27939999999999998</v>
      </c>
      <c r="AE9" s="247">
        <v>0.4622</v>
      </c>
      <c r="AF9" s="247">
        <v>0.38779999999999998</v>
      </c>
      <c r="AG9" s="248">
        <v>52.28</v>
      </c>
      <c r="AH9" s="246">
        <v>31.61</v>
      </c>
      <c r="AI9" s="247">
        <v>-1.12E-2</v>
      </c>
      <c r="AJ9" s="246">
        <v>1.01</v>
      </c>
      <c r="AK9" s="247">
        <v>0.52249999999999996</v>
      </c>
      <c r="AL9" s="247">
        <v>0.25259999999999999</v>
      </c>
      <c r="AM9" s="246">
        <v>0.25</v>
      </c>
      <c r="AN9" s="233">
        <v>1.56</v>
      </c>
      <c r="AO9" s="246">
        <v>72.17</v>
      </c>
      <c r="AP9" s="246">
        <v>59.68</v>
      </c>
      <c r="AQ9" s="246">
        <v>54.94</v>
      </c>
      <c r="AR9" s="246">
        <v>29.54</v>
      </c>
      <c r="AS9" s="246">
        <v>1.36</v>
      </c>
      <c r="AT9" s="246">
        <v>1.19</v>
      </c>
      <c r="AU9" s="246">
        <v>0.91</v>
      </c>
      <c r="AV9" s="246">
        <v>1.1499999999999999</v>
      </c>
      <c r="AW9" s="246">
        <v>36.119999999999997</v>
      </c>
      <c r="AX9" s="246">
        <v>9.76</v>
      </c>
      <c r="AY9" s="246">
        <v>1.85</v>
      </c>
      <c r="AZ9" s="246">
        <v>1.56</v>
      </c>
      <c r="BA9" s="247">
        <v>0.8024</v>
      </c>
      <c r="BB9" s="247">
        <v>1.34E-2</v>
      </c>
      <c r="BC9" s="247">
        <v>0.31369999999999998</v>
      </c>
      <c r="BD9" s="247">
        <v>-0.45500000000000002</v>
      </c>
      <c r="BE9" s="247">
        <v>-0.158</v>
      </c>
      <c r="BF9" s="247">
        <v>-1.1000000000000001E-3</v>
      </c>
      <c r="BG9" s="247">
        <v>0.10199999999999999</v>
      </c>
      <c r="BH9" s="247">
        <v>0.52900000000000003</v>
      </c>
      <c r="BI9" s="247">
        <v>3.44E-2</v>
      </c>
      <c r="BJ9" s="247">
        <v>2.01E-2</v>
      </c>
      <c r="BK9" s="247">
        <v>3.95E-2</v>
      </c>
      <c r="BL9" s="246">
        <v>1.2</v>
      </c>
      <c r="BM9" s="247">
        <v>1.9E-2</v>
      </c>
      <c r="BN9" s="247">
        <v>4.2900000000000001E-2</v>
      </c>
      <c r="BO9" s="247">
        <v>0.24340000000000001</v>
      </c>
      <c r="BP9" s="247">
        <v>0.25</v>
      </c>
      <c r="BQ9" s="247">
        <v>0.23039999999999999</v>
      </c>
      <c r="BR9" s="247">
        <v>0.97819999999999996</v>
      </c>
      <c r="BS9" s="248">
        <v>117.6</v>
      </c>
      <c r="BT9" s="248">
        <v>142.19999999999999</v>
      </c>
      <c r="BU9" s="248">
        <v>259.89999999999998</v>
      </c>
      <c r="BV9" s="248">
        <v>320.73</v>
      </c>
      <c r="BW9" s="248">
        <v>1819.7</v>
      </c>
      <c r="BX9" s="248">
        <v>7410.1</v>
      </c>
      <c r="BY9" s="248">
        <v>7477.6</v>
      </c>
      <c r="BZ9" s="248">
        <v>1027.0999999999999</v>
      </c>
      <c r="CA9" s="248">
        <v>1187.3</v>
      </c>
      <c r="CB9" s="248">
        <v>246.82</v>
      </c>
      <c r="CC9" s="248">
        <v>145.5</v>
      </c>
      <c r="CD9" s="248">
        <v>45.9</v>
      </c>
      <c r="CE9" s="248">
        <v>822.5</v>
      </c>
      <c r="CF9" s="247">
        <v>0.11</v>
      </c>
      <c r="CG9" s="248">
        <v>91.7</v>
      </c>
      <c r="CH9" s="247">
        <v>0.5575</v>
      </c>
      <c r="CI9" s="248">
        <v>109.22</v>
      </c>
      <c r="CJ9" s="248">
        <v>-140.9</v>
      </c>
      <c r="CK9" s="248">
        <v>4.5999999999999996</v>
      </c>
      <c r="CL9" s="248">
        <v>7058.7</v>
      </c>
      <c r="CM9" s="248">
        <v>6247.36</v>
      </c>
      <c r="CN9" s="248">
        <v>7121.1</v>
      </c>
      <c r="CO9" s="248">
        <v>6257.46</v>
      </c>
      <c r="CP9" s="248">
        <v>-114.1</v>
      </c>
      <c r="CQ9" s="246">
        <v>1.1000000000000001</v>
      </c>
      <c r="CR9" s="246">
        <v>1.17</v>
      </c>
      <c r="CS9" s="246">
        <v>1.1200000000000001</v>
      </c>
      <c r="CT9" s="246">
        <v>0.68</v>
      </c>
      <c r="CU9" s="246">
        <v>0.66</v>
      </c>
      <c r="CV9" s="248">
        <v>443.98</v>
      </c>
      <c r="CW9" s="248">
        <v>396.13</v>
      </c>
      <c r="CX9" s="248">
        <v>-114.1</v>
      </c>
      <c r="CY9" s="248">
        <v>184</v>
      </c>
      <c r="CZ9" s="248">
        <v>42.4</v>
      </c>
      <c r="DA9" s="248">
        <v>142.19999999999999</v>
      </c>
      <c r="DB9" s="248">
        <v>8487.1</v>
      </c>
      <c r="DC9" s="248">
        <v>1187.3</v>
      </c>
      <c r="DD9" s="248">
        <v>11585.56</v>
      </c>
      <c r="DE9" s="248">
        <v>-140.9</v>
      </c>
      <c r="DF9" s="248">
        <v>0</v>
      </c>
      <c r="DG9" s="248">
        <v>320.73</v>
      </c>
      <c r="DH9" s="248">
        <v>6257.46</v>
      </c>
      <c r="DI9" s="248">
        <v>1027.0999999999999</v>
      </c>
      <c r="DJ9" s="247">
        <v>2.01E-2</v>
      </c>
      <c r="DK9" s="247">
        <v>3.95E-2</v>
      </c>
      <c r="DL9" s="246">
        <v>11.28</v>
      </c>
      <c r="DM9" s="246">
        <v>788.3</v>
      </c>
      <c r="DN9" s="246">
        <v>749.5</v>
      </c>
      <c r="DO9" s="246">
        <v>443.98</v>
      </c>
      <c r="DP9" s="247">
        <v>0.12670000000000001</v>
      </c>
      <c r="DQ9" s="248">
        <v>-149.69999999999999</v>
      </c>
      <c r="DR9" s="246" t="s">
        <v>451</v>
      </c>
      <c r="DS9" s="246" t="s">
        <v>452</v>
      </c>
      <c r="DT9" s="246" t="e">
        <v>#REF!</v>
      </c>
      <c r="DU9" s="246" t="s">
        <v>453</v>
      </c>
      <c r="DV9" s="246" t="s">
        <v>454</v>
      </c>
      <c r="DW9" s="246" t="s">
        <v>455</v>
      </c>
      <c r="DX9" s="246" t="s">
        <v>456</v>
      </c>
      <c r="DY9" s="246" t="s">
        <v>457</v>
      </c>
      <c r="DZ9" s="246">
        <v>31</v>
      </c>
      <c r="EA9" s="247">
        <v>-0.17960000000000001</v>
      </c>
      <c r="EB9" s="247">
        <v>1.7500000000000002E-2</v>
      </c>
      <c r="EC9" s="247">
        <v>-0.1053</v>
      </c>
      <c r="ED9" s="247">
        <v>0.32350000000000001</v>
      </c>
      <c r="EE9" s="247">
        <v>-1.1599999999999999E-2</v>
      </c>
      <c r="EF9" s="247">
        <v>6.7999999999999996E-3</v>
      </c>
      <c r="EG9" s="247">
        <v>3.5200000000000002E-2</v>
      </c>
      <c r="EH9" s="247">
        <v>4.2999999999999997E-2</v>
      </c>
      <c r="EI9" s="248">
        <v>-149.69999999999999</v>
      </c>
      <c r="EJ9" s="234">
        <v>259.89999999999998</v>
      </c>
      <c r="EK9" s="234">
        <v>261.3</v>
      </c>
      <c r="EL9" s="234" t="s">
        <v>458</v>
      </c>
      <c r="EM9" s="234" t="s">
        <v>459</v>
      </c>
      <c r="EN9" s="234" t="s">
        <v>460</v>
      </c>
      <c r="EO9" s="234" t="s">
        <v>461</v>
      </c>
      <c r="EP9" s="234" t="s">
        <v>376</v>
      </c>
      <c r="EQ9" s="234" t="s">
        <v>377</v>
      </c>
      <c r="ER9" s="234">
        <v>1</v>
      </c>
      <c r="ES9" s="249">
        <v>9.8500000000000004E-2</v>
      </c>
      <c r="ET9" s="249">
        <v>3.5200000000000002E-2</v>
      </c>
      <c r="EU9" s="250">
        <v>7477.6</v>
      </c>
      <c r="EV9" s="234" t="s">
        <v>462</v>
      </c>
      <c r="EW9" s="250">
        <v>2645</v>
      </c>
      <c r="EX9" s="250">
        <v>10081.9</v>
      </c>
      <c r="EY9" s="250">
        <v>8422.1</v>
      </c>
      <c r="EZ9" s="250">
        <v>9302.9</v>
      </c>
      <c r="FA9" s="250">
        <v>8586.7999999999993</v>
      </c>
      <c r="FB9" s="250">
        <v>6460.6</v>
      </c>
      <c r="FC9" s="250">
        <v>0</v>
      </c>
      <c r="FD9" s="249">
        <v>6.3700000000000007E-2</v>
      </c>
      <c r="FE9" s="250">
        <v>2159.5</v>
      </c>
      <c r="FF9" s="250">
        <v>0</v>
      </c>
    </row>
    <row r="10" spans="1:162">
      <c r="A10" s="234" t="s">
        <v>463</v>
      </c>
      <c r="B10" s="234" t="s">
        <v>464</v>
      </c>
      <c r="C10" s="246" t="s">
        <v>361</v>
      </c>
      <c r="D10" s="246" t="s">
        <v>362</v>
      </c>
      <c r="E10" s="246">
        <v>4210</v>
      </c>
      <c r="F10" s="246" t="s">
        <v>465</v>
      </c>
      <c r="G10" s="246" t="s">
        <v>382</v>
      </c>
      <c r="H10" s="246" t="s">
        <v>383</v>
      </c>
      <c r="I10" s="246">
        <v>0.74739999999999995</v>
      </c>
      <c r="J10" s="246">
        <v>1.0014000000000001</v>
      </c>
      <c r="K10" s="247">
        <v>4.2299999999999997E-2</v>
      </c>
      <c r="L10" s="247">
        <v>8.1900000000000001E-2</v>
      </c>
      <c r="M10" s="246" t="s">
        <v>384</v>
      </c>
      <c r="N10" s="247">
        <v>8.8999999999999999E-3</v>
      </c>
      <c r="O10" s="247">
        <v>4.8399999999999999E-2</v>
      </c>
      <c r="P10" s="247">
        <v>3.6299999999999999E-2</v>
      </c>
      <c r="Q10" s="247">
        <v>6.7699999999999996E-2</v>
      </c>
      <c r="R10" s="247">
        <v>0.3518</v>
      </c>
      <c r="S10" s="247">
        <v>0.12130000000000001</v>
      </c>
      <c r="T10" s="248">
        <v>6140.3</v>
      </c>
      <c r="U10" s="248">
        <v>0</v>
      </c>
      <c r="V10" s="248">
        <v>2779.5</v>
      </c>
      <c r="W10" s="248">
        <v>2779.5</v>
      </c>
      <c r="X10" s="248">
        <v>8919.7999999999993</v>
      </c>
      <c r="Y10" s="248">
        <v>388.5</v>
      </c>
      <c r="Z10" s="248">
        <v>8531.2999999999993</v>
      </c>
      <c r="AA10" s="247">
        <v>4.36E-2</v>
      </c>
      <c r="AB10" s="246">
        <v>0.39</v>
      </c>
      <c r="AC10" s="247">
        <v>0.76519999999999999</v>
      </c>
      <c r="AD10" s="247">
        <v>0.31159999999999999</v>
      </c>
      <c r="AE10" s="247">
        <v>3.2589000000000001</v>
      </c>
      <c r="AF10" s="247">
        <v>0.45269999999999999</v>
      </c>
      <c r="AG10" s="248">
        <v>12.29</v>
      </c>
      <c r="AH10" s="246">
        <v>50.04</v>
      </c>
      <c r="AI10" s="246" t="s">
        <v>384</v>
      </c>
      <c r="AJ10" s="246">
        <v>1.71</v>
      </c>
      <c r="AK10" s="247">
        <v>0.38340000000000002</v>
      </c>
      <c r="AL10" s="247">
        <v>0.26950000000000002</v>
      </c>
      <c r="AM10" s="246">
        <v>0.32</v>
      </c>
      <c r="AN10" s="233">
        <v>2.94</v>
      </c>
      <c r="AO10" s="246">
        <v>20.350000000000001</v>
      </c>
      <c r="AP10" s="246">
        <v>24.97</v>
      </c>
      <c r="AQ10" s="246">
        <v>24.04</v>
      </c>
      <c r="AR10" s="246">
        <v>15.02</v>
      </c>
      <c r="AS10" s="246">
        <v>1.6</v>
      </c>
      <c r="AT10" s="246">
        <v>7.2</v>
      </c>
      <c r="AU10" s="246">
        <v>12.21</v>
      </c>
      <c r="AV10" s="246">
        <v>2.3199999999999998</v>
      </c>
      <c r="AW10" s="246">
        <v>16.46</v>
      </c>
      <c r="AX10" s="246">
        <v>11.04</v>
      </c>
      <c r="AY10" s="246">
        <v>3.18</v>
      </c>
      <c r="AZ10" s="246">
        <v>3.23</v>
      </c>
      <c r="BA10" s="247">
        <v>0</v>
      </c>
      <c r="BB10" s="247">
        <v>0</v>
      </c>
      <c r="BC10" s="247">
        <v>-0.1535</v>
      </c>
      <c r="BD10" s="247">
        <v>0.14000000000000001</v>
      </c>
      <c r="BE10" s="247">
        <v>0.30599999999999999</v>
      </c>
      <c r="BF10" s="247">
        <v>0.27300000000000002</v>
      </c>
      <c r="BG10" s="247">
        <v>0.45800000000000002</v>
      </c>
      <c r="BH10" s="247">
        <v>0.127</v>
      </c>
      <c r="BI10" s="247">
        <v>0.26700000000000002</v>
      </c>
      <c r="BJ10" s="247">
        <v>0.43369999999999997</v>
      </c>
      <c r="BK10" s="247">
        <v>0.189</v>
      </c>
      <c r="BL10" s="246">
        <v>1.99</v>
      </c>
      <c r="BM10" s="247">
        <v>6.5799999999999997E-2</v>
      </c>
      <c r="BN10" s="247">
        <v>0.13869999999999999</v>
      </c>
      <c r="BO10" s="247">
        <v>0.70399999999999996</v>
      </c>
      <c r="BP10" s="247">
        <v>0.24940000000000001</v>
      </c>
      <c r="BQ10" s="247">
        <v>0.316</v>
      </c>
      <c r="BR10" s="247">
        <v>0.25040000000000001</v>
      </c>
      <c r="BS10" s="248">
        <v>301.8</v>
      </c>
      <c r="BT10" s="248">
        <v>245.9</v>
      </c>
      <c r="BU10" s="248">
        <v>518.29999999999995</v>
      </c>
      <c r="BV10" s="248">
        <v>518.29999999999995</v>
      </c>
      <c r="BW10" s="248">
        <v>2630.8</v>
      </c>
      <c r="BX10" s="248">
        <v>2642.1</v>
      </c>
      <c r="BY10" s="248">
        <v>3736.8</v>
      </c>
      <c r="BZ10" s="248">
        <v>581.5</v>
      </c>
      <c r="CA10" s="248">
        <v>772.7</v>
      </c>
      <c r="CB10" s="248">
        <v>354.5</v>
      </c>
      <c r="CC10" s="248">
        <v>-26.2</v>
      </c>
      <c r="CD10" s="248">
        <v>43.25</v>
      </c>
      <c r="CE10" s="248">
        <v>91.72</v>
      </c>
      <c r="CF10" s="247">
        <v>2.4500000000000001E-2</v>
      </c>
      <c r="CG10" s="248">
        <v>27.9</v>
      </c>
      <c r="CH10" s="247">
        <v>0.20069999999999999</v>
      </c>
      <c r="CI10" s="248">
        <v>283.35000000000002</v>
      </c>
      <c r="CJ10" s="248">
        <v>200.95</v>
      </c>
      <c r="CK10" s="248">
        <v>174.75</v>
      </c>
      <c r="CL10" s="248">
        <v>567</v>
      </c>
      <c r="CM10" s="248">
        <v>1876.1</v>
      </c>
      <c r="CN10" s="248">
        <v>852.9</v>
      </c>
      <c r="CO10" s="248">
        <v>2680.4</v>
      </c>
      <c r="CP10" s="248">
        <v>0</v>
      </c>
      <c r="CQ10" s="246">
        <v>0.86</v>
      </c>
      <c r="CR10" s="246">
        <v>1.1000000000000001</v>
      </c>
      <c r="CS10" s="246">
        <v>0.55000000000000004</v>
      </c>
      <c r="CT10" s="246">
        <v>1.1599999999999999</v>
      </c>
      <c r="CU10" s="246">
        <v>0.9</v>
      </c>
      <c r="CV10" s="248">
        <v>142.32</v>
      </c>
      <c r="CW10" s="248">
        <v>39.68</v>
      </c>
      <c r="CX10" s="248">
        <v>-51.7</v>
      </c>
      <c r="CY10" s="248">
        <v>354.4</v>
      </c>
      <c r="CZ10" s="248">
        <v>112</v>
      </c>
      <c r="DA10" s="248">
        <v>245.9</v>
      </c>
      <c r="DB10" s="248">
        <v>6140.3</v>
      </c>
      <c r="DC10" s="248">
        <v>772.7</v>
      </c>
      <c r="DD10" s="248">
        <v>8531.2999999999993</v>
      </c>
      <c r="DE10" s="248">
        <v>200.95</v>
      </c>
      <c r="DF10" s="248">
        <v>0.36</v>
      </c>
      <c r="DG10" s="248">
        <v>517.59</v>
      </c>
      <c r="DH10" s="248">
        <v>2680.76</v>
      </c>
      <c r="DI10" s="248">
        <v>581.5</v>
      </c>
      <c r="DJ10" s="247">
        <v>0.43219999999999997</v>
      </c>
      <c r="DK10" s="247">
        <v>0.18870000000000001</v>
      </c>
      <c r="DL10" s="246">
        <v>14.67</v>
      </c>
      <c r="DM10" s="246">
        <v>409.8</v>
      </c>
      <c r="DN10" s="246">
        <v>247.2</v>
      </c>
      <c r="DO10" s="246">
        <v>142.32</v>
      </c>
      <c r="DP10" s="247">
        <v>9.7199999999999995E-2</v>
      </c>
      <c r="DQ10" s="246" t="s">
        <v>466</v>
      </c>
      <c r="DR10" s="246" t="s">
        <v>467</v>
      </c>
      <c r="DS10" s="246" t="s">
        <v>468</v>
      </c>
      <c r="DT10" s="246" t="e">
        <v>#REF!</v>
      </c>
      <c r="DU10" s="246" t="s">
        <v>388</v>
      </c>
      <c r="DV10" s="246" t="s">
        <v>469</v>
      </c>
      <c r="DW10" s="246" t="s">
        <v>470</v>
      </c>
      <c r="DX10" s="246" t="s">
        <v>471</v>
      </c>
      <c r="DY10" s="246" t="s">
        <v>472</v>
      </c>
      <c r="DZ10" s="246">
        <v>21</v>
      </c>
      <c r="EA10" s="247">
        <v>-0.1502</v>
      </c>
      <c r="EB10" s="247">
        <v>0.1348</v>
      </c>
      <c r="EC10" s="247">
        <v>-0.25690000000000002</v>
      </c>
      <c r="ED10" s="247">
        <v>2.5999999999999999E-3</v>
      </c>
      <c r="EE10" s="247">
        <v>-0.28139999999999998</v>
      </c>
      <c r="EF10" s="247">
        <v>9.2299999999999993E-2</v>
      </c>
      <c r="EG10" s="247">
        <v>0.15310000000000001</v>
      </c>
      <c r="EH10" s="247">
        <v>0.13900000000000001</v>
      </c>
      <c r="EI10" s="246" t="s">
        <v>466</v>
      </c>
      <c r="EJ10" s="234">
        <v>518.29999999999995</v>
      </c>
      <c r="EK10" s="234">
        <v>523.6</v>
      </c>
      <c r="EL10" s="234" t="s">
        <v>473</v>
      </c>
      <c r="EM10" s="234" t="s">
        <v>474</v>
      </c>
      <c r="EN10" s="234" t="s">
        <v>475</v>
      </c>
      <c r="EO10" s="234" t="s">
        <v>476</v>
      </c>
      <c r="EP10" s="234" t="s">
        <v>376</v>
      </c>
      <c r="EQ10" s="234" t="s">
        <v>377</v>
      </c>
      <c r="ER10" s="234">
        <v>1</v>
      </c>
      <c r="ES10" s="249">
        <v>0.40899999999999997</v>
      </c>
      <c r="ET10" s="249">
        <v>9.8500000000000004E-2</v>
      </c>
      <c r="EU10" s="250">
        <v>3736.8</v>
      </c>
      <c r="EV10" s="234" t="s">
        <v>477</v>
      </c>
      <c r="EW10" s="250">
        <v>0</v>
      </c>
      <c r="EX10" s="250">
        <v>5920.5</v>
      </c>
      <c r="EY10" s="250">
        <v>4206.7</v>
      </c>
      <c r="EZ10" s="250">
        <v>6911.7</v>
      </c>
      <c r="FA10" s="250">
        <v>8545.4</v>
      </c>
      <c r="FB10" s="250">
        <v>7253.9</v>
      </c>
      <c r="FC10" s="250">
        <v>0</v>
      </c>
      <c r="FD10" s="249">
        <v>0.33700000000000002</v>
      </c>
      <c r="FE10" s="250">
        <v>0</v>
      </c>
      <c r="FF10" s="250">
        <v>0</v>
      </c>
    </row>
    <row r="11" spans="1:162">
      <c r="A11" s="234" t="s">
        <v>478</v>
      </c>
      <c r="B11" s="234" t="s">
        <v>479</v>
      </c>
      <c r="C11" s="246" t="s">
        <v>401</v>
      </c>
      <c r="D11" s="246" t="s">
        <v>362</v>
      </c>
      <c r="E11" s="246">
        <v>4210</v>
      </c>
      <c r="F11" s="246" t="s">
        <v>363</v>
      </c>
      <c r="G11" s="246" t="s">
        <v>363</v>
      </c>
      <c r="H11" s="246" t="s">
        <v>363</v>
      </c>
      <c r="I11" s="246">
        <v>0.66930000000000001</v>
      </c>
      <c r="J11" s="246">
        <v>0.73460000000000003</v>
      </c>
      <c r="K11" s="247">
        <v>4.4600000000000001E-2</v>
      </c>
      <c r="L11" s="247">
        <v>7.2300000000000003E-2</v>
      </c>
      <c r="M11" s="246" t="s">
        <v>384</v>
      </c>
      <c r="N11" s="247">
        <v>7.7999999999999996E-3</v>
      </c>
      <c r="O11" s="247">
        <v>4.7300000000000002E-2</v>
      </c>
      <c r="P11" s="247">
        <v>3.5499999999999997E-2</v>
      </c>
      <c r="Q11" s="247">
        <v>6.8000000000000005E-2</v>
      </c>
      <c r="R11" s="247">
        <v>-3.3799999999999997E-2</v>
      </c>
      <c r="S11" s="247">
        <v>-1.4800000000000001E-2</v>
      </c>
      <c r="T11" s="248">
        <v>4650.7</v>
      </c>
      <c r="U11" s="248">
        <v>82.37</v>
      </c>
      <c r="V11" s="248">
        <v>522.20000000000005</v>
      </c>
      <c r="W11" s="248">
        <v>604.57000000000005</v>
      </c>
      <c r="X11" s="248">
        <v>5255.27</v>
      </c>
      <c r="Y11" s="248">
        <v>194.1</v>
      </c>
      <c r="Z11" s="248">
        <v>5061.17</v>
      </c>
      <c r="AA11" s="247">
        <v>3.6900000000000002E-2</v>
      </c>
      <c r="AB11" s="246">
        <v>1.26</v>
      </c>
      <c r="AC11" s="247">
        <v>0.1668</v>
      </c>
      <c r="AD11" s="247">
        <v>0.115</v>
      </c>
      <c r="AE11" s="247">
        <v>0.2001</v>
      </c>
      <c r="AF11" s="247">
        <v>0.13</v>
      </c>
      <c r="AG11" s="248">
        <v>26.53</v>
      </c>
      <c r="AH11" s="246">
        <v>31.61</v>
      </c>
      <c r="AI11" s="247">
        <v>1.06E-2</v>
      </c>
      <c r="AJ11" s="246">
        <v>0.71</v>
      </c>
      <c r="AK11" s="247">
        <v>0.3347</v>
      </c>
      <c r="AL11" s="247">
        <v>0.23200000000000001</v>
      </c>
      <c r="AM11" s="246">
        <v>0.22</v>
      </c>
      <c r="AN11" s="233">
        <v>5.78</v>
      </c>
      <c r="AO11" s="246">
        <v>39.75</v>
      </c>
      <c r="AP11" s="246">
        <v>40.76</v>
      </c>
      <c r="AQ11" s="246">
        <v>33.450000000000003</v>
      </c>
      <c r="AR11" s="246">
        <v>28.37</v>
      </c>
      <c r="AS11" s="246">
        <v>1.0900000000000001</v>
      </c>
      <c r="AT11" s="246">
        <v>1.54</v>
      </c>
      <c r="AU11" s="246">
        <v>1.31</v>
      </c>
      <c r="AV11" s="246">
        <v>0.88</v>
      </c>
      <c r="AW11" s="246">
        <v>25.86</v>
      </c>
      <c r="AX11" s="246">
        <v>8.1</v>
      </c>
      <c r="AY11" s="246">
        <v>1.64</v>
      </c>
      <c r="AZ11" s="246">
        <v>0.96</v>
      </c>
      <c r="BA11" s="247">
        <v>0.58720000000000006</v>
      </c>
      <c r="BB11" s="247">
        <v>1.44E-2</v>
      </c>
      <c r="BC11" s="247">
        <v>0.18840000000000001</v>
      </c>
      <c r="BD11" s="247">
        <v>-0.38100000000000001</v>
      </c>
      <c r="BE11" s="247">
        <v>-9.7600000000000006E-2</v>
      </c>
      <c r="BF11" s="247">
        <v>-5.3400000000000003E-2</v>
      </c>
      <c r="BG11" s="247">
        <v>4.7899999999999998E-2</v>
      </c>
      <c r="BH11" s="247">
        <v>0.36399999999999999</v>
      </c>
      <c r="BI11" s="247">
        <v>6.5000000000000002E-2</v>
      </c>
      <c r="BJ11" s="247">
        <v>3.85E-2</v>
      </c>
      <c r="BK11" s="247">
        <v>5.3199999999999997E-2</v>
      </c>
      <c r="BL11" s="246">
        <v>2</v>
      </c>
      <c r="BM11" s="247">
        <v>2.0299999999999999E-2</v>
      </c>
      <c r="BN11" s="247">
        <v>3.49E-2</v>
      </c>
      <c r="BO11" s="247">
        <v>0.16930000000000001</v>
      </c>
      <c r="BP11" s="247">
        <v>0.25</v>
      </c>
      <c r="BQ11" s="247">
        <v>0.23830000000000001</v>
      </c>
      <c r="BR11" s="247">
        <v>0.32269999999999999</v>
      </c>
      <c r="BS11" s="248">
        <v>117</v>
      </c>
      <c r="BT11" s="248">
        <v>114.1</v>
      </c>
      <c r="BU11" s="248">
        <v>177</v>
      </c>
      <c r="BV11" s="248">
        <v>195.73</v>
      </c>
      <c r="BW11" s="248">
        <v>950.4</v>
      </c>
      <c r="BX11" s="248">
        <v>5290.5</v>
      </c>
      <c r="BY11" s="248">
        <v>5613.8</v>
      </c>
      <c r="BZ11" s="248">
        <v>548.4</v>
      </c>
      <c r="CA11" s="248">
        <v>625</v>
      </c>
      <c r="CB11" s="248">
        <v>149.08000000000001</v>
      </c>
      <c r="CC11" s="248">
        <v>-258.39999999999998</v>
      </c>
      <c r="CD11" s="248">
        <v>15.5</v>
      </c>
      <c r="CE11" s="248">
        <v>361.9</v>
      </c>
      <c r="CF11" s="247">
        <v>6.4500000000000002E-2</v>
      </c>
      <c r="CG11" s="248">
        <v>484.8</v>
      </c>
      <c r="CH11" s="247">
        <v>3.3559000000000001</v>
      </c>
      <c r="CI11" s="248">
        <v>-351.22</v>
      </c>
      <c r="CJ11" s="248">
        <v>-127.8</v>
      </c>
      <c r="CK11" s="248">
        <v>-386.2</v>
      </c>
      <c r="CL11" s="248">
        <v>2967.2</v>
      </c>
      <c r="CM11" s="248">
        <v>2802.57</v>
      </c>
      <c r="CN11" s="248">
        <v>3021</v>
      </c>
      <c r="CO11" s="248">
        <v>3092.57</v>
      </c>
      <c r="CP11" s="248">
        <v>-67</v>
      </c>
      <c r="CQ11" s="246">
        <v>0.65</v>
      </c>
      <c r="CR11" s="246">
        <v>1.1000000000000001</v>
      </c>
      <c r="CS11" s="246">
        <v>1.1200000000000001</v>
      </c>
      <c r="CT11" s="246">
        <v>0.41</v>
      </c>
      <c r="CU11" s="246">
        <v>0.48</v>
      </c>
      <c r="CV11" s="248">
        <v>352.7</v>
      </c>
      <c r="CW11" s="248">
        <v>268.56</v>
      </c>
      <c r="CX11" s="248">
        <v>-75.3</v>
      </c>
      <c r="CY11" s="248">
        <v>149.80000000000001</v>
      </c>
      <c r="CZ11" s="248">
        <v>35.700000000000003</v>
      </c>
      <c r="DA11" s="248">
        <v>114.1</v>
      </c>
      <c r="DB11" s="248">
        <v>4650.7</v>
      </c>
      <c r="DC11" s="248">
        <v>625</v>
      </c>
      <c r="DD11" s="248">
        <v>5061.17</v>
      </c>
      <c r="DE11" s="248">
        <v>-127.8</v>
      </c>
      <c r="DF11" s="248">
        <v>0</v>
      </c>
      <c r="DG11" s="248">
        <v>195.73</v>
      </c>
      <c r="DH11" s="248">
        <v>3092.57</v>
      </c>
      <c r="DI11" s="248">
        <v>548.4</v>
      </c>
      <c r="DJ11" s="247">
        <v>3.85E-2</v>
      </c>
      <c r="DK11" s="247">
        <v>5.3199999999999997E-2</v>
      </c>
      <c r="DL11" s="246">
        <v>9.23</v>
      </c>
      <c r="DM11" s="246">
        <v>445.3</v>
      </c>
      <c r="DN11" s="246">
        <v>1263.8</v>
      </c>
      <c r="DO11" s="246">
        <v>352.7</v>
      </c>
      <c r="DP11" s="247">
        <v>0.16189999999999999</v>
      </c>
      <c r="DQ11" s="246" t="s">
        <v>480</v>
      </c>
      <c r="DR11" s="246" t="s">
        <v>481</v>
      </c>
      <c r="DS11" s="246" t="s">
        <v>482</v>
      </c>
      <c r="DT11" s="246" t="e">
        <v>#REF!</v>
      </c>
      <c r="DU11" s="246" t="s">
        <v>388</v>
      </c>
      <c r="DV11" s="246" t="s">
        <v>483</v>
      </c>
      <c r="DW11" s="246" t="s">
        <v>484</v>
      </c>
      <c r="DX11" s="246" t="s">
        <v>485</v>
      </c>
      <c r="DY11" s="246" t="s">
        <v>486</v>
      </c>
      <c r="DZ11" s="246">
        <v>85</v>
      </c>
      <c r="EA11" s="247">
        <v>-0.21829999999999999</v>
      </c>
      <c r="EB11" s="247">
        <v>5.5199999999999999E-2</v>
      </c>
      <c r="EC11" s="247">
        <v>-0.1235</v>
      </c>
      <c r="ED11" s="247">
        <v>0.254</v>
      </c>
      <c r="EE11" s="247">
        <v>-9.3299999999999994E-2</v>
      </c>
      <c r="EF11" s="247">
        <v>2.5000000000000001E-2</v>
      </c>
      <c r="EG11" s="247">
        <v>3.3700000000000001E-2</v>
      </c>
      <c r="EH11" s="247">
        <v>3.5000000000000003E-2</v>
      </c>
      <c r="EI11" s="246" t="s">
        <v>480</v>
      </c>
      <c r="EJ11" s="234">
        <v>177</v>
      </c>
      <c r="EK11" s="234">
        <v>184.8</v>
      </c>
      <c r="EL11" s="234" t="s">
        <v>487</v>
      </c>
      <c r="EM11" s="234" t="s">
        <v>488</v>
      </c>
      <c r="EN11" s="234" t="s">
        <v>489</v>
      </c>
      <c r="EO11" s="234" t="s">
        <v>490</v>
      </c>
      <c r="EP11" s="234" t="s">
        <v>376</v>
      </c>
      <c r="EQ11" s="234" t="s">
        <v>377</v>
      </c>
      <c r="ER11" s="234">
        <v>1</v>
      </c>
      <c r="ES11" s="249">
        <v>4.2799999999999998E-2</v>
      </c>
      <c r="ET11" s="234" t="s">
        <v>384</v>
      </c>
      <c r="EU11" s="250">
        <v>5613.8</v>
      </c>
      <c r="EV11" s="234" t="s">
        <v>491</v>
      </c>
      <c r="EW11" s="250">
        <v>0</v>
      </c>
      <c r="EX11" s="250">
        <v>4773.6000000000004</v>
      </c>
      <c r="EY11" s="250">
        <v>4165.5</v>
      </c>
      <c r="EZ11" s="250">
        <v>4490.6000000000004</v>
      </c>
      <c r="FA11" s="250">
        <v>5129.3999999999996</v>
      </c>
      <c r="FB11" s="250">
        <v>3913.4</v>
      </c>
      <c r="FC11" s="250">
        <v>0</v>
      </c>
      <c r="FD11" s="249">
        <v>0.23699999999999999</v>
      </c>
      <c r="FE11" s="250">
        <v>467.5</v>
      </c>
      <c r="FF11" s="250">
        <v>0</v>
      </c>
    </row>
    <row r="12" spans="1:162">
      <c r="A12" s="234" t="s">
        <v>492</v>
      </c>
      <c r="B12" s="234" t="s">
        <v>493</v>
      </c>
      <c r="C12" s="246" t="s">
        <v>361</v>
      </c>
      <c r="D12" s="246" t="s">
        <v>362</v>
      </c>
      <c r="E12" s="246">
        <v>4210</v>
      </c>
      <c r="F12" s="246" t="s">
        <v>494</v>
      </c>
      <c r="G12" s="246" t="s">
        <v>494</v>
      </c>
      <c r="H12" s="246" t="s">
        <v>494</v>
      </c>
      <c r="I12" s="246">
        <v>0.74739999999999995</v>
      </c>
      <c r="J12" s="246">
        <v>1.0288999999999999</v>
      </c>
      <c r="K12" s="247">
        <v>5.1400000000000001E-2</v>
      </c>
      <c r="L12" s="247">
        <v>9.2399999999999996E-2</v>
      </c>
      <c r="M12" s="246" t="s">
        <v>384</v>
      </c>
      <c r="N12" s="247">
        <v>1.15E-2</v>
      </c>
      <c r="O12" s="247">
        <v>5.0999999999999997E-2</v>
      </c>
      <c r="P12" s="247">
        <v>3.5799999999999998E-2</v>
      </c>
      <c r="Q12" s="247">
        <v>7.2700000000000001E-2</v>
      </c>
      <c r="R12" s="247">
        <v>-1.7100000000000001E-2</v>
      </c>
      <c r="S12" s="247">
        <v>-4.7199999999999999E-2</v>
      </c>
      <c r="T12" s="248">
        <v>4461.7</v>
      </c>
      <c r="U12" s="248">
        <v>1163.1400000000001</v>
      </c>
      <c r="V12" s="248">
        <v>1228.8</v>
      </c>
      <c r="W12" s="248">
        <v>2391.94</v>
      </c>
      <c r="X12" s="248">
        <v>6853.64</v>
      </c>
      <c r="Y12" s="248">
        <v>1105.3</v>
      </c>
      <c r="Z12" s="248">
        <v>5748.34</v>
      </c>
      <c r="AA12" s="247">
        <v>0.1613</v>
      </c>
      <c r="AB12" s="246">
        <v>1.07</v>
      </c>
      <c r="AC12" s="247">
        <v>0.38340000000000002</v>
      </c>
      <c r="AD12" s="247">
        <v>0.34899999999999998</v>
      </c>
      <c r="AE12" s="247">
        <v>0.62190000000000001</v>
      </c>
      <c r="AF12" s="247">
        <v>0.53610000000000002</v>
      </c>
      <c r="AG12" s="248">
        <v>14.14</v>
      </c>
      <c r="AH12" s="246">
        <v>24.3</v>
      </c>
      <c r="AI12" s="247">
        <v>-7.8100000000000003E-2</v>
      </c>
      <c r="AJ12" s="246">
        <v>0.99</v>
      </c>
      <c r="AK12" s="247">
        <v>0.255</v>
      </c>
      <c r="AL12" s="247">
        <v>0.22450000000000001</v>
      </c>
      <c r="AM12" s="246">
        <v>0.19</v>
      </c>
      <c r="AN12" s="233">
        <v>12.27</v>
      </c>
      <c r="AO12" s="246">
        <v>17.61</v>
      </c>
      <c r="AP12" s="246">
        <v>14.93</v>
      </c>
      <c r="AQ12" s="246">
        <v>35.520000000000003</v>
      </c>
      <c r="AR12" s="246">
        <v>21.23</v>
      </c>
      <c r="AS12" s="246">
        <v>1.43</v>
      </c>
      <c r="AT12" s="246">
        <v>1.1599999999999999</v>
      </c>
      <c r="AU12" s="246">
        <v>1.1599999999999999</v>
      </c>
      <c r="AV12" s="246">
        <v>0.38</v>
      </c>
      <c r="AW12" s="246">
        <v>32.93</v>
      </c>
      <c r="AX12" s="246">
        <v>7.56</v>
      </c>
      <c r="AY12" s="246">
        <v>1.1399999999999999</v>
      </c>
      <c r="AZ12" s="246">
        <v>0.49</v>
      </c>
      <c r="BA12" s="247">
        <v>0.34839999999999999</v>
      </c>
      <c r="BB12" s="247">
        <v>2.3300000000000001E-2</v>
      </c>
      <c r="BC12" s="247">
        <v>8.9999999999999993E-3</v>
      </c>
      <c r="BD12" s="247">
        <v>-5.0599999999999999E-2</v>
      </c>
      <c r="BE12" s="247">
        <v>2.0400000000000001E-2</v>
      </c>
      <c r="BF12" s="247">
        <v>3.2000000000000002E-3</v>
      </c>
      <c r="BG12" s="247">
        <v>2.2599999999999999E-2</v>
      </c>
      <c r="BH12" s="247">
        <v>0.123</v>
      </c>
      <c r="BI12" s="247">
        <v>4.8099999999999997E-2</v>
      </c>
      <c r="BJ12" s="247">
        <v>7.5300000000000006E-2</v>
      </c>
      <c r="BK12" s="247">
        <v>2.5399999999999999E-2</v>
      </c>
      <c r="BL12" s="246">
        <v>2.63</v>
      </c>
      <c r="BM12" s="247">
        <v>2.4199999999999999E-2</v>
      </c>
      <c r="BN12" s="247">
        <v>1.41E-2</v>
      </c>
      <c r="BO12" s="247">
        <v>4.6300000000000001E-2</v>
      </c>
      <c r="BP12" s="247">
        <v>0.2974</v>
      </c>
      <c r="BQ12" s="247">
        <v>0.31409999999999999</v>
      </c>
      <c r="BR12" s="247">
        <v>0.54200000000000004</v>
      </c>
      <c r="BS12" s="248">
        <v>253.3</v>
      </c>
      <c r="BT12" s="248">
        <v>298.8</v>
      </c>
      <c r="BU12" s="248">
        <v>171.8</v>
      </c>
      <c r="BV12" s="248">
        <v>174.57</v>
      </c>
      <c r="BW12" s="248">
        <v>572.4</v>
      </c>
      <c r="BX12" s="248">
        <v>11771.1</v>
      </c>
      <c r="BY12" s="248">
        <v>12359.4</v>
      </c>
      <c r="BZ12" s="248">
        <v>422.4</v>
      </c>
      <c r="CA12" s="248">
        <v>760.4</v>
      </c>
      <c r="CB12" s="248">
        <v>119.73</v>
      </c>
      <c r="CC12" s="248">
        <v>-367.1</v>
      </c>
      <c r="CD12" s="248">
        <v>76.64</v>
      </c>
      <c r="CE12" s="248">
        <v>358.7</v>
      </c>
      <c r="CF12" s="247">
        <v>2.9000000000000001E-2</v>
      </c>
      <c r="CG12" s="248">
        <v>605.79999999999995</v>
      </c>
      <c r="CH12" s="247">
        <v>5.6997</v>
      </c>
      <c r="CI12" s="248">
        <v>-562.71</v>
      </c>
      <c r="CJ12" s="248">
        <v>-16.54</v>
      </c>
      <c r="CK12" s="248">
        <v>-383.64</v>
      </c>
      <c r="CL12" s="248">
        <v>3969.3</v>
      </c>
      <c r="CM12" s="248">
        <v>4705.54</v>
      </c>
      <c r="CN12" s="248">
        <v>3846.4</v>
      </c>
      <c r="CO12" s="248">
        <v>5031.04</v>
      </c>
      <c r="CP12" s="248">
        <v>-104.1</v>
      </c>
      <c r="CQ12" s="246">
        <v>0.48</v>
      </c>
      <c r="CR12" s="246">
        <v>0.31</v>
      </c>
      <c r="CS12" s="246">
        <v>0.43</v>
      </c>
      <c r="CT12" s="246">
        <v>0.55000000000000004</v>
      </c>
      <c r="CU12" s="246">
        <v>0.52</v>
      </c>
      <c r="CV12" s="248">
        <v>463.57</v>
      </c>
      <c r="CW12" s="248">
        <v>307.08999999999997</v>
      </c>
      <c r="CX12" s="248">
        <v>-442.1</v>
      </c>
      <c r="CY12" s="248">
        <v>439.3</v>
      </c>
      <c r="CZ12" s="248">
        <v>138</v>
      </c>
      <c r="DA12" s="248">
        <v>298.8</v>
      </c>
      <c r="DB12" s="248">
        <v>4461.7</v>
      </c>
      <c r="DC12" s="248">
        <v>760.4</v>
      </c>
      <c r="DD12" s="248">
        <v>5748.34</v>
      </c>
      <c r="DE12" s="248">
        <v>-16.54</v>
      </c>
      <c r="DF12" s="248">
        <v>35.1</v>
      </c>
      <c r="DG12" s="248">
        <v>185.23</v>
      </c>
      <c r="DH12" s="248">
        <v>5066.1400000000003</v>
      </c>
      <c r="DI12" s="248">
        <v>441.5</v>
      </c>
      <c r="DJ12" s="247">
        <v>7.7299999999999994E-2</v>
      </c>
      <c r="DK12" s="247">
        <v>2.6800000000000001E-2</v>
      </c>
      <c r="DL12" s="246">
        <v>13.02</v>
      </c>
      <c r="DM12" s="246">
        <v>20.100000000000001</v>
      </c>
      <c r="DN12" s="246">
        <v>3826.8</v>
      </c>
      <c r="DO12" s="246">
        <v>463.57</v>
      </c>
      <c r="DP12" s="247">
        <v>0.1047</v>
      </c>
      <c r="DQ12" s="246" t="s">
        <v>495</v>
      </c>
      <c r="DR12" s="246" t="s">
        <v>496</v>
      </c>
      <c r="DS12" s="246" t="s">
        <v>497</v>
      </c>
      <c r="DT12" s="246" t="e">
        <v>#REF!</v>
      </c>
      <c r="DU12" s="246" t="s">
        <v>388</v>
      </c>
      <c r="DV12" s="246" t="s">
        <v>498</v>
      </c>
      <c r="DW12" s="246" t="s">
        <v>499</v>
      </c>
      <c r="DX12" s="246" t="s">
        <v>500</v>
      </c>
      <c r="DY12" s="246" t="s">
        <v>501</v>
      </c>
      <c r="DZ12" s="246">
        <v>101</v>
      </c>
      <c r="EA12" s="247">
        <v>0.1226</v>
      </c>
      <c r="EB12" s="247">
        <v>-1.83E-2</v>
      </c>
      <c r="EC12" s="247">
        <v>0.1951</v>
      </c>
      <c r="ED12" s="247">
        <v>-0.1187</v>
      </c>
      <c r="EE12" s="247">
        <v>0.1608</v>
      </c>
      <c r="EF12" s="247">
        <v>-6.3E-3</v>
      </c>
      <c r="EG12" s="247">
        <v>1.2200000000000001E-2</v>
      </c>
      <c r="EH12" s="247">
        <v>1.4E-2</v>
      </c>
      <c r="EI12" s="246" t="s">
        <v>495</v>
      </c>
      <c r="EJ12" s="234">
        <v>171.8</v>
      </c>
      <c r="EK12" s="234">
        <v>151.30000000000001</v>
      </c>
      <c r="EL12" s="234" t="s">
        <v>502</v>
      </c>
      <c r="EM12" s="234" t="s">
        <v>503</v>
      </c>
      <c r="EN12" s="234" t="s">
        <v>504</v>
      </c>
      <c r="EO12" s="234" t="s">
        <v>505</v>
      </c>
      <c r="EP12" s="234" t="s">
        <v>376</v>
      </c>
      <c r="EQ12" s="234" t="s">
        <v>377</v>
      </c>
      <c r="ER12" s="234">
        <v>1</v>
      </c>
      <c r="ES12" s="249">
        <v>-5.2200000000000003E-2</v>
      </c>
      <c r="ET12" s="249">
        <v>5.4999999999999997E-3</v>
      </c>
      <c r="EU12" s="250">
        <v>12359.4</v>
      </c>
      <c r="EV12" s="234" t="s">
        <v>506</v>
      </c>
      <c r="EW12" s="250">
        <v>8111.7</v>
      </c>
      <c r="EX12" s="250">
        <v>8710</v>
      </c>
      <c r="EY12" s="250">
        <v>5733.2</v>
      </c>
      <c r="EZ12" s="250">
        <v>6491.9</v>
      </c>
      <c r="FA12" s="250">
        <v>3843.6</v>
      </c>
      <c r="FB12" s="250">
        <v>4421.7</v>
      </c>
      <c r="FC12" s="250">
        <v>105.7</v>
      </c>
      <c r="FD12" s="249">
        <v>0.115</v>
      </c>
      <c r="FE12" s="250">
        <v>0</v>
      </c>
      <c r="FF12" s="250">
        <v>135.80000000000001</v>
      </c>
    </row>
    <row r="13" spans="1:162">
      <c r="A13" s="234" t="s">
        <v>507</v>
      </c>
      <c r="B13" s="234" t="s">
        <v>508</v>
      </c>
      <c r="C13" s="246" t="s">
        <v>361</v>
      </c>
      <c r="D13" s="246" t="s">
        <v>362</v>
      </c>
      <c r="E13" s="246">
        <v>4210</v>
      </c>
      <c r="F13" s="246" t="s">
        <v>509</v>
      </c>
      <c r="G13" s="246" t="s">
        <v>417</v>
      </c>
      <c r="H13" s="246" t="s">
        <v>509</v>
      </c>
      <c r="I13" s="246">
        <v>0.74739999999999995</v>
      </c>
      <c r="J13" s="246">
        <v>0.82240000000000002</v>
      </c>
      <c r="K13" s="247">
        <v>5.1400000000000001E-2</v>
      </c>
      <c r="L13" s="247">
        <v>8.1799999999999998E-2</v>
      </c>
      <c r="M13" s="246" t="s">
        <v>384</v>
      </c>
      <c r="N13" s="247">
        <v>1.15E-2</v>
      </c>
      <c r="O13" s="247">
        <v>5.0999999999999997E-2</v>
      </c>
      <c r="P13" s="247">
        <v>3.8300000000000001E-2</v>
      </c>
      <c r="Q13" s="247">
        <v>7.6600000000000001E-2</v>
      </c>
      <c r="R13" s="247">
        <v>2.1600000000000001E-2</v>
      </c>
      <c r="S13" s="247">
        <v>-7.17E-2</v>
      </c>
      <c r="T13" s="248">
        <v>3308</v>
      </c>
      <c r="U13" s="248">
        <v>0</v>
      </c>
      <c r="V13" s="248">
        <v>442.3</v>
      </c>
      <c r="W13" s="248">
        <v>442.3</v>
      </c>
      <c r="X13" s="248">
        <v>3750.3</v>
      </c>
      <c r="Y13" s="248">
        <v>431.1</v>
      </c>
      <c r="Z13" s="248">
        <v>3319.2</v>
      </c>
      <c r="AA13" s="247">
        <v>0.115</v>
      </c>
      <c r="AB13" s="246">
        <v>1.1100000000000001</v>
      </c>
      <c r="AC13" s="247">
        <v>0.13789999999999999</v>
      </c>
      <c r="AD13" s="247">
        <v>0.1179</v>
      </c>
      <c r="AE13" s="247">
        <v>0.15989999999999999</v>
      </c>
      <c r="AF13" s="247">
        <v>0.13370000000000001</v>
      </c>
      <c r="AG13" s="248">
        <v>0.64</v>
      </c>
      <c r="AH13" s="246">
        <v>69.06</v>
      </c>
      <c r="AI13" s="247">
        <v>-0.15260000000000001</v>
      </c>
      <c r="AJ13" s="246">
        <v>0.77</v>
      </c>
      <c r="AK13" s="247">
        <v>0.21909999999999999</v>
      </c>
      <c r="AL13" s="247">
        <v>0.16539999999999999</v>
      </c>
      <c r="AM13" s="246">
        <v>0.11</v>
      </c>
      <c r="AN13" s="233">
        <v>0.83</v>
      </c>
      <c r="AO13" s="246">
        <v>17.89</v>
      </c>
      <c r="AP13" s="246">
        <v>16.63</v>
      </c>
      <c r="AQ13" s="246">
        <v>18.3</v>
      </c>
      <c r="AR13" s="246" t="s">
        <v>384</v>
      </c>
      <c r="AS13" s="246" t="s">
        <v>384</v>
      </c>
      <c r="AT13" s="246">
        <v>1.2</v>
      </c>
      <c r="AU13" s="246">
        <v>1.27</v>
      </c>
      <c r="AV13" s="246">
        <v>30.43</v>
      </c>
      <c r="AW13" s="246">
        <v>325.41000000000003</v>
      </c>
      <c r="AX13" s="246">
        <v>78.28</v>
      </c>
      <c r="AY13" s="246">
        <v>1.2</v>
      </c>
      <c r="AZ13" s="246">
        <v>30.54</v>
      </c>
      <c r="BA13" s="247">
        <v>0.54549999999999998</v>
      </c>
      <c r="BB13" s="247">
        <v>3.2800000000000003E-2</v>
      </c>
      <c r="BC13" s="247">
        <v>-2.24E-2</v>
      </c>
      <c r="BD13" s="247">
        <v>0.42499999999999999</v>
      </c>
      <c r="BE13" s="247">
        <v>0.28299999999999997</v>
      </c>
      <c r="BF13" s="247">
        <v>6.4999999999999997E-3</v>
      </c>
      <c r="BG13" s="247">
        <v>8.9700000000000002E-2</v>
      </c>
      <c r="BH13" s="246" t="s">
        <v>384</v>
      </c>
      <c r="BI13" s="246" t="s">
        <v>384</v>
      </c>
      <c r="BJ13" s="247">
        <v>0.10340000000000001</v>
      </c>
      <c r="BK13" s="247">
        <v>4.8999999999999998E-3</v>
      </c>
      <c r="BL13" s="246">
        <v>0.06</v>
      </c>
      <c r="BM13" s="247">
        <v>1.7775000000000001</v>
      </c>
      <c r="BN13" s="247">
        <v>9.1200000000000003E-2</v>
      </c>
      <c r="BO13" s="247">
        <v>0.28149999999999997</v>
      </c>
      <c r="BP13" s="247">
        <v>0.25</v>
      </c>
      <c r="BQ13" s="247">
        <v>4.6399999999999997E-2</v>
      </c>
      <c r="BR13" s="247">
        <v>0.13250000000000001</v>
      </c>
      <c r="BS13" s="248">
        <v>184.9</v>
      </c>
      <c r="BT13" s="248">
        <v>198.9</v>
      </c>
      <c r="BU13" s="248">
        <v>10.199999999999999</v>
      </c>
      <c r="BV13" s="248">
        <v>10.199999999999999</v>
      </c>
      <c r="BW13" s="248">
        <v>31.5</v>
      </c>
      <c r="BX13" s="248">
        <v>108.7</v>
      </c>
      <c r="BY13" s="248">
        <v>111.9</v>
      </c>
      <c r="BZ13" s="248">
        <v>34.6</v>
      </c>
      <c r="CA13" s="248">
        <v>42.4</v>
      </c>
      <c r="CB13" s="248">
        <v>9.73</v>
      </c>
      <c r="CC13" s="248">
        <v>228.5</v>
      </c>
      <c r="CD13" s="248">
        <v>-0.75</v>
      </c>
      <c r="CE13" s="248">
        <v>357.95</v>
      </c>
      <c r="CF13" s="247">
        <v>3.1987999999999999</v>
      </c>
      <c r="CG13" s="248">
        <v>103.6</v>
      </c>
      <c r="CH13" s="247">
        <v>10.574299999999999</v>
      </c>
      <c r="CI13" s="248">
        <v>-93.13</v>
      </c>
      <c r="CJ13" s="248">
        <v>-132.44999999999999</v>
      </c>
      <c r="CK13" s="248">
        <v>96.05</v>
      </c>
      <c r="CL13" s="248">
        <v>1923.5</v>
      </c>
      <c r="CM13" s="248">
        <v>1980.1</v>
      </c>
      <c r="CN13" s="248">
        <v>2765.9</v>
      </c>
      <c r="CO13" s="248">
        <v>2777.1</v>
      </c>
      <c r="CP13" s="248">
        <v>-108.5</v>
      </c>
      <c r="CQ13" s="246">
        <v>0.3</v>
      </c>
      <c r="CR13" s="246">
        <v>0.36</v>
      </c>
      <c r="CS13" s="246">
        <v>0.42</v>
      </c>
      <c r="CT13" s="246">
        <v>0.52</v>
      </c>
      <c r="CU13" s="246">
        <v>0.38</v>
      </c>
      <c r="CV13" s="248">
        <v>11.55</v>
      </c>
      <c r="CW13" s="248">
        <v>72.67</v>
      </c>
      <c r="CX13" s="248">
        <v>-108.5</v>
      </c>
      <c r="CY13" s="248">
        <v>214</v>
      </c>
      <c r="CZ13" s="248">
        <v>9.93</v>
      </c>
      <c r="DA13" s="248">
        <v>198.9</v>
      </c>
      <c r="DB13" s="248">
        <v>3308</v>
      </c>
      <c r="DC13" s="248">
        <v>42.4</v>
      </c>
      <c r="DD13" s="248">
        <v>3319.2</v>
      </c>
      <c r="DE13" s="248">
        <v>-132.44999999999999</v>
      </c>
      <c r="DF13" s="248">
        <v>2.54</v>
      </c>
      <c r="DG13" s="248">
        <v>10.46</v>
      </c>
      <c r="DH13" s="248">
        <v>2779.64</v>
      </c>
      <c r="DI13" s="248">
        <v>35.479999999999997</v>
      </c>
      <c r="DJ13" s="247">
        <v>0.10340000000000001</v>
      </c>
      <c r="DK13" s="247">
        <v>5.0000000000000001E-3</v>
      </c>
      <c r="DL13" s="246">
        <v>93.56</v>
      </c>
      <c r="DM13" s="246">
        <v>32.200000000000003</v>
      </c>
      <c r="DN13" s="246">
        <v>856.14</v>
      </c>
      <c r="DO13" s="246">
        <v>11.55</v>
      </c>
      <c r="DP13" s="247">
        <v>6.4000000000000003E-3</v>
      </c>
      <c r="DQ13" s="248">
        <v>-238.6</v>
      </c>
      <c r="DR13" s="246" t="s">
        <v>510</v>
      </c>
      <c r="DS13" s="246" t="s">
        <v>511</v>
      </c>
      <c r="DT13" s="246" t="e">
        <v>#REF!</v>
      </c>
      <c r="DU13" s="246" t="s">
        <v>512</v>
      </c>
      <c r="DV13" s="246" t="s">
        <v>513</v>
      </c>
      <c r="DW13" s="246" t="s">
        <v>514</v>
      </c>
      <c r="DX13" s="246" t="s">
        <v>515</v>
      </c>
      <c r="DY13" s="246" t="s">
        <v>516</v>
      </c>
      <c r="DZ13" s="246">
        <v>23</v>
      </c>
      <c r="EA13" s="247">
        <v>-1.89E-2</v>
      </c>
      <c r="EB13" s="247">
        <v>-3.4000000000000002E-2</v>
      </c>
      <c r="EC13" s="247">
        <v>-1.6E-2</v>
      </c>
      <c r="ED13" s="247">
        <v>2.24E-2</v>
      </c>
      <c r="EE13" s="247">
        <v>-4.6399999999999997E-2</v>
      </c>
      <c r="EF13" s="247">
        <v>3.4200000000000001E-2</v>
      </c>
      <c r="EG13" s="247">
        <v>0.05</v>
      </c>
      <c r="EH13" s="247">
        <v>9.0999999999999998E-2</v>
      </c>
      <c r="EI13" s="248">
        <v>-238.6</v>
      </c>
      <c r="EJ13" s="234">
        <v>10.199999999999999</v>
      </c>
      <c r="EK13" s="234">
        <v>5.41</v>
      </c>
      <c r="EL13" s="234" t="s">
        <v>517</v>
      </c>
      <c r="EM13" s="234" t="s">
        <v>518</v>
      </c>
      <c r="EN13" s="234" t="s">
        <v>519</v>
      </c>
      <c r="EO13" s="234" t="s">
        <v>520</v>
      </c>
      <c r="EP13" s="234" t="s">
        <v>376</v>
      </c>
      <c r="EQ13" s="234" t="s">
        <v>377</v>
      </c>
      <c r="ER13" s="234">
        <v>1</v>
      </c>
      <c r="ES13" s="249">
        <v>6.5699999999999995E-2</v>
      </c>
      <c r="ET13" s="234" t="s">
        <v>384</v>
      </c>
      <c r="EU13" s="250">
        <v>111.9</v>
      </c>
      <c r="EV13" s="234" t="s">
        <v>491</v>
      </c>
      <c r="EW13" s="250">
        <v>1994.4</v>
      </c>
      <c r="EX13" s="250">
        <v>1856.7</v>
      </c>
      <c r="EY13" s="250">
        <v>1653.3</v>
      </c>
      <c r="EZ13" s="250">
        <v>1547.9</v>
      </c>
      <c r="FA13" s="250">
        <v>3469.1</v>
      </c>
      <c r="FB13" s="250">
        <v>3383.7</v>
      </c>
      <c r="FC13" s="250">
        <v>0</v>
      </c>
      <c r="FD13" s="249">
        <v>0.06</v>
      </c>
      <c r="FE13" s="250">
        <v>358.8</v>
      </c>
      <c r="FF13" s="250">
        <v>0</v>
      </c>
    </row>
    <row r="14" spans="1:162">
      <c r="A14" s="234" t="s">
        <v>521</v>
      </c>
      <c r="B14" s="234" t="s">
        <v>522</v>
      </c>
      <c r="C14" s="246" t="s">
        <v>361</v>
      </c>
      <c r="D14" s="246" t="s">
        <v>362</v>
      </c>
      <c r="E14" s="246">
        <v>4210</v>
      </c>
      <c r="F14" s="246" t="s">
        <v>509</v>
      </c>
      <c r="G14" s="246" t="s">
        <v>417</v>
      </c>
      <c r="H14" s="246" t="s">
        <v>509</v>
      </c>
      <c r="I14" s="246">
        <v>0.74739999999999995</v>
      </c>
      <c r="J14" s="246">
        <v>1.0246</v>
      </c>
      <c r="K14" s="247">
        <v>5.1400000000000001E-2</v>
      </c>
      <c r="L14" s="247">
        <v>9.2200000000000004E-2</v>
      </c>
      <c r="M14" s="246" t="s">
        <v>384</v>
      </c>
      <c r="N14" s="247">
        <v>1.49E-2</v>
      </c>
      <c r="O14" s="247">
        <v>5.4399999999999997E-2</v>
      </c>
      <c r="P14" s="247">
        <v>4.0800000000000003E-2</v>
      </c>
      <c r="Q14" s="247">
        <v>7.5200000000000003E-2</v>
      </c>
      <c r="R14" s="247">
        <v>2.75E-2</v>
      </c>
      <c r="S14" s="247">
        <v>1.14E-2</v>
      </c>
      <c r="T14" s="248">
        <v>2899.6</v>
      </c>
      <c r="U14" s="248">
        <v>0</v>
      </c>
      <c r="V14" s="248">
        <v>1433.7</v>
      </c>
      <c r="W14" s="248">
        <v>1433.7</v>
      </c>
      <c r="X14" s="248">
        <v>4333.3</v>
      </c>
      <c r="Y14" s="248">
        <v>314.8</v>
      </c>
      <c r="Z14" s="248">
        <v>4018.5</v>
      </c>
      <c r="AA14" s="247">
        <v>7.2599999999999998E-2</v>
      </c>
      <c r="AB14" s="246">
        <v>4.17</v>
      </c>
      <c r="AC14" s="247">
        <v>0.498</v>
      </c>
      <c r="AD14" s="247">
        <v>0.33090000000000003</v>
      </c>
      <c r="AE14" s="247">
        <v>0.99180000000000001</v>
      </c>
      <c r="AF14" s="247">
        <v>0.49440000000000001</v>
      </c>
      <c r="AG14" s="248">
        <v>1.92</v>
      </c>
      <c r="AH14" s="246">
        <v>69.06</v>
      </c>
      <c r="AI14" s="247">
        <v>1.5E-3</v>
      </c>
      <c r="AJ14" s="246">
        <v>0.52</v>
      </c>
      <c r="AK14" s="247">
        <v>9.4899999999999998E-2</v>
      </c>
      <c r="AL14" s="247">
        <v>0.36559999999999998</v>
      </c>
      <c r="AM14" s="246">
        <v>0.35</v>
      </c>
      <c r="AN14" s="233">
        <v>6.23</v>
      </c>
      <c r="AO14" s="246">
        <v>20.350000000000001</v>
      </c>
      <c r="AP14" s="246">
        <v>18.05</v>
      </c>
      <c r="AQ14" s="246">
        <v>16.260000000000002</v>
      </c>
      <c r="AR14" s="246">
        <v>13.06</v>
      </c>
      <c r="AS14" s="246" t="s">
        <v>384</v>
      </c>
      <c r="AT14" s="246">
        <v>2.0099999999999998</v>
      </c>
      <c r="AU14" s="246">
        <v>1.72</v>
      </c>
      <c r="AV14" s="246">
        <v>0.45</v>
      </c>
      <c r="AW14" s="246">
        <v>16.79</v>
      </c>
      <c r="AX14" s="246">
        <v>9.36</v>
      </c>
      <c r="AY14" s="246">
        <v>1.65</v>
      </c>
      <c r="AZ14" s="246">
        <v>0.62</v>
      </c>
      <c r="BA14" s="247">
        <v>0.1638</v>
      </c>
      <c r="BB14" s="247">
        <v>9.1000000000000004E-3</v>
      </c>
      <c r="BC14" s="247">
        <v>0.2515</v>
      </c>
      <c r="BD14" s="246" t="s">
        <v>384</v>
      </c>
      <c r="BE14" s="247">
        <v>0.3</v>
      </c>
      <c r="BF14" s="247">
        <v>0.17199999999999999</v>
      </c>
      <c r="BG14" s="247">
        <v>0.187</v>
      </c>
      <c r="BH14" s="246" t="s">
        <v>384</v>
      </c>
      <c r="BI14" s="247">
        <v>0.14299999999999999</v>
      </c>
      <c r="BJ14" s="247">
        <v>0.1197</v>
      </c>
      <c r="BK14" s="247">
        <v>8.6599999999999996E-2</v>
      </c>
      <c r="BL14" s="246">
        <v>3.37</v>
      </c>
      <c r="BM14" s="247">
        <v>2.1899999999999999E-2</v>
      </c>
      <c r="BN14" s="247">
        <v>3.2599999999999997E-2</v>
      </c>
      <c r="BO14" s="247">
        <v>5.8799999999999998E-2</v>
      </c>
      <c r="BP14" s="247">
        <v>0.25</v>
      </c>
      <c r="BQ14" s="247">
        <v>0.2112</v>
      </c>
      <c r="BR14" s="247">
        <v>3.61E-2</v>
      </c>
      <c r="BS14" s="248">
        <v>142.5</v>
      </c>
      <c r="BT14" s="248">
        <v>160.6</v>
      </c>
      <c r="BU14" s="248">
        <v>239.3</v>
      </c>
      <c r="BV14" s="248">
        <v>239.3</v>
      </c>
      <c r="BW14" s="248">
        <v>431.7</v>
      </c>
      <c r="BX14" s="248">
        <v>6462.4</v>
      </c>
      <c r="BY14" s="248">
        <v>7339.2</v>
      </c>
      <c r="BZ14" s="248">
        <v>384.5</v>
      </c>
      <c r="CA14" s="248">
        <v>429.2</v>
      </c>
      <c r="CB14" s="248">
        <v>188.75</v>
      </c>
      <c r="CC14" s="248">
        <v>-91.6</v>
      </c>
      <c r="CD14" s="248">
        <v>-51.05</v>
      </c>
      <c r="CE14" s="248">
        <v>-27.1</v>
      </c>
      <c r="CF14" s="247">
        <v>-3.7000000000000002E-3</v>
      </c>
      <c r="CG14" s="248">
        <v>437.6</v>
      </c>
      <c r="CH14" s="247">
        <v>2.0478999999999998</v>
      </c>
      <c r="CI14" s="248">
        <v>-197.79</v>
      </c>
      <c r="CJ14" s="248">
        <v>-134.35</v>
      </c>
      <c r="CK14" s="248">
        <v>-225.95</v>
      </c>
      <c r="CL14" s="248">
        <v>1341.8</v>
      </c>
      <c r="CM14" s="248">
        <v>2179.6999999999998</v>
      </c>
      <c r="CN14" s="248">
        <v>1445.5</v>
      </c>
      <c r="CO14" s="248">
        <v>2440</v>
      </c>
      <c r="CP14" s="248">
        <v>-26.3</v>
      </c>
      <c r="CQ14" s="246">
        <v>0.28999999999999998</v>
      </c>
      <c r="CR14" s="246">
        <v>7.0000000000000007E-2</v>
      </c>
      <c r="CS14" s="246">
        <v>0.42</v>
      </c>
      <c r="CT14" s="246">
        <v>0.71</v>
      </c>
      <c r="CU14" s="246">
        <v>0.96</v>
      </c>
      <c r="CV14" s="248">
        <v>162.63</v>
      </c>
      <c r="CW14" s="248">
        <v>108.95</v>
      </c>
      <c r="CX14" s="248">
        <v>-30.53</v>
      </c>
      <c r="CY14" s="248">
        <v>203.1</v>
      </c>
      <c r="CZ14" s="248">
        <v>42.9</v>
      </c>
      <c r="DA14" s="248">
        <v>160.6</v>
      </c>
      <c r="DB14" s="248">
        <v>2899.6</v>
      </c>
      <c r="DC14" s="248">
        <v>429.2</v>
      </c>
      <c r="DD14" s="248">
        <v>4018.5</v>
      </c>
      <c r="DE14" s="248">
        <v>-134.35</v>
      </c>
      <c r="DF14" s="248">
        <v>76.319999999999993</v>
      </c>
      <c r="DG14" s="248">
        <v>239.06</v>
      </c>
      <c r="DH14" s="248">
        <v>2516.3200000000002</v>
      </c>
      <c r="DI14" s="248">
        <v>410.2</v>
      </c>
      <c r="DJ14" s="247">
        <v>0.11310000000000001</v>
      </c>
      <c r="DK14" s="247">
        <v>8.3599999999999994E-2</v>
      </c>
      <c r="DL14" s="246">
        <v>9.8000000000000007</v>
      </c>
      <c r="DM14" s="246">
        <v>189.9</v>
      </c>
      <c r="DN14" s="246">
        <v>205.37</v>
      </c>
      <c r="DO14" s="246">
        <v>162.63</v>
      </c>
      <c r="DP14" s="247">
        <v>0.123</v>
      </c>
      <c r="DQ14" s="246" t="s">
        <v>523</v>
      </c>
      <c r="DR14" s="246" t="s">
        <v>524</v>
      </c>
      <c r="DS14" s="246" t="s">
        <v>525</v>
      </c>
      <c r="DT14" s="246" t="e">
        <v>#REF!</v>
      </c>
      <c r="DU14" s="246" t="s">
        <v>388</v>
      </c>
      <c r="DV14" s="246" t="s">
        <v>526</v>
      </c>
      <c r="DW14" s="246" t="s">
        <v>527</v>
      </c>
      <c r="DX14" s="246" t="s">
        <v>528</v>
      </c>
      <c r="DY14" s="246" t="s">
        <v>529</v>
      </c>
      <c r="DZ14" s="246">
        <v>27</v>
      </c>
      <c r="EA14" s="247">
        <v>0.1726</v>
      </c>
      <c r="EB14" s="247">
        <v>-8.3099999999999993E-2</v>
      </c>
      <c r="EC14" s="247">
        <v>0.68500000000000005</v>
      </c>
      <c r="ED14" s="247">
        <v>-0.2369</v>
      </c>
      <c r="EE14" s="247">
        <v>0.38250000000000001</v>
      </c>
      <c r="EF14" s="247">
        <v>3.85E-2</v>
      </c>
      <c r="EG14" s="247">
        <v>3.0599999999999999E-2</v>
      </c>
      <c r="EH14" s="247">
        <v>3.3000000000000002E-2</v>
      </c>
      <c r="EI14" s="246" t="s">
        <v>523</v>
      </c>
      <c r="EJ14" s="234">
        <v>239.3</v>
      </c>
      <c r="EK14" s="234">
        <v>216.1</v>
      </c>
      <c r="EL14" s="234" t="s">
        <v>530</v>
      </c>
      <c r="EM14" s="234" t="s">
        <v>531</v>
      </c>
      <c r="EN14" s="234" t="s">
        <v>532</v>
      </c>
      <c r="EO14" s="234" t="s">
        <v>533</v>
      </c>
      <c r="EP14" s="234" t="s">
        <v>376</v>
      </c>
      <c r="EQ14" s="234" t="s">
        <v>377</v>
      </c>
      <c r="ER14" s="234">
        <v>1</v>
      </c>
      <c r="ES14" s="249">
        <v>0.1731</v>
      </c>
      <c r="ET14" s="249">
        <v>4.58E-2</v>
      </c>
      <c r="EU14" s="250">
        <v>7339.2</v>
      </c>
      <c r="EV14" s="234" t="s">
        <v>534</v>
      </c>
      <c r="EW14" s="250">
        <v>6662.6</v>
      </c>
      <c r="EX14" s="250">
        <v>2172.5</v>
      </c>
      <c r="EY14" s="250">
        <v>2263.4</v>
      </c>
      <c r="EZ14" s="250">
        <v>1660.2</v>
      </c>
      <c r="FA14" s="250">
        <v>2097.4</v>
      </c>
      <c r="FB14" s="250">
        <v>2316.9</v>
      </c>
      <c r="FC14" s="250">
        <v>672.7</v>
      </c>
      <c r="FD14" s="249">
        <v>0</v>
      </c>
      <c r="FE14" s="250">
        <v>0</v>
      </c>
      <c r="FF14" s="250">
        <v>0</v>
      </c>
    </row>
    <row r="15" spans="1:162">
      <c r="A15" s="234" t="s">
        <v>535</v>
      </c>
      <c r="B15" s="234" t="s">
        <v>536</v>
      </c>
      <c r="C15" s="246" t="s">
        <v>361</v>
      </c>
      <c r="D15" s="246" t="s">
        <v>362</v>
      </c>
      <c r="E15" s="246">
        <v>4210</v>
      </c>
      <c r="F15" s="246" t="s">
        <v>509</v>
      </c>
      <c r="G15" s="246" t="s">
        <v>417</v>
      </c>
      <c r="H15" s="246" t="s">
        <v>509</v>
      </c>
      <c r="I15" s="246">
        <v>0.74739999999999995</v>
      </c>
      <c r="J15" s="246">
        <v>1.0188999999999999</v>
      </c>
      <c r="K15" s="247">
        <v>5.1400000000000001E-2</v>
      </c>
      <c r="L15" s="247">
        <v>9.1899999999999996E-2</v>
      </c>
      <c r="M15" s="246" t="s">
        <v>384</v>
      </c>
      <c r="N15" s="247">
        <v>1.49E-2</v>
      </c>
      <c r="O15" s="247">
        <v>5.4399999999999997E-2</v>
      </c>
      <c r="P15" s="247">
        <v>4.0800000000000003E-2</v>
      </c>
      <c r="Q15" s="247">
        <v>7.5200000000000003E-2</v>
      </c>
      <c r="R15" s="247">
        <v>-3.1399999999999997E-2</v>
      </c>
      <c r="S15" s="247">
        <v>-2.0199999999999999E-2</v>
      </c>
      <c r="T15" s="248">
        <v>2786.6</v>
      </c>
      <c r="U15" s="248">
        <v>0</v>
      </c>
      <c r="V15" s="248">
        <v>1349.4</v>
      </c>
      <c r="W15" s="248">
        <v>1349.4</v>
      </c>
      <c r="X15" s="248">
        <v>4136</v>
      </c>
      <c r="Y15" s="248">
        <v>623</v>
      </c>
      <c r="Z15" s="248">
        <v>3513</v>
      </c>
      <c r="AA15" s="247">
        <v>0.15060000000000001</v>
      </c>
      <c r="AB15" s="246">
        <v>3.15</v>
      </c>
      <c r="AC15" s="247">
        <v>0.316</v>
      </c>
      <c r="AD15" s="247">
        <v>0.32629999999999998</v>
      </c>
      <c r="AE15" s="247">
        <v>0.46189999999999998</v>
      </c>
      <c r="AF15" s="247">
        <v>0.48420000000000002</v>
      </c>
      <c r="AG15" s="248">
        <v>0.96</v>
      </c>
      <c r="AH15" s="246">
        <v>69.06</v>
      </c>
      <c r="AI15" s="247">
        <v>-0.27810000000000001</v>
      </c>
      <c r="AJ15" s="246">
        <v>1.1100000000000001</v>
      </c>
      <c r="AK15" s="247">
        <v>0.22140000000000001</v>
      </c>
      <c r="AL15" s="247">
        <v>0.27160000000000001</v>
      </c>
      <c r="AM15" s="246">
        <v>0.18</v>
      </c>
      <c r="AN15" s="233">
        <v>5.71</v>
      </c>
      <c r="AO15" s="246">
        <v>10.63</v>
      </c>
      <c r="AP15" s="246">
        <v>16.05</v>
      </c>
      <c r="AQ15" s="246">
        <v>10.32</v>
      </c>
      <c r="AR15" s="246">
        <v>10.59</v>
      </c>
      <c r="AS15" s="246">
        <v>2.59</v>
      </c>
      <c r="AT15" s="246">
        <v>0.95</v>
      </c>
      <c r="AU15" s="246">
        <v>0.96</v>
      </c>
      <c r="AV15" s="246">
        <v>0.42</v>
      </c>
      <c r="AW15" s="246">
        <v>13.04</v>
      </c>
      <c r="AX15" s="246">
        <v>7.45</v>
      </c>
      <c r="AY15" s="246">
        <v>0.96</v>
      </c>
      <c r="AZ15" s="246">
        <v>0.53</v>
      </c>
      <c r="BA15" s="247">
        <v>0.67400000000000004</v>
      </c>
      <c r="BB15" s="247">
        <v>4.2000000000000003E-2</v>
      </c>
      <c r="BC15" s="247">
        <v>2.98E-2</v>
      </c>
      <c r="BD15" s="247">
        <v>-4.6199999999999998E-2</v>
      </c>
      <c r="BE15" s="247">
        <v>-6.3100000000000003E-2</v>
      </c>
      <c r="BF15" s="247">
        <v>1.46E-2</v>
      </c>
      <c r="BG15" s="247">
        <v>8.7400000000000005E-2</v>
      </c>
      <c r="BH15" s="247">
        <v>4.1099999999999998E-2</v>
      </c>
      <c r="BI15" s="247">
        <v>8.4099999999999994E-2</v>
      </c>
      <c r="BJ15" s="247">
        <v>6.0499999999999998E-2</v>
      </c>
      <c r="BK15" s="247">
        <v>5.5E-2</v>
      </c>
      <c r="BL15" s="246">
        <v>1.86</v>
      </c>
      <c r="BM15" s="247">
        <v>2.4500000000000001E-2</v>
      </c>
      <c r="BN15" s="247">
        <v>3.7999999999999999E-2</v>
      </c>
      <c r="BO15" s="247">
        <v>7.1900000000000006E-2</v>
      </c>
      <c r="BP15" s="247">
        <v>0.25</v>
      </c>
      <c r="BQ15" s="247">
        <v>0.22090000000000001</v>
      </c>
      <c r="BR15" s="247">
        <v>0.58199999999999996</v>
      </c>
      <c r="BS15" s="248">
        <v>262.2</v>
      </c>
      <c r="BT15" s="248">
        <v>173.6</v>
      </c>
      <c r="BU15" s="248">
        <v>269.5</v>
      </c>
      <c r="BV15" s="248">
        <v>269.5</v>
      </c>
      <c r="BW15" s="248">
        <v>510.1</v>
      </c>
      <c r="BX15" s="248">
        <v>6650.6</v>
      </c>
      <c r="BY15" s="248">
        <v>7097.3</v>
      </c>
      <c r="BZ15" s="248">
        <v>608.6</v>
      </c>
      <c r="CA15" s="248">
        <v>471.8</v>
      </c>
      <c r="CB15" s="248">
        <v>209.97</v>
      </c>
      <c r="CC15" s="248">
        <v>400.4</v>
      </c>
      <c r="CD15" s="248">
        <v>-82.46</v>
      </c>
      <c r="CE15" s="248">
        <v>108.8</v>
      </c>
      <c r="CF15" s="247">
        <v>1.5299999999999999E-2</v>
      </c>
      <c r="CG15" s="248">
        <v>435.1</v>
      </c>
      <c r="CH15" s="247">
        <v>1.6795</v>
      </c>
      <c r="CI15" s="248">
        <v>-142.66999999999999</v>
      </c>
      <c r="CJ15" s="248">
        <v>-579.44000000000005</v>
      </c>
      <c r="CK15" s="248">
        <v>-179.04</v>
      </c>
      <c r="CL15" s="248">
        <v>2869.8</v>
      </c>
      <c r="CM15" s="248">
        <v>3820.1</v>
      </c>
      <c r="CN15" s="248">
        <v>2921.5</v>
      </c>
      <c r="CO15" s="248">
        <v>3647.9</v>
      </c>
      <c r="CP15" s="248">
        <v>-117</v>
      </c>
      <c r="CQ15" s="246">
        <v>0.5</v>
      </c>
      <c r="CR15" s="246">
        <v>0.39</v>
      </c>
      <c r="CS15" s="246">
        <v>0.42</v>
      </c>
      <c r="CT15" s="246">
        <v>0.3</v>
      </c>
      <c r="CU15" s="246">
        <v>0.4</v>
      </c>
      <c r="CV15" s="248">
        <v>309.81</v>
      </c>
      <c r="CW15" s="248">
        <v>239.71</v>
      </c>
      <c r="CX15" s="248">
        <v>-122.59</v>
      </c>
      <c r="CY15" s="248">
        <v>225.9</v>
      </c>
      <c r="CZ15" s="248">
        <v>49.9</v>
      </c>
      <c r="DA15" s="248">
        <v>173.6</v>
      </c>
      <c r="DB15" s="248">
        <v>2786.6</v>
      </c>
      <c r="DC15" s="248">
        <v>471.8</v>
      </c>
      <c r="DD15" s="248">
        <v>3513</v>
      </c>
      <c r="DE15" s="248">
        <v>-579.44000000000005</v>
      </c>
      <c r="DF15" s="248">
        <v>108.48</v>
      </c>
      <c r="DG15" s="248">
        <v>270.76</v>
      </c>
      <c r="DH15" s="248">
        <v>3756.38</v>
      </c>
      <c r="DI15" s="248">
        <v>645.29999999999995</v>
      </c>
      <c r="DJ15" s="247">
        <v>5.8700000000000002E-2</v>
      </c>
      <c r="DK15" s="247">
        <v>5.3699999999999998E-2</v>
      </c>
      <c r="DL15" s="246">
        <v>5.44</v>
      </c>
      <c r="DM15" s="246">
        <v>202.3</v>
      </c>
      <c r="DN15" s="246">
        <v>89.13</v>
      </c>
      <c r="DO15" s="246">
        <v>309.81</v>
      </c>
      <c r="DP15" s="247">
        <v>0.1658</v>
      </c>
      <c r="DQ15" s="248">
        <v>-375.3</v>
      </c>
      <c r="DR15" s="246" t="s">
        <v>537</v>
      </c>
      <c r="DS15" s="246" t="s">
        <v>538</v>
      </c>
      <c r="DT15" s="246" t="e">
        <v>#REF!</v>
      </c>
      <c r="DU15" s="246" t="s">
        <v>388</v>
      </c>
      <c r="DV15" s="246" t="s">
        <v>539</v>
      </c>
      <c r="DW15" s="246" t="s">
        <v>540</v>
      </c>
      <c r="DX15" s="246" t="s">
        <v>541</v>
      </c>
      <c r="DY15" s="246" t="s">
        <v>542</v>
      </c>
      <c r="DZ15" s="246">
        <v>24</v>
      </c>
      <c r="EA15" s="247">
        <v>-7.9000000000000001E-2</v>
      </c>
      <c r="EB15" s="247">
        <v>-1.4999999999999999E-2</v>
      </c>
      <c r="EC15" s="247">
        <v>0.1144</v>
      </c>
      <c r="ED15" s="247">
        <v>-7.5399999999999995E-2</v>
      </c>
      <c r="EE15" s="247">
        <v>-6.5299999999999997E-2</v>
      </c>
      <c r="EF15" s="247">
        <v>1.44E-2</v>
      </c>
      <c r="EG15" s="247">
        <v>4.1599999999999998E-2</v>
      </c>
      <c r="EH15" s="247">
        <v>3.7999999999999999E-2</v>
      </c>
      <c r="EI15" s="248">
        <v>-375.3</v>
      </c>
      <c r="EJ15" s="234">
        <v>269.5</v>
      </c>
      <c r="EK15" s="234">
        <v>291.2</v>
      </c>
      <c r="EL15" s="234" t="s">
        <v>543</v>
      </c>
      <c r="EM15" s="234" t="s">
        <v>544</v>
      </c>
      <c r="EN15" s="234" t="s">
        <v>545</v>
      </c>
      <c r="EO15" s="234" t="s">
        <v>546</v>
      </c>
      <c r="EP15" s="234" t="s">
        <v>376</v>
      </c>
      <c r="EQ15" s="234" t="s">
        <v>377</v>
      </c>
      <c r="ER15" s="234">
        <v>1</v>
      </c>
      <c r="ES15" s="249">
        <v>6.7000000000000004E-2</v>
      </c>
      <c r="ET15" s="249">
        <v>2.35E-2</v>
      </c>
      <c r="EU15" s="250">
        <v>7097.3</v>
      </c>
      <c r="EV15" s="234" t="s">
        <v>547</v>
      </c>
      <c r="EW15" s="250">
        <v>7357.8</v>
      </c>
      <c r="EX15" s="250">
        <v>9338.7999999999993</v>
      </c>
      <c r="EY15" s="250">
        <v>6050.9</v>
      </c>
      <c r="EZ15" s="250">
        <v>3050.1</v>
      </c>
      <c r="FA15" s="250">
        <v>2981.2</v>
      </c>
      <c r="FB15" s="250">
        <v>2706</v>
      </c>
      <c r="FC15" s="250">
        <v>317.39999999999998</v>
      </c>
      <c r="FD15" s="249">
        <v>0.70899999999999996</v>
      </c>
      <c r="FE15" s="250">
        <v>0</v>
      </c>
      <c r="FF15" s="250">
        <v>0</v>
      </c>
    </row>
    <row r="16" spans="1:162">
      <c r="A16" s="234" t="s">
        <v>548</v>
      </c>
      <c r="B16" s="234" t="s">
        <v>549</v>
      </c>
      <c r="C16" s="246" t="s">
        <v>401</v>
      </c>
      <c r="D16" s="246" t="s">
        <v>362</v>
      </c>
      <c r="E16" s="246">
        <v>4210</v>
      </c>
      <c r="F16" s="246" t="s">
        <v>509</v>
      </c>
      <c r="G16" s="246" t="s">
        <v>417</v>
      </c>
      <c r="H16" s="246" t="s">
        <v>509</v>
      </c>
      <c r="I16" s="246">
        <v>0.66930000000000001</v>
      </c>
      <c r="J16" s="246">
        <v>0.79290000000000005</v>
      </c>
      <c r="K16" s="247">
        <v>5.1400000000000001E-2</v>
      </c>
      <c r="L16" s="247">
        <v>8.0299999999999996E-2</v>
      </c>
      <c r="M16" s="246" t="s">
        <v>384</v>
      </c>
      <c r="N16" s="247">
        <v>9.4500000000000001E-2</v>
      </c>
      <c r="O16" s="247">
        <v>0.13400000000000001</v>
      </c>
      <c r="P16" s="247">
        <v>0.10050000000000001</v>
      </c>
      <c r="Q16" s="247">
        <v>8.43E-2</v>
      </c>
      <c r="R16" s="247">
        <v>-4.0399999999999998E-2</v>
      </c>
      <c r="S16" s="247">
        <v>-6.4699999999999994E-2</v>
      </c>
      <c r="T16" s="248">
        <v>2648.5</v>
      </c>
      <c r="U16" s="248">
        <v>0</v>
      </c>
      <c r="V16" s="248">
        <v>652.29999999999995</v>
      </c>
      <c r="W16" s="248">
        <v>652.29999999999995</v>
      </c>
      <c r="X16" s="248">
        <v>3300.8</v>
      </c>
      <c r="Y16" s="248">
        <v>90.9</v>
      </c>
      <c r="Z16" s="248">
        <v>3209.9</v>
      </c>
      <c r="AA16" s="247">
        <v>2.75E-2</v>
      </c>
      <c r="AB16" s="246">
        <v>0.15</v>
      </c>
      <c r="AC16" s="247">
        <v>0.58020000000000005</v>
      </c>
      <c r="AD16" s="247">
        <v>0.1976</v>
      </c>
      <c r="AE16" s="247">
        <v>1.3819999999999999</v>
      </c>
      <c r="AF16" s="247">
        <v>0.24629999999999999</v>
      </c>
      <c r="AG16" s="248">
        <v>1.21</v>
      </c>
      <c r="AH16" s="246">
        <v>69.06</v>
      </c>
      <c r="AI16" s="246" t="s">
        <v>384</v>
      </c>
      <c r="AJ16" s="246">
        <v>0.87</v>
      </c>
      <c r="AK16" s="247">
        <v>4.4699999999999997E-2</v>
      </c>
      <c r="AL16" s="247">
        <v>1.0143</v>
      </c>
      <c r="AM16" s="246">
        <v>0.8</v>
      </c>
      <c r="AN16" s="233">
        <v>5.98</v>
      </c>
      <c r="AO16" s="246">
        <v>126.12</v>
      </c>
      <c r="AP16" s="246">
        <v>145.52000000000001</v>
      </c>
      <c r="AQ16" s="246">
        <v>23.83</v>
      </c>
      <c r="AR16" s="246" t="s">
        <v>384</v>
      </c>
      <c r="AS16" s="246" t="s">
        <v>384</v>
      </c>
      <c r="AT16" s="246">
        <v>5.61</v>
      </c>
      <c r="AU16" s="246">
        <v>1.0900000000000001</v>
      </c>
      <c r="AV16" s="246">
        <v>7.36</v>
      </c>
      <c r="AW16" s="246">
        <v>126.87</v>
      </c>
      <c r="AX16" s="246">
        <v>111.07</v>
      </c>
      <c r="AY16" s="246">
        <v>3.11</v>
      </c>
      <c r="AZ16" s="246">
        <v>8.92</v>
      </c>
      <c r="BA16" s="247">
        <v>0.68130000000000002</v>
      </c>
      <c r="BB16" s="247">
        <v>4.7000000000000002E-3</v>
      </c>
      <c r="BC16" s="247">
        <v>4.2916999999999996</v>
      </c>
      <c r="BD16" s="247">
        <v>-0.2</v>
      </c>
      <c r="BE16" s="246" t="s">
        <v>384</v>
      </c>
      <c r="BF16" s="247">
        <v>-2.75E-2</v>
      </c>
      <c r="BG16" s="246" t="s">
        <v>384</v>
      </c>
      <c r="BH16" s="246" t="s">
        <v>384</v>
      </c>
      <c r="BI16" s="246" t="s">
        <v>384</v>
      </c>
      <c r="BJ16" s="247">
        <v>3.9899999999999998E-2</v>
      </c>
      <c r="BK16" s="247">
        <v>1.9599999999999999E-2</v>
      </c>
      <c r="BL16" s="246">
        <v>0.34</v>
      </c>
      <c r="BM16" s="247">
        <v>5.28E-2</v>
      </c>
      <c r="BN16" s="247">
        <v>7.3400000000000007E-2</v>
      </c>
      <c r="BO16" s="247">
        <v>0.15579999999999999</v>
      </c>
      <c r="BP16" s="247">
        <v>0.25</v>
      </c>
      <c r="BQ16" s="247">
        <v>0.216</v>
      </c>
      <c r="BR16" s="247">
        <v>0.13619999999999999</v>
      </c>
      <c r="BS16" s="248">
        <v>21</v>
      </c>
      <c r="BT16" s="248">
        <v>18.2</v>
      </c>
      <c r="BU16" s="248">
        <v>25.3</v>
      </c>
      <c r="BV16" s="248">
        <v>25.3</v>
      </c>
      <c r="BW16" s="248">
        <v>53.7</v>
      </c>
      <c r="BX16" s="248">
        <v>360</v>
      </c>
      <c r="BY16" s="248">
        <v>344.7</v>
      </c>
      <c r="BZ16" s="248">
        <v>31.3</v>
      </c>
      <c r="CA16" s="248">
        <v>28.9</v>
      </c>
      <c r="CB16" s="248">
        <v>19.829999999999998</v>
      </c>
      <c r="CC16" s="248">
        <v>68.900000000000006</v>
      </c>
      <c r="CD16" s="248">
        <v>-172.44</v>
      </c>
      <c r="CE16" s="248">
        <v>21.3</v>
      </c>
      <c r="CF16" s="247">
        <v>6.1800000000000001E-2</v>
      </c>
      <c r="CG16" s="248">
        <v>5.0199999999999996</v>
      </c>
      <c r="CH16" s="247">
        <v>-8.4408999999999992</v>
      </c>
      <c r="CI16" s="248">
        <v>187.25</v>
      </c>
      <c r="CJ16" s="248">
        <v>116.72</v>
      </c>
      <c r="CK16" s="248">
        <v>185.62</v>
      </c>
      <c r="CL16" s="248">
        <v>456.5</v>
      </c>
      <c r="CM16" s="248">
        <v>1013.7</v>
      </c>
      <c r="CN16" s="248">
        <v>472</v>
      </c>
      <c r="CO16" s="248">
        <v>1033.4000000000001</v>
      </c>
      <c r="CP16" s="248">
        <v>-12.4</v>
      </c>
      <c r="CQ16" s="246">
        <v>0.38</v>
      </c>
      <c r="CR16" s="246">
        <v>0.34</v>
      </c>
      <c r="CS16" s="246">
        <v>0.42</v>
      </c>
      <c r="CT16" s="246" t="s">
        <v>384</v>
      </c>
      <c r="CU16" s="246" t="s">
        <v>384</v>
      </c>
      <c r="CV16" s="246" t="s">
        <v>384</v>
      </c>
      <c r="CW16" s="246" t="s">
        <v>384</v>
      </c>
      <c r="CX16" s="248">
        <v>-12.4</v>
      </c>
      <c r="CY16" s="248">
        <v>23.7</v>
      </c>
      <c r="CZ16" s="248">
        <v>5.12</v>
      </c>
      <c r="DA16" s="248">
        <v>18.2</v>
      </c>
      <c r="DB16" s="248">
        <v>2648.5</v>
      </c>
      <c r="DC16" s="248">
        <v>28.9</v>
      </c>
      <c r="DD16" s="248">
        <v>3209.9</v>
      </c>
      <c r="DE16" s="248">
        <v>116.72</v>
      </c>
      <c r="DF16" s="248">
        <v>14.91</v>
      </c>
      <c r="DG16" s="248">
        <v>25.53</v>
      </c>
      <c r="DH16" s="248">
        <v>1048.31</v>
      </c>
      <c r="DI16" s="248">
        <v>36.46</v>
      </c>
      <c r="DJ16" s="247">
        <v>3.9100000000000003E-2</v>
      </c>
      <c r="DK16" s="247">
        <v>1.95E-2</v>
      </c>
      <c r="DL16" s="246">
        <v>88.04</v>
      </c>
      <c r="DM16" s="246">
        <v>3.6</v>
      </c>
      <c r="DN16" s="246" t="s">
        <v>384</v>
      </c>
      <c r="DO16" s="246" t="s">
        <v>384</v>
      </c>
      <c r="DP16" s="246" t="s">
        <v>384</v>
      </c>
      <c r="DQ16" s="248">
        <v>-103</v>
      </c>
      <c r="DR16" s="246" t="s">
        <v>550</v>
      </c>
      <c r="DS16" s="246" t="s">
        <v>551</v>
      </c>
      <c r="DT16" s="246" t="e">
        <v>#REF!</v>
      </c>
      <c r="DU16" s="246" t="s">
        <v>552</v>
      </c>
      <c r="DV16" s="246" t="s">
        <v>553</v>
      </c>
      <c r="DW16" s="246" t="s">
        <v>554</v>
      </c>
      <c r="DX16" s="246" t="s">
        <v>555</v>
      </c>
      <c r="DY16" s="246" t="s">
        <v>556</v>
      </c>
      <c r="DZ16" s="246">
        <v>15</v>
      </c>
      <c r="EA16" s="247">
        <v>0.4657</v>
      </c>
      <c r="EB16" s="247">
        <v>2.3300000000000001E-2</v>
      </c>
      <c r="EC16" s="247">
        <v>0.33629999999999999</v>
      </c>
      <c r="ED16" s="247">
        <v>2.734</v>
      </c>
      <c r="EE16" s="247">
        <v>6.4837999999999996</v>
      </c>
      <c r="EF16" s="247">
        <v>-1.8499999999999999E-2</v>
      </c>
      <c r="EG16" s="247">
        <v>7.4899999999999994E-2</v>
      </c>
      <c r="EH16" s="247">
        <v>7.2999999999999995E-2</v>
      </c>
      <c r="EI16" s="248">
        <v>-103</v>
      </c>
      <c r="EJ16" s="234">
        <v>25.3</v>
      </c>
      <c r="EK16" s="234">
        <v>26.3</v>
      </c>
      <c r="EL16" s="234" t="s">
        <v>557</v>
      </c>
      <c r="EM16" s="234" t="s">
        <v>558</v>
      </c>
      <c r="EN16" s="234" t="s">
        <v>559</v>
      </c>
      <c r="EO16" s="234" t="s">
        <v>560</v>
      </c>
      <c r="EP16" s="234" t="s">
        <v>561</v>
      </c>
      <c r="EQ16" s="234" t="s">
        <v>562</v>
      </c>
      <c r="ER16" s="234">
        <v>1</v>
      </c>
      <c r="ES16" s="249">
        <v>-7.1499999999999994E-2</v>
      </c>
      <c r="ET16" s="234" t="s">
        <v>384</v>
      </c>
      <c r="EU16" s="250">
        <v>344.7</v>
      </c>
      <c r="EV16" s="234" t="s">
        <v>491</v>
      </c>
      <c r="EW16" s="250">
        <v>0</v>
      </c>
      <c r="EX16" s="250">
        <v>0</v>
      </c>
      <c r="EY16" s="250">
        <v>275.3</v>
      </c>
      <c r="EZ16" s="250">
        <v>562.6</v>
      </c>
      <c r="FA16" s="250">
        <v>353.9</v>
      </c>
      <c r="FB16" s="250">
        <v>500.5</v>
      </c>
      <c r="FC16" s="250">
        <v>392.8</v>
      </c>
      <c r="FD16" s="249">
        <v>0.21099999999999999</v>
      </c>
      <c r="FE16" s="250">
        <v>0</v>
      </c>
      <c r="FF16" s="250">
        <v>717.2</v>
      </c>
    </row>
    <row r="17" spans="1:162">
      <c r="A17" s="234" t="s">
        <v>563</v>
      </c>
      <c r="B17" s="234" t="s">
        <v>564</v>
      </c>
      <c r="C17" s="246" t="s">
        <v>401</v>
      </c>
      <c r="D17" s="246" t="s">
        <v>362</v>
      </c>
      <c r="E17" s="246">
        <v>4210</v>
      </c>
      <c r="F17" s="246" t="s">
        <v>494</v>
      </c>
      <c r="G17" s="246" t="s">
        <v>494</v>
      </c>
      <c r="H17" s="246" t="s">
        <v>494</v>
      </c>
      <c r="I17" s="246">
        <v>0.66930000000000001</v>
      </c>
      <c r="J17" s="246">
        <v>0.82830000000000004</v>
      </c>
      <c r="K17" s="247">
        <v>5.1400000000000001E-2</v>
      </c>
      <c r="L17" s="247">
        <v>8.2100000000000006E-2</v>
      </c>
      <c r="M17" s="246" t="s">
        <v>384</v>
      </c>
      <c r="N17" s="247">
        <v>1.15E-2</v>
      </c>
      <c r="O17" s="247">
        <v>5.0999999999999997E-2</v>
      </c>
      <c r="P17" s="247">
        <v>3.5799999999999998E-2</v>
      </c>
      <c r="Q17" s="247">
        <v>7.0400000000000004E-2</v>
      </c>
      <c r="R17" s="247">
        <v>-1.37E-2</v>
      </c>
      <c r="S17" s="247">
        <v>-2.1100000000000001E-2</v>
      </c>
      <c r="T17" s="248">
        <v>2577.5</v>
      </c>
      <c r="U17" s="248">
        <v>0</v>
      </c>
      <c r="V17" s="248">
        <v>871.4</v>
      </c>
      <c r="W17" s="248">
        <v>871.4</v>
      </c>
      <c r="X17" s="248">
        <v>3448.9</v>
      </c>
      <c r="Y17" s="248">
        <v>247.5</v>
      </c>
      <c r="Z17" s="248">
        <v>3201.4</v>
      </c>
      <c r="AA17" s="247">
        <v>7.1800000000000003E-2</v>
      </c>
      <c r="AB17" s="246">
        <v>0.8</v>
      </c>
      <c r="AC17" s="247">
        <v>0.34339999999999998</v>
      </c>
      <c r="AD17" s="247">
        <v>0.25269999999999998</v>
      </c>
      <c r="AE17" s="247">
        <v>0.52300000000000002</v>
      </c>
      <c r="AF17" s="247">
        <v>0.33810000000000001</v>
      </c>
      <c r="AG17" s="248">
        <v>21.79</v>
      </c>
      <c r="AH17" s="246">
        <v>24.3</v>
      </c>
      <c r="AI17" s="247">
        <v>0.24299999999999999</v>
      </c>
      <c r="AJ17" s="246">
        <v>0.59</v>
      </c>
      <c r="AK17" s="247">
        <v>0.1643</v>
      </c>
      <c r="AL17" s="247">
        <v>0.19209999999999999</v>
      </c>
      <c r="AM17" s="246">
        <v>0.3</v>
      </c>
      <c r="AN17" s="233">
        <v>38.17</v>
      </c>
      <c r="AO17" s="246">
        <v>23.33</v>
      </c>
      <c r="AP17" s="246">
        <v>22.16</v>
      </c>
      <c r="AQ17" s="246">
        <v>23.14</v>
      </c>
      <c r="AR17" s="246">
        <v>21.92</v>
      </c>
      <c r="AS17" s="246" t="s">
        <v>384</v>
      </c>
      <c r="AT17" s="246">
        <v>1.55</v>
      </c>
      <c r="AU17" s="246">
        <v>1.62</v>
      </c>
      <c r="AV17" s="246">
        <v>1.56</v>
      </c>
      <c r="AW17" s="246">
        <v>21.02</v>
      </c>
      <c r="AX17" s="246">
        <v>12.19</v>
      </c>
      <c r="AY17" s="246">
        <v>1.45</v>
      </c>
      <c r="AZ17" s="246">
        <v>1.93</v>
      </c>
      <c r="BA17" s="247">
        <v>0.38519999999999999</v>
      </c>
      <c r="BB17" s="247">
        <v>1.7399999999999999E-2</v>
      </c>
      <c r="BC17" s="247">
        <v>4.8099999999999997E-2</v>
      </c>
      <c r="BD17" s="247">
        <v>4.2200000000000001E-2</v>
      </c>
      <c r="BE17" s="247">
        <v>6.2899999999999998E-2</v>
      </c>
      <c r="BF17" s="247">
        <v>7.7700000000000005E-2</v>
      </c>
      <c r="BG17" s="247">
        <v>7.1499999999999994E-2</v>
      </c>
      <c r="BH17" s="246" t="s">
        <v>384</v>
      </c>
      <c r="BI17" s="247">
        <v>6.88E-2</v>
      </c>
      <c r="BJ17" s="247">
        <v>6.83E-2</v>
      </c>
      <c r="BK17" s="247">
        <v>4.9200000000000001E-2</v>
      </c>
      <c r="BL17" s="246">
        <v>0.84</v>
      </c>
      <c r="BM17" s="247">
        <v>6.6299999999999998E-2</v>
      </c>
      <c r="BN17" s="247">
        <v>8.6900000000000005E-2</v>
      </c>
      <c r="BO17" s="247">
        <v>0.15540000000000001</v>
      </c>
      <c r="BP17" s="247">
        <v>0.2974</v>
      </c>
      <c r="BQ17" s="247">
        <v>0.32469999999999999</v>
      </c>
      <c r="BR17" s="247">
        <v>0.1865</v>
      </c>
      <c r="BS17" s="248">
        <v>110.5</v>
      </c>
      <c r="BT17" s="248">
        <v>116.3</v>
      </c>
      <c r="BU17" s="248">
        <v>152.30000000000001</v>
      </c>
      <c r="BV17" s="248">
        <v>152.30000000000001</v>
      </c>
      <c r="BW17" s="248">
        <v>272.39999999999998</v>
      </c>
      <c r="BX17" s="248">
        <v>1655.4</v>
      </c>
      <c r="BY17" s="248">
        <v>1753.1</v>
      </c>
      <c r="BZ17" s="248">
        <v>254.3</v>
      </c>
      <c r="CA17" s="248">
        <v>262.7</v>
      </c>
      <c r="CB17" s="248">
        <v>102.86</v>
      </c>
      <c r="CC17" s="248">
        <v>-225.4</v>
      </c>
      <c r="CD17" s="248">
        <v>7.75</v>
      </c>
      <c r="CE17" s="248">
        <v>117.92</v>
      </c>
      <c r="CF17" s="247">
        <v>6.7299999999999999E-2</v>
      </c>
      <c r="CG17" s="248">
        <v>284.38</v>
      </c>
      <c r="CH17" s="247">
        <v>2.8401999999999998</v>
      </c>
      <c r="CI17" s="248">
        <v>-189.27</v>
      </c>
      <c r="CJ17" s="248">
        <v>49.57</v>
      </c>
      <c r="CK17" s="248">
        <v>-175.83</v>
      </c>
      <c r="CL17" s="248">
        <v>1701.9</v>
      </c>
      <c r="CM17" s="248">
        <v>2088.6</v>
      </c>
      <c r="CN17" s="248">
        <v>1666.3</v>
      </c>
      <c r="CO17" s="248">
        <v>2215.1999999999998</v>
      </c>
      <c r="CP17" s="248">
        <v>-44.8</v>
      </c>
      <c r="CQ17" s="246">
        <v>0.26</v>
      </c>
      <c r="CR17" s="246">
        <v>0.23</v>
      </c>
      <c r="CS17" s="246">
        <v>0.43</v>
      </c>
      <c r="CT17" s="246">
        <v>0.11</v>
      </c>
      <c r="CU17" s="246">
        <v>0.11</v>
      </c>
      <c r="CV17" s="248">
        <v>162.87</v>
      </c>
      <c r="CW17" s="248">
        <v>126.41</v>
      </c>
      <c r="CX17" s="248">
        <v>-104.8</v>
      </c>
      <c r="CY17" s="248">
        <v>172.8</v>
      </c>
      <c r="CZ17" s="248">
        <v>56.1</v>
      </c>
      <c r="DA17" s="248">
        <v>116.3</v>
      </c>
      <c r="DB17" s="248">
        <v>2577.5</v>
      </c>
      <c r="DC17" s="248">
        <v>262.7</v>
      </c>
      <c r="DD17" s="248">
        <v>3201.4</v>
      </c>
      <c r="DE17" s="248">
        <v>49.57</v>
      </c>
      <c r="DF17" s="248">
        <v>0</v>
      </c>
      <c r="DG17" s="248">
        <v>152.30000000000001</v>
      </c>
      <c r="DH17" s="248">
        <v>2215.1999999999998</v>
      </c>
      <c r="DI17" s="248">
        <v>254.3</v>
      </c>
      <c r="DJ17" s="247">
        <v>6.83E-2</v>
      </c>
      <c r="DK17" s="247">
        <v>4.9200000000000001E-2</v>
      </c>
      <c r="DL17" s="246">
        <v>12.59</v>
      </c>
      <c r="DM17" s="246">
        <v>9.7200000000000006</v>
      </c>
      <c r="DN17" s="246">
        <v>1493.3</v>
      </c>
      <c r="DO17" s="246">
        <v>162.87</v>
      </c>
      <c r="DP17" s="247">
        <v>8.7800000000000003E-2</v>
      </c>
      <c r="DQ17" s="246" t="s">
        <v>565</v>
      </c>
      <c r="DR17" s="246" t="s">
        <v>566</v>
      </c>
      <c r="DS17" s="246" t="s">
        <v>567</v>
      </c>
      <c r="DT17" s="246" t="e">
        <v>#REF!</v>
      </c>
      <c r="DU17" s="246" t="s">
        <v>388</v>
      </c>
      <c r="DV17" s="246" t="s">
        <v>568</v>
      </c>
      <c r="DW17" s="246" t="s">
        <v>569</v>
      </c>
      <c r="DX17" s="246" t="s">
        <v>570</v>
      </c>
      <c r="DY17" s="246" t="s">
        <v>571</v>
      </c>
      <c r="DZ17" s="246">
        <v>70</v>
      </c>
      <c r="EA17" s="247">
        <v>0.3861</v>
      </c>
      <c r="EB17" s="247">
        <v>0.23719999999999999</v>
      </c>
      <c r="EC17" s="247">
        <v>3.6600000000000001E-2</v>
      </c>
      <c r="ED17" s="247">
        <v>-7.5200000000000003E-2</v>
      </c>
      <c r="EE17" s="247">
        <v>0.64390000000000003</v>
      </c>
      <c r="EF17" s="247">
        <v>-1.0999999999999999E-2</v>
      </c>
      <c r="EG17" s="247">
        <v>9.0399999999999994E-2</v>
      </c>
      <c r="EH17" s="247">
        <v>8.6999999999999994E-2</v>
      </c>
      <c r="EI17" s="246" t="s">
        <v>565</v>
      </c>
      <c r="EJ17" s="234">
        <v>152.30000000000001</v>
      </c>
      <c r="EK17" s="234">
        <v>160.19999999999999</v>
      </c>
      <c r="EL17" s="234" t="s">
        <v>572</v>
      </c>
      <c r="EM17" s="234" t="s">
        <v>573</v>
      </c>
      <c r="EN17" s="234" t="s">
        <v>574</v>
      </c>
      <c r="EO17" s="234" t="s">
        <v>575</v>
      </c>
      <c r="EP17" s="234" t="s">
        <v>376</v>
      </c>
      <c r="EQ17" s="234" t="s">
        <v>377</v>
      </c>
      <c r="ER17" s="234">
        <v>1</v>
      </c>
      <c r="ES17" s="249">
        <v>-2.5999999999999999E-3</v>
      </c>
      <c r="ET17" s="249">
        <v>1.52E-2</v>
      </c>
      <c r="EU17" s="250">
        <v>1753.1</v>
      </c>
      <c r="EV17" s="234" t="s">
        <v>576</v>
      </c>
      <c r="EW17" s="250">
        <v>1413.6</v>
      </c>
      <c r="EX17" s="250">
        <v>1232.5</v>
      </c>
      <c r="EY17" s="250">
        <v>1144.5999999999999</v>
      </c>
      <c r="EZ17" s="250">
        <v>1386.6</v>
      </c>
      <c r="FA17" s="250">
        <v>1567.9</v>
      </c>
      <c r="FB17" s="250">
        <v>2459.3000000000002</v>
      </c>
      <c r="FC17" s="250">
        <v>21.2</v>
      </c>
      <c r="FD17" s="249">
        <v>0.58599999999999997</v>
      </c>
      <c r="FE17" s="250">
        <v>0</v>
      </c>
      <c r="FF17" s="250">
        <v>337.9</v>
      </c>
    </row>
    <row r="18" spans="1:162">
      <c r="A18" s="234" t="s">
        <v>577</v>
      </c>
      <c r="B18" s="234" t="s">
        <v>578</v>
      </c>
      <c r="C18" s="246" t="s">
        <v>361</v>
      </c>
      <c r="D18" s="246" t="s">
        <v>362</v>
      </c>
      <c r="E18" s="246">
        <v>4210</v>
      </c>
      <c r="F18" s="246" t="s">
        <v>579</v>
      </c>
      <c r="G18" s="246" t="s">
        <v>382</v>
      </c>
      <c r="H18" s="246" t="s">
        <v>383</v>
      </c>
      <c r="I18" s="246">
        <v>0.74739999999999995</v>
      </c>
      <c r="J18" s="246">
        <v>0.95320000000000005</v>
      </c>
      <c r="K18" s="247">
        <v>4.5900000000000003E-2</v>
      </c>
      <c r="L18" s="247">
        <v>8.3299999999999999E-2</v>
      </c>
      <c r="M18" s="246" t="s">
        <v>384</v>
      </c>
      <c r="N18" s="247">
        <v>7.7999999999999996E-3</v>
      </c>
      <c r="O18" s="247">
        <v>4.7300000000000002E-2</v>
      </c>
      <c r="P18" s="247">
        <v>3.6400000000000002E-2</v>
      </c>
      <c r="Q18" s="247">
        <v>7.0900000000000005E-2</v>
      </c>
      <c r="R18" s="247">
        <v>0.125</v>
      </c>
      <c r="S18" s="247">
        <v>2.5700000000000001E-2</v>
      </c>
      <c r="T18" s="248">
        <v>2466.6999999999998</v>
      </c>
      <c r="U18" s="248">
        <v>0</v>
      </c>
      <c r="V18" s="248">
        <v>882.1</v>
      </c>
      <c r="W18" s="248">
        <v>882.1</v>
      </c>
      <c r="X18" s="248">
        <v>3348.8</v>
      </c>
      <c r="Y18" s="248">
        <v>68.5</v>
      </c>
      <c r="Z18" s="248">
        <v>3280.3</v>
      </c>
      <c r="AA18" s="247">
        <v>2.0500000000000001E-2</v>
      </c>
      <c r="AB18" s="246">
        <v>0.14000000000000001</v>
      </c>
      <c r="AC18" s="247">
        <v>0.50919999999999999</v>
      </c>
      <c r="AD18" s="247">
        <v>0.26340000000000002</v>
      </c>
      <c r="AE18" s="247">
        <v>1.0376000000000001</v>
      </c>
      <c r="AF18" s="247">
        <v>0.35759999999999997</v>
      </c>
      <c r="AG18" s="248">
        <v>36.58</v>
      </c>
      <c r="AH18" s="246">
        <v>50.04</v>
      </c>
      <c r="AI18" s="247">
        <v>-3.9399999999999998E-2</v>
      </c>
      <c r="AJ18" s="246">
        <v>0.66</v>
      </c>
      <c r="AK18" s="247">
        <v>0.2702</v>
      </c>
      <c r="AL18" s="247">
        <v>0.12130000000000001</v>
      </c>
      <c r="AM18" s="246">
        <v>0.08</v>
      </c>
      <c r="AN18" s="233">
        <v>5.8</v>
      </c>
      <c r="AO18" s="246">
        <v>17.27</v>
      </c>
      <c r="AP18" s="246">
        <v>15.85</v>
      </c>
      <c r="AQ18" s="246">
        <v>16.63</v>
      </c>
      <c r="AR18" s="246">
        <v>15.31</v>
      </c>
      <c r="AS18" s="246" t="s">
        <v>384</v>
      </c>
      <c r="AT18" s="246">
        <v>2.9</v>
      </c>
      <c r="AU18" s="246">
        <v>3.01</v>
      </c>
      <c r="AV18" s="246">
        <v>0.76</v>
      </c>
      <c r="AW18" s="246">
        <v>16.84</v>
      </c>
      <c r="AX18" s="246">
        <v>9.2100000000000009</v>
      </c>
      <c r="AY18" s="246">
        <v>2.06</v>
      </c>
      <c r="AZ18" s="246">
        <v>1.01</v>
      </c>
      <c r="BA18" s="247">
        <v>0.93120000000000003</v>
      </c>
      <c r="BB18" s="247">
        <v>5.8700000000000002E-2</v>
      </c>
      <c r="BC18" s="247">
        <v>3.8399999999999997E-2</v>
      </c>
      <c r="BD18" s="247">
        <v>4.7999999999999996E-3</v>
      </c>
      <c r="BE18" s="247">
        <v>2.69E-2</v>
      </c>
      <c r="BF18" s="247">
        <v>7.4200000000000002E-2</v>
      </c>
      <c r="BG18" s="247">
        <v>8.3400000000000002E-2</v>
      </c>
      <c r="BH18" s="246" t="s">
        <v>384</v>
      </c>
      <c r="BI18" s="247">
        <v>1.54E-2</v>
      </c>
      <c r="BJ18" s="247">
        <v>0.2082</v>
      </c>
      <c r="BK18" s="247">
        <v>9.6699999999999994E-2</v>
      </c>
      <c r="BL18" s="246">
        <v>2.42</v>
      </c>
      <c r="BM18" s="247">
        <v>4.2700000000000002E-2</v>
      </c>
      <c r="BN18" s="247">
        <v>5.3400000000000003E-2</v>
      </c>
      <c r="BO18" s="247">
        <v>0.2031</v>
      </c>
      <c r="BP18" s="247">
        <v>0.23</v>
      </c>
      <c r="BQ18" s="247">
        <v>0.25269999999999998</v>
      </c>
      <c r="BR18" s="247">
        <v>0.1017</v>
      </c>
      <c r="BS18" s="248">
        <v>142.80000000000001</v>
      </c>
      <c r="BT18" s="248">
        <v>155.6</v>
      </c>
      <c r="BU18" s="248">
        <v>194.8</v>
      </c>
      <c r="BV18" s="248">
        <v>194.8</v>
      </c>
      <c r="BW18" s="248">
        <v>740.3</v>
      </c>
      <c r="BX18" s="248">
        <v>3242.7</v>
      </c>
      <c r="BY18" s="248">
        <v>3645.3</v>
      </c>
      <c r="BZ18" s="248">
        <v>322.60000000000002</v>
      </c>
      <c r="CA18" s="248">
        <v>356.1</v>
      </c>
      <c r="CB18" s="248">
        <v>145.58000000000001</v>
      </c>
      <c r="CC18" s="248">
        <v>111.5</v>
      </c>
      <c r="CD18" s="248">
        <v>-51.82</v>
      </c>
      <c r="CE18" s="248">
        <v>-323.8</v>
      </c>
      <c r="CF18" s="247">
        <v>-8.8800000000000004E-2</v>
      </c>
      <c r="CG18" s="248">
        <v>-82.9</v>
      </c>
      <c r="CH18" s="247">
        <v>-0.9254</v>
      </c>
      <c r="CI18" s="248">
        <v>280.3</v>
      </c>
      <c r="CJ18" s="248">
        <v>178.82</v>
      </c>
      <c r="CK18" s="248">
        <v>290.32</v>
      </c>
      <c r="CL18" s="248">
        <v>747.3</v>
      </c>
      <c r="CM18" s="248">
        <v>1506</v>
      </c>
      <c r="CN18" s="248">
        <v>850.1</v>
      </c>
      <c r="CO18" s="248">
        <v>1593.1</v>
      </c>
      <c r="CP18" s="248">
        <v>-144.9</v>
      </c>
      <c r="CQ18" s="246">
        <v>0.27</v>
      </c>
      <c r="CR18" s="246">
        <v>0.54</v>
      </c>
      <c r="CS18" s="246">
        <v>0.55000000000000004</v>
      </c>
      <c r="CT18" s="246">
        <v>0.15</v>
      </c>
      <c r="CU18" s="246">
        <v>0.22</v>
      </c>
      <c r="CV18" s="248">
        <v>206.56</v>
      </c>
      <c r="CW18" s="248">
        <v>151.63</v>
      </c>
      <c r="CX18" s="248">
        <v>-144.9</v>
      </c>
      <c r="CY18" s="248">
        <v>215.3</v>
      </c>
      <c r="CZ18" s="248">
        <v>54.4</v>
      </c>
      <c r="DA18" s="248">
        <v>155.6</v>
      </c>
      <c r="DB18" s="248">
        <v>2466.6999999999998</v>
      </c>
      <c r="DC18" s="248">
        <v>356.1</v>
      </c>
      <c r="DD18" s="248">
        <v>3280.3</v>
      </c>
      <c r="DE18" s="248">
        <v>178.82</v>
      </c>
      <c r="DF18" s="248">
        <v>0</v>
      </c>
      <c r="DG18" s="248">
        <v>194.8</v>
      </c>
      <c r="DH18" s="248">
        <v>1593.1</v>
      </c>
      <c r="DI18" s="248">
        <v>322.60000000000002</v>
      </c>
      <c r="DJ18" s="247">
        <v>0.2082</v>
      </c>
      <c r="DK18" s="247">
        <v>9.6699999999999994E-2</v>
      </c>
      <c r="DL18" s="246">
        <v>10.17</v>
      </c>
      <c r="DM18" s="246">
        <v>246</v>
      </c>
      <c r="DN18" s="246">
        <v>416.5</v>
      </c>
      <c r="DO18" s="246">
        <v>206.56</v>
      </c>
      <c r="DP18" s="247">
        <v>0.2056</v>
      </c>
      <c r="DQ18" s="248">
        <v>-14.8</v>
      </c>
      <c r="DR18" s="246" t="s">
        <v>580</v>
      </c>
      <c r="DS18" s="246" t="s">
        <v>581</v>
      </c>
      <c r="DT18" s="246" t="e">
        <v>#REF!</v>
      </c>
      <c r="DU18" s="246" t="s">
        <v>388</v>
      </c>
      <c r="DV18" s="246" t="s">
        <v>582</v>
      </c>
      <c r="DW18" s="246" t="s">
        <v>583</v>
      </c>
      <c r="DX18" s="246" t="s">
        <v>584</v>
      </c>
      <c r="DY18" s="246" t="s">
        <v>585</v>
      </c>
      <c r="DZ18" s="246">
        <v>21</v>
      </c>
      <c r="EA18" s="247">
        <v>0.1328</v>
      </c>
      <c r="EB18" s="247">
        <v>5.1799999999999999E-2</v>
      </c>
      <c r="EC18" s="247">
        <v>-2.24E-2</v>
      </c>
      <c r="ED18" s="247">
        <v>5.1400000000000001E-2</v>
      </c>
      <c r="EE18" s="247">
        <v>0.22470000000000001</v>
      </c>
      <c r="EF18" s="247">
        <v>-3.5999999999999999E-3</v>
      </c>
      <c r="EG18" s="247">
        <v>5.21E-2</v>
      </c>
      <c r="EH18" s="247">
        <v>5.2999999999999999E-2</v>
      </c>
      <c r="EI18" s="248">
        <v>-14.8</v>
      </c>
      <c r="EJ18" s="234">
        <v>194.8</v>
      </c>
      <c r="EK18" s="234">
        <v>190.6</v>
      </c>
      <c r="EL18" s="234" t="s">
        <v>586</v>
      </c>
      <c r="EM18" s="234" t="s">
        <v>587</v>
      </c>
      <c r="EN18" s="234" t="s">
        <v>588</v>
      </c>
      <c r="EO18" s="234" t="s">
        <v>589</v>
      </c>
      <c r="EP18" s="234" t="s">
        <v>590</v>
      </c>
      <c r="EQ18" s="234" t="s">
        <v>591</v>
      </c>
      <c r="ER18" s="234">
        <v>1</v>
      </c>
      <c r="ES18" s="249">
        <v>6.2399999999999997E-2</v>
      </c>
      <c r="ET18" s="234" t="s">
        <v>384</v>
      </c>
      <c r="EU18" s="250">
        <v>3645.3</v>
      </c>
      <c r="EV18" s="234" t="s">
        <v>491</v>
      </c>
      <c r="EW18" s="250">
        <v>2274</v>
      </c>
      <c r="EX18" s="250">
        <v>2891.2</v>
      </c>
      <c r="EY18" s="250">
        <v>2122.5</v>
      </c>
      <c r="EZ18" s="250">
        <v>2441.6999999999998</v>
      </c>
      <c r="FA18" s="250">
        <v>2014.2</v>
      </c>
      <c r="FB18" s="250">
        <v>2375.4</v>
      </c>
      <c r="FC18" s="250">
        <v>0</v>
      </c>
      <c r="FD18" s="249">
        <v>0</v>
      </c>
      <c r="FE18" s="250">
        <v>0</v>
      </c>
      <c r="FF18" s="250">
        <v>0</v>
      </c>
    </row>
    <row r="19" spans="1:162">
      <c r="A19" s="234" t="s">
        <v>592</v>
      </c>
      <c r="B19" s="234" t="s">
        <v>593</v>
      </c>
      <c r="C19" s="246" t="s">
        <v>401</v>
      </c>
      <c r="D19" s="246" t="s">
        <v>362</v>
      </c>
      <c r="E19" s="246">
        <v>4210</v>
      </c>
      <c r="F19" s="246" t="s">
        <v>494</v>
      </c>
      <c r="G19" s="246" t="s">
        <v>494</v>
      </c>
      <c r="H19" s="246" t="s">
        <v>494</v>
      </c>
      <c r="I19" s="246">
        <v>0.66930000000000001</v>
      </c>
      <c r="J19" s="246">
        <v>0.86229999999999996</v>
      </c>
      <c r="K19" s="247">
        <v>5.1400000000000001E-2</v>
      </c>
      <c r="L19" s="247">
        <v>8.3799999999999999E-2</v>
      </c>
      <c r="M19" s="246" t="s">
        <v>384</v>
      </c>
      <c r="N19" s="247">
        <v>1.7100000000000001E-2</v>
      </c>
      <c r="O19" s="247">
        <v>5.6599999999999998E-2</v>
      </c>
      <c r="P19" s="247">
        <v>3.9800000000000002E-2</v>
      </c>
      <c r="Q19" s="247">
        <v>7.0999999999999994E-2</v>
      </c>
      <c r="R19" s="247">
        <v>-3.0200000000000001E-2</v>
      </c>
      <c r="S19" s="247">
        <v>-1.3599999999999999E-2</v>
      </c>
      <c r="T19" s="248">
        <v>2243.3000000000002</v>
      </c>
      <c r="U19" s="248">
        <v>156.25</v>
      </c>
      <c r="V19" s="248">
        <v>764.4</v>
      </c>
      <c r="W19" s="248">
        <v>920.65</v>
      </c>
      <c r="X19" s="248">
        <v>3163.95</v>
      </c>
      <c r="Y19" s="248">
        <v>482.4</v>
      </c>
      <c r="Z19" s="248">
        <v>2681.55</v>
      </c>
      <c r="AA19" s="247">
        <v>0.1525</v>
      </c>
      <c r="AB19" s="246">
        <v>0.81</v>
      </c>
      <c r="AC19" s="247">
        <v>0.2402</v>
      </c>
      <c r="AD19" s="247">
        <v>0.29099999999999998</v>
      </c>
      <c r="AE19" s="247">
        <v>0.31609999999999999</v>
      </c>
      <c r="AF19" s="247">
        <v>0.41039999999999999</v>
      </c>
      <c r="AG19" s="248">
        <v>15.08</v>
      </c>
      <c r="AH19" s="246">
        <v>24.3</v>
      </c>
      <c r="AI19" s="247">
        <v>9.8400000000000001E-2</v>
      </c>
      <c r="AJ19" s="246">
        <v>0.06</v>
      </c>
      <c r="AK19" s="247">
        <v>6.3200000000000006E-2</v>
      </c>
      <c r="AL19" s="246" t="s">
        <v>384</v>
      </c>
      <c r="AM19" s="246">
        <v>7.0000000000000007E-2</v>
      </c>
      <c r="AN19" s="233">
        <v>33.229999999999997</v>
      </c>
      <c r="AO19" s="246">
        <v>17.440000000000001</v>
      </c>
      <c r="AP19" s="246">
        <v>14.08</v>
      </c>
      <c r="AQ19" s="246">
        <v>23.8</v>
      </c>
      <c r="AR19" s="246">
        <v>14.78</v>
      </c>
      <c r="AS19" s="246" t="s">
        <v>384</v>
      </c>
      <c r="AT19" s="246">
        <v>0.77</v>
      </c>
      <c r="AU19" s="246">
        <v>0.82</v>
      </c>
      <c r="AV19" s="246">
        <v>0.46</v>
      </c>
      <c r="AW19" s="246">
        <v>10.67</v>
      </c>
      <c r="AX19" s="246">
        <v>5.67</v>
      </c>
      <c r="AY19" s="246">
        <v>0.81</v>
      </c>
      <c r="AZ19" s="246">
        <v>0.54</v>
      </c>
      <c r="BA19" s="247">
        <v>0.67920000000000003</v>
      </c>
      <c r="BB19" s="247">
        <v>4.82E-2</v>
      </c>
      <c r="BC19" s="247">
        <v>-4.99E-2</v>
      </c>
      <c r="BD19" s="247">
        <v>8.4199999999999997E-2</v>
      </c>
      <c r="BE19" s="247">
        <v>0.16500000000000001</v>
      </c>
      <c r="BF19" s="247">
        <v>9.1200000000000003E-2</v>
      </c>
      <c r="BG19" s="247">
        <v>6.3299999999999995E-2</v>
      </c>
      <c r="BH19" s="246" t="s">
        <v>384</v>
      </c>
      <c r="BI19" s="247">
        <v>6.1499999999999999E-2</v>
      </c>
      <c r="BJ19" s="247">
        <v>5.3699999999999998E-2</v>
      </c>
      <c r="BK19" s="247">
        <v>5.74E-2</v>
      </c>
      <c r="BL19" s="246">
        <v>1.92</v>
      </c>
      <c r="BM19" s="247">
        <v>2.93E-2</v>
      </c>
      <c r="BN19" s="247">
        <v>4.6199999999999998E-2</v>
      </c>
      <c r="BO19" s="247">
        <v>0.1186</v>
      </c>
      <c r="BP19" s="247">
        <v>0.2974</v>
      </c>
      <c r="BQ19" s="247">
        <v>0.35389999999999999</v>
      </c>
      <c r="BR19" s="247">
        <v>0.52769999999999995</v>
      </c>
      <c r="BS19" s="248">
        <v>128.6</v>
      </c>
      <c r="BT19" s="248">
        <v>159.30000000000001</v>
      </c>
      <c r="BU19" s="248">
        <v>235.9</v>
      </c>
      <c r="BV19" s="248">
        <v>251.25</v>
      </c>
      <c r="BW19" s="248">
        <v>644.4</v>
      </c>
      <c r="BX19" s="248">
        <v>4924.1000000000004</v>
      </c>
      <c r="BY19" s="248">
        <v>5435.1</v>
      </c>
      <c r="BZ19" s="248">
        <v>375.1</v>
      </c>
      <c r="CA19" s="248">
        <v>472.7</v>
      </c>
      <c r="CB19" s="248">
        <v>162.33000000000001</v>
      </c>
      <c r="CC19" s="248">
        <v>-197.8</v>
      </c>
      <c r="CD19" s="248">
        <v>-17.13</v>
      </c>
      <c r="CE19" s="248">
        <v>508.1</v>
      </c>
      <c r="CF19" s="247">
        <v>9.35E-2</v>
      </c>
      <c r="CG19" s="248">
        <v>492.9</v>
      </c>
      <c r="CH19" s="247">
        <v>2.931</v>
      </c>
      <c r="CI19" s="248">
        <v>-313.44</v>
      </c>
      <c r="CJ19" s="248">
        <v>-118.67</v>
      </c>
      <c r="CK19" s="248">
        <v>-316.47000000000003</v>
      </c>
      <c r="CL19" s="248">
        <v>2969.1</v>
      </c>
      <c r="CM19" s="248">
        <v>2827.15</v>
      </c>
      <c r="CN19" s="248">
        <v>2912.1</v>
      </c>
      <c r="CO19" s="248">
        <v>3298.55</v>
      </c>
      <c r="CP19" s="248">
        <v>-108.2</v>
      </c>
      <c r="CQ19" s="246">
        <v>-7.0000000000000007E-2</v>
      </c>
      <c r="CR19" s="246">
        <v>0.22</v>
      </c>
      <c r="CS19" s="246">
        <v>0.43</v>
      </c>
      <c r="CT19" s="246">
        <v>0.16</v>
      </c>
      <c r="CU19" s="246">
        <v>0.3</v>
      </c>
      <c r="CV19" s="248">
        <v>230.73</v>
      </c>
      <c r="CW19" s="248">
        <v>166.51</v>
      </c>
      <c r="CX19" s="248">
        <v>-383.5</v>
      </c>
      <c r="CY19" s="248">
        <v>268.7</v>
      </c>
      <c r="CZ19" s="248">
        <v>95.1</v>
      </c>
      <c r="DA19" s="248">
        <v>159.30000000000001</v>
      </c>
      <c r="DB19" s="248">
        <v>2243.3000000000002</v>
      </c>
      <c r="DC19" s="248">
        <v>472.7</v>
      </c>
      <c r="DD19" s="248">
        <v>2681.55</v>
      </c>
      <c r="DE19" s="248">
        <v>-118.67</v>
      </c>
      <c r="DF19" s="248">
        <v>0</v>
      </c>
      <c r="DG19" s="248">
        <v>251.25</v>
      </c>
      <c r="DH19" s="248">
        <v>3298.55</v>
      </c>
      <c r="DI19" s="248">
        <v>375.1</v>
      </c>
      <c r="DJ19" s="247">
        <v>5.3699999999999998E-2</v>
      </c>
      <c r="DK19" s="247">
        <v>5.74E-2</v>
      </c>
      <c r="DL19" s="246">
        <v>7.15</v>
      </c>
      <c r="DM19" s="246">
        <v>33.4</v>
      </c>
      <c r="DN19" s="246">
        <v>2502.66</v>
      </c>
      <c r="DO19" s="246">
        <v>230.73</v>
      </c>
      <c r="DP19" s="247">
        <v>7.9500000000000001E-2</v>
      </c>
      <c r="DQ19" s="246" t="s">
        <v>594</v>
      </c>
      <c r="DR19" s="246" t="s">
        <v>595</v>
      </c>
      <c r="DS19" s="246" t="s">
        <v>596</v>
      </c>
      <c r="DT19" s="246" t="e">
        <v>#REF!</v>
      </c>
      <c r="DU19" s="246" t="s">
        <v>597</v>
      </c>
      <c r="DV19" s="246" t="s">
        <v>598</v>
      </c>
      <c r="DW19" s="246" t="s">
        <v>599</v>
      </c>
      <c r="DX19" s="246" t="s">
        <v>600</v>
      </c>
      <c r="DY19" s="246" t="s">
        <v>601</v>
      </c>
      <c r="DZ19" s="246">
        <v>90</v>
      </c>
      <c r="EA19" s="247">
        <v>-9.7199999999999995E-2</v>
      </c>
      <c r="EB19" s="247">
        <v>-2.5000000000000001E-3</v>
      </c>
      <c r="EC19" s="247">
        <v>-4.0099999999999997E-2</v>
      </c>
      <c r="ED19" s="247">
        <v>2.12E-2</v>
      </c>
      <c r="EE19" s="247">
        <v>-0.1173</v>
      </c>
      <c r="EF19" s="247">
        <v>1.5299999999999999E-2</v>
      </c>
      <c r="EG19" s="247">
        <v>4.2099999999999999E-2</v>
      </c>
      <c r="EH19" s="247">
        <v>4.5999999999999999E-2</v>
      </c>
      <c r="EI19" s="246" t="s">
        <v>594</v>
      </c>
      <c r="EJ19" s="234">
        <v>235.9</v>
      </c>
      <c r="EK19" s="234">
        <v>225.6</v>
      </c>
      <c r="EL19" s="234" t="s">
        <v>602</v>
      </c>
      <c r="EM19" s="234" t="s">
        <v>603</v>
      </c>
      <c r="EN19" s="234" t="s">
        <v>604</v>
      </c>
      <c r="EO19" s="234" t="s">
        <v>605</v>
      </c>
      <c r="EP19" s="234" t="s">
        <v>376</v>
      </c>
      <c r="EQ19" s="234" t="s">
        <v>377</v>
      </c>
      <c r="ER19" s="234">
        <v>1</v>
      </c>
      <c r="ES19" s="249">
        <v>-1.0699999999999999E-2</v>
      </c>
      <c r="ET19" s="249">
        <v>1.1999999999999999E-3</v>
      </c>
      <c r="EU19" s="250">
        <v>5435.1</v>
      </c>
      <c r="EV19" s="234" t="s">
        <v>606</v>
      </c>
      <c r="EW19" s="250">
        <v>2192.8000000000002</v>
      </c>
      <c r="EX19" s="250">
        <v>1846.9</v>
      </c>
      <c r="EY19" s="250">
        <v>1611.3</v>
      </c>
      <c r="EZ19" s="250">
        <v>2741.7</v>
      </c>
      <c r="FA19" s="250">
        <v>2541.3000000000002</v>
      </c>
      <c r="FB19" s="250">
        <v>2361</v>
      </c>
      <c r="FC19" s="250">
        <v>551.29999999999995</v>
      </c>
      <c r="FD19" s="249">
        <v>0.217</v>
      </c>
      <c r="FE19" s="250">
        <v>0</v>
      </c>
      <c r="FF19" s="250">
        <v>0</v>
      </c>
    </row>
    <row r="20" spans="1:162">
      <c r="A20" s="234" t="s">
        <v>607</v>
      </c>
      <c r="B20" s="234" t="s">
        <v>608</v>
      </c>
      <c r="C20" s="246" t="s">
        <v>609</v>
      </c>
      <c r="D20" s="246" t="s">
        <v>610</v>
      </c>
      <c r="E20" s="246">
        <v>4210</v>
      </c>
      <c r="F20" s="246" t="s">
        <v>363</v>
      </c>
      <c r="G20" s="246" t="s">
        <v>363</v>
      </c>
      <c r="H20" s="246" t="s">
        <v>363</v>
      </c>
      <c r="I20" s="246">
        <v>1.3505</v>
      </c>
      <c r="J20" s="246">
        <v>1.3728</v>
      </c>
      <c r="K20" s="247">
        <v>4.4600000000000001E-2</v>
      </c>
      <c r="L20" s="247">
        <v>0.1007</v>
      </c>
      <c r="M20" s="246" t="s">
        <v>384</v>
      </c>
      <c r="N20" s="247">
        <v>1.34E-2</v>
      </c>
      <c r="O20" s="247">
        <v>5.2900000000000003E-2</v>
      </c>
      <c r="P20" s="247">
        <v>3.9699999999999999E-2</v>
      </c>
      <c r="Q20" s="247">
        <v>9.9400000000000002E-2</v>
      </c>
      <c r="R20" s="246" t="s">
        <v>384</v>
      </c>
      <c r="S20" s="247">
        <v>-1.0993999999999999</v>
      </c>
      <c r="T20" s="248">
        <v>1910.5</v>
      </c>
      <c r="U20" s="248">
        <v>8.3000000000000007</v>
      </c>
      <c r="V20" s="248">
        <v>33.700000000000003</v>
      </c>
      <c r="W20" s="248">
        <v>42</v>
      </c>
      <c r="X20" s="248">
        <v>1952.5</v>
      </c>
      <c r="Y20" s="248">
        <v>146.19999999999999</v>
      </c>
      <c r="Z20" s="248">
        <v>1806.3</v>
      </c>
      <c r="AA20" s="247">
        <v>7.4899999999999994E-2</v>
      </c>
      <c r="AB20" s="246">
        <v>1.01</v>
      </c>
      <c r="AC20" s="247">
        <v>0.9194</v>
      </c>
      <c r="AD20" s="247">
        <v>2.1499999999999998E-2</v>
      </c>
      <c r="AE20" s="247">
        <v>11.412599999999999</v>
      </c>
      <c r="AF20" s="247">
        <v>2.1999999999999999E-2</v>
      </c>
      <c r="AG20" s="248">
        <v>10.92</v>
      </c>
      <c r="AH20" s="246">
        <v>31.61</v>
      </c>
      <c r="AI20" s="246" t="s">
        <v>384</v>
      </c>
      <c r="AJ20" s="246">
        <v>-0.09</v>
      </c>
      <c r="AK20" s="247">
        <v>4.4699999999999997E-2</v>
      </c>
      <c r="AL20" s="246" t="s">
        <v>384</v>
      </c>
      <c r="AM20" s="246">
        <v>0.36</v>
      </c>
      <c r="AN20" s="233" t="s">
        <v>384</v>
      </c>
      <c r="AO20" s="246" t="s">
        <v>384</v>
      </c>
      <c r="AP20" s="246" t="s">
        <v>384</v>
      </c>
      <c r="AQ20" s="246" t="s">
        <v>384</v>
      </c>
      <c r="AR20" s="246" t="s">
        <v>384</v>
      </c>
      <c r="AS20" s="246" t="s">
        <v>384</v>
      </c>
      <c r="AT20" s="246">
        <v>519.16</v>
      </c>
      <c r="AU20" s="246" t="s">
        <v>384</v>
      </c>
      <c r="AV20" s="246">
        <v>128.22</v>
      </c>
      <c r="AW20" s="246" t="s">
        <v>384</v>
      </c>
      <c r="AX20" s="246" t="s">
        <v>384</v>
      </c>
      <c r="AY20" s="246" t="s">
        <v>384</v>
      </c>
      <c r="AZ20" s="246">
        <v>121.23</v>
      </c>
      <c r="BA20" s="246" t="s">
        <v>384</v>
      </c>
      <c r="BB20" s="247">
        <v>0</v>
      </c>
      <c r="BC20" s="247">
        <v>1.734</v>
      </c>
      <c r="BD20" s="246" t="s">
        <v>384</v>
      </c>
      <c r="BE20" s="246" t="s">
        <v>384</v>
      </c>
      <c r="BF20" s="246" t="s">
        <v>384</v>
      </c>
      <c r="BG20" s="246" t="s">
        <v>384</v>
      </c>
      <c r="BH20" s="246" t="s">
        <v>384</v>
      </c>
      <c r="BI20" s="246" t="s">
        <v>384</v>
      </c>
      <c r="BJ20" s="246" t="s">
        <v>384</v>
      </c>
      <c r="BK20" s="247">
        <v>-1</v>
      </c>
      <c r="BL20" s="246">
        <v>1.99</v>
      </c>
      <c r="BM20" s="247">
        <v>-31.890899999999998</v>
      </c>
      <c r="BN20" s="247">
        <v>-4.9957000000000003</v>
      </c>
      <c r="BO20" s="247">
        <v>1</v>
      </c>
      <c r="BP20" s="247">
        <v>0.25</v>
      </c>
      <c r="BQ20" s="247">
        <v>0</v>
      </c>
      <c r="BR20" s="247">
        <v>0.18290000000000001</v>
      </c>
      <c r="BS20" s="248">
        <v>-69.5</v>
      </c>
      <c r="BT20" s="248">
        <v>-526.20000000000005</v>
      </c>
      <c r="BU20" s="248">
        <v>-83.4</v>
      </c>
      <c r="BV20" s="248">
        <v>-82.43</v>
      </c>
      <c r="BW20" s="248">
        <v>16.5</v>
      </c>
      <c r="BX20" s="248">
        <v>14.9</v>
      </c>
      <c r="BY20" s="248">
        <v>16.5</v>
      </c>
      <c r="BZ20" s="248">
        <v>-57.1</v>
      </c>
      <c r="CA20" s="248">
        <v>-77.67</v>
      </c>
      <c r="CB20" s="248">
        <v>-82.43</v>
      </c>
      <c r="CC20" s="248">
        <v>-31.6</v>
      </c>
      <c r="CD20" s="248">
        <v>1.4</v>
      </c>
      <c r="CE20" s="248">
        <v>-5.52</v>
      </c>
      <c r="CF20" s="247">
        <v>-0.33479999999999999</v>
      </c>
      <c r="CG20" s="248">
        <v>14.3</v>
      </c>
      <c r="CH20" s="246" t="s">
        <v>384</v>
      </c>
      <c r="CI20" s="248">
        <v>-98.13</v>
      </c>
      <c r="CJ20" s="248">
        <v>-510.3</v>
      </c>
      <c r="CK20" s="248">
        <v>-541.9</v>
      </c>
      <c r="CL20" s="248">
        <v>0</v>
      </c>
      <c r="CM20" s="248">
        <v>8.3000000000000007</v>
      </c>
      <c r="CN20" s="248">
        <v>3.68</v>
      </c>
      <c r="CO20" s="248">
        <v>0</v>
      </c>
      <c r="CP20" s="248">
        <v>0</v>
      </c>
      <c r="CQ20" s="246">
        <v>-0.14000000000000001</v>
      </c>
      <c r="CR20" s="246">
        <v>-0.04</v>
      </c>
      <c r="CS20" s="246">
        <v>1.1200000000000001</v>
      </c>
      <c r="CT20" s="246" t="s">
        <v>384</v>
      </c>
      <c r="CU20" s="246" t="s">
        <v>384</v>
      </c>
      <c r="CV20" s="246" t="s">
        <v>384</v>
      </c>
      <c r="CW20" s="246" t="s">
        <v>384</v>
      </c>
      <c r="CX20" s="248">
        <v>0</v>
      </c>
      <c r="CY20" s="246" t="s">
        <v>384</v>
      </c>
      <c r="CZ20" s="246" t="s">
        <v>384</v>
      </c>
      <c r="DA20" s="246" t="s">
        <v>384</v>
      </c>
      <c r="DB20" s="246" t="s">
        <v>384</v>
      </c>
      <c r="DC20" s="246" t="s">
        <v>384</v>
      </c>
      <c r="DD20" s="246" t="s">
        <v>384</v>
      </c>
      <c r="DE20" s="246" t="s">
        <v>384</v>
      </c>
      <c r="DF20" s="248">
        <v>139.19999999999999</v>
      </c>
      <c r="DG20" s="248">
        <v>-67.33</v>
      </c>
      <c r="DH20" s="248">
        <v>139.19999999999999</v>
      </c>
      <c r="DI20" s="248">
        <v>-7.2</v>
      </c>
      <c r="DJ20" s="246" t="s">
        <v>384</v>
      </c>
      <c r="DK20" s="247">
        <v>-0.45650000000000002</v>
      </c>
      <c r="DL20" s="246" t="s">
        <v>384</v>
      </c>
      <c r="DM20" s="246">
        <v>3.1</v>
      </c>
      <c r="DN20" s="246" t="s">
        <v>384</v>
      </c>
      <c r="DO20" s="246" t="s">
        <v>384</v>
      </c>
      <c r="DP20" s="246" t="s">
        <v>384</v>
      </c>
      <c r="DQ20" s="246" t="s">
        <v>611</v>
      </c>
      <c r="DR20" s="246" t="s">
        <v>612</v>
      </c>
      <c r="DS20" s="246" t="s">
        <v>613</v>
      </c>
      <c r="DT20" s="246" t="e">
        <v>#REF!</v>
      </c>
      <c r="DU20" s="246" t="s">
        <v>614</v>
      </c>
      <c r="DV20" s="248">
        <v>-83.4</v>
      </c>
      <c r="DW20" s="246" t="s">
        <v>615</v>
      </c>
      <c r="DX20" s="246" t="s">
        <v>616</v>
      </c>
      <c r="DY20" s="246" t="s">
        <v>617</v>
      </c>
      <c r="DZ20" s="246">
        <v>2</v>
      </c>
      <c r="EA20" s="247">
        <v>1.54E-2</v>
      </c>
      <c r="EB20" s="247">
        <v>5.7000000000000002E-3</v>
      </c>
      <c r="EC20" s="247">
        <v>0.70740000000000003</v>
      </c>
      <c r="ED20" s="247">
        <v>0.59650000000000003</v>
      </c>
      <c r="EE20" s="247">
        <v>1.7838000000000001</v>
      </c>
      <c r="EF20" s="247">
        <v>2.4799999999999999E-2</v>
      </c>
      <c r="EG20" s="247">
        <v>-4.4471999999999996</v>
      </c>
      <c r="EH20" s="247">
        <v>-4.9960000000000004</v>
      </c>
      <c r="EI20" s="246" t="s">
        <v>618</v>
      </c>
      <c r="EJ20" s="234">
        <v>-83.4</v>
      </c>
      <c r="EK20" s="234">
        <v>-71.599999999999994</v>
      </c>
      <c r="EL20" s="234" t="s">
        <v>619</v>
      </c>
      <c r="EM20" s="234" t="s">
        <v>620</v>
      </c>
      <c r="EN20" s="234" t="s">
        <v>621</v>
      </c>
      <c r="EO20" s="234" t="s">
        <v>622</v>
      </c>
      <c r="EP20" s="234" t="s">
        <v>376</v>
      </c>
      <c r="EQ20" s="234" t="s">
        <v>377</v>
      </c>
      <c r="ER20" s="234">
        <v>0</v>
      </c>
      <c r="ES20" s="234" t="s">
        <v>384</v>
      </c>
      <c r="ET20" s="249">
        <v>0.72840000000000005</v>
      </c>
      <c r="EU20" s="234" t="s">
        <v>384</v>
      </c>
      <c r="EV20" s="234" t="s">
        <v>623</v>
      </c>
      <c r="EW20" s="250">
        <v>0</v>
      </c>
      <c r="EX20" s="250">
        <v>0</v>
      </c>
      <c r="EY20" s="250">
        <v>0</v>
      </c>
      <c r="EZ20" s="250">
        <v>652.5</v>
      </c>
      <c r="FA20" s="250">
        <v>686.3</v>
      </c>
      <c r="FB20" s="250">
        <v>698.8</v>
      </c>
      <c r="FC20" s="250">
        <v>0</v>
      </c>
      <c r="FD20" s="249">
        <v>0</v>
      </c>
      <c r="FE20" s="250">
        <v>0</v>
      </c>
      <c r="FF20" s="250">
        <v>0</v>
      </c>
    </row>
    <row r="21" spans="1:162">
      <c r="A21" s="234" t="s">
        <v>624</v>
      </c>
      <c r="B21" s="234" t="s">
        <v>625</v>
      </c>
      <c r="C21" s="246" t="s">
        <v>401</v>
      </c>
      <c r="D21" s="246" t="s">
        <v>362</v>
      </c>
      <c r="E21" s="246">
        <v>4210</v>
      </c>
      <c r="F21" s="246" t="s">
        <v>626</v>
      </c>
      <c r="G21" s="246" t="s">
        <v>417</v>
      </c>
      <c r="H21" s="246" t="s">
        <v>509</v>
      </c>
      <c r="I21" s="246">
        <v>0.66930000000000001</v>
      </c>
      <c r="J21" s="246">
        <v>0.84670000000000001</v>
      </c>
      <c r="K21" s="247">
        <v>5.0099999999999999E-2</v>
      </c>
      <c r="L21" s="247">
        <v>8.1900000000000001E-2</v>
      </c>
      <c r="M21" s="246" t="s">
        <v>384</v>
      </c>
      <c r="N21" s="247">
        <v>1.6199999999999999E-2</v>
      </c>
      <c r="O21" s="247">
        <v>5.57E-2</v>
      </c>
      <c r="P21" s="247">
        <v>4.65E-2</v>
      </c>
      <c r="Q21" s="247">
        <v>7.3400000000000007E-2</v>
      </c>
      <c r="R21" s="247">
        <v>0.18729999999999999</v>
      </c>
      <c r="S21" s="247">
        <v>7.46E-2</v>
      </c>
      <c r="T21" s="248">
        <v>1683</v>
      </c>
      <c r="U21" s="248">
        <v>0</v>
      </c>
      <c r="V21" s="248">
        <v>534.29999999999995</v>
      </c>
      <c r="W21" s="248">
        <v>534.29999999999995</v>
      </c>
      <c r="X21" s="248">
        <v>2217.3000000000002</v>
      </c>
      <c r="Y21" s="248">
        <v>304.10000000000002</v>
      </c>
      <c r="Z21" s="248">
        <v>1913.2</v>
      </c>
      <c r="AA21" s="247">
        <v>0.1371</v>
      </c>
      <c r="AB21" s="246">
        <v>0.78</v>
      </c>
      <c r="AC21" s="247">
        <v>0.50009999999999999</v>
      </c>
      <c r="AD21" s="247">
        <v>0.24099999999999999</v>
      </c>
      <c r="AE21" s="247">
        <v>1.0005999999999999</v>
      </c>
      <c r="AF21" s="247">
        <v>0.3175</v>
      </c>
      <c r="AG21" s="248">
        <v>1.52</v>
      </c>
      <c r="AH21" s="246">
        <v>69.06</v>
      </c>
      <c r="AI21" s="246" t="s">
        <v>384</v>
      </c>
      <c r="AJ21" s="246">
        <v>0.85</v>
      </c>
      <c r="AK21" s="247">
        <v>3.1600000000000003E-2</v>
      </c>
      <c r="AL21" s="246" t="s">
        <v>384</v>
      </c>
      <c r="AM21" s="246">
        <v>0.28999999999999998</v>
      </c>
      <c r="AN21" s="233">
        <v>21.23</v>
      </c>
      <c r="AO21" s="246">
        <v>16.39</v>
      </c>
      <c r="AP21" s="246">
        <v>15.47</v>
      </c>
      <c r="AQ21" s="246">
        <v>11.57</v>
      </c>
      <c r="AR21" s="246">
        <v>12.56</v>
      </c>
      <c r="AS21" s="246" t="s">
        <v>384</v>
      </c>
      <c r="AT21" s="246">
        <v>3.15</v>
      </c>
      <c r="AU21" s="246">
        <v>2.36</v>
      </c>
      <c r="AV21" s="246">
        <v>1.06</v>
      </c>
      <c r="AW21" s="246">
        <v>13.06</v>
      </c>
      <c r="AX21" s="246">
        <v>9.5399999999999991</v>
      </c>
      <c r="AY21" s="246">
        <v>2.56</v>
      </c>
      <c r="AZ21" s="246">
        <v>1.21</v>
      </c>
      <c r="BA21" s="247">
        <v>0.21690000000000001</v>
      </c>
      <c r="BB21" s="247">
        <v>1.4E-2</v>
      </c>
      <c r="BC21" s="247">
        <v>0.41689999999999999</v>
      </c>
      <c r="BD21" s="247">
        <v>0.182</v>
      </c>
      <c r="BE21" s="246" t="s">
        <v>384</v>
      </c>
      <c r="BF21" s="247">
        <v>8.7499999999999994E-2</v>
      </c>
      <c r="BG21" s="246" t="s">
        <v>384</v>
      </c>
      <c r="BH21" s="246" t="s">
        <v>384</v>
      </c>
      <c r="BI21" s="247">
        <v>9.11E-2</v>
      </c>
      <c r="BJ21" s="247">
        <v>0.26919999999999999</v>
      </c>
      <c r="BK21" s="247">
        <v>0.14799999999999999</v>
      </c>
      <c r="BL21" s="246">
        <v>2.27</v>
      </c>
      <c r="BM21" s="247">
        <v>6.54E-2</v>
      </c>
      <c r="BN21" s="247">
        <v>8.8099999999999998E-2</v>
      </c>
      <c r="BO21" s="247">
        <v>0.1547</v>
      </c>
      <c r="BP21" s="247">
        <v>0.16500000000000001</v>
      </c>
      <c r="BQ21" s="247">
        <v>0.26150000000000001</v>
      </c>
      <c r="BR21" s="247">
        <v>5.0700000000000002E-2</v>
      </c>
      <c r="BS21" s="248">
        <v>102.7</v>
      </c>
      <c r="BT21" s="248">
        <v>108.8</v>
      </c>
      <c r="BU21" s="248">
        <v>146.5</v>
      </c>
      <c r="BV21" s="248">
        <v>146.5</v>
      </c>
      <c r="BW21" s="248">
        <v>257.3</v>
      </c>
      <c r="BX21" s="248">
        <v>1585.9</v>
      </c>
      <c r="BY21" s="248">
        <v>1662.8</v>
      </c>
      <c r="BZ21" s="248">
        <v>194.9</v>
      </c>
      <c r="CA21" s="248">
        <v>200.6</v>
      </c>
      <c r="CB21" s="248">
        <v>108.19</v>
      </c>
      <c r="CC21" s="248">
        <v>94.36</v>
      </c>
      <c r="CD21" s="248">
        <v>1.38</v>
      </c>
      <c r="CE21" s="248">
        <v>-146.47999999999999</v>
      </c>
      <c r="CF21" s="247">
        <v>-8.8099999999999998E-2</v>
      </c>
      <c r="CG21" s="248">
        <v>18.350000000000001</v>
      </c>
      <c r="CH21" s="247">
        <v>0.18240000000000001</v>
      </c>
      <c r="CI21" s="248">
        <v>88.46</v>
      </c>
      <c r="CJ21" s="248">
        <v>-5.29</v>
      </c>
      <c r="CK21" s="248">
        <v>89.07</v>
      </c>
      <c r="CL21" s="248">
        <v>404.1</v>
      </c>
      <c r="CM21" s="248">
        <v>731.2</v>
      </c>
      <c r="CN21" s="248">
        <v>534</v>
      </c>
      <c r="CO21" s="248">
        <v>748.3</v>
      </c>
      <c r="CP21" s="248">
        <v>-23.6</v>
      </c>
      <c r="CQ21" s="246">
        <v>-0.11</v>
      </c>
      <c r="CR21" s="246">
        <v>1.31</v>
      </c>
      <c r="CS21" s="246">
        <v>0.42</v>
      </c>
      <c r="CT21" s="246" t="s">
        <v>384</v>
      </c>
      <c r="CU21" s="246" t="s">
        <v>384</v>
      </c>
      <c r="CV21" s="246" t="s">
        <v>384</v>
      </c>
      <c r="CW21" s="246" t="s">
        <v>384</v>
      </c>
      <c r="CX21" s="248">
        <v>-37.4</v>
      </c>
      <c r="CY21" s="248">
        <v>148</v>
      </c>
      <c r="CZ21" s="248">
        <v>38.700000000000003</v>
      </c>
      <c r="DA21" s="248">
        <v>108.8</v>
      </c>
      <c r="DB21" s="248">
        <v>1683</v>
      </c>
      <c r="DC21" s="248">
        <v>200.6</v>
      </c>
      <c r="DD21" s="248">
        <v>1913.2</v>
      </c>
      <c r="DE21" s="248">
        <v>-5.29</v>
      </c>
      <c r="DF21" s="248">
        <v>0</v>
      </c>
      <c r="DG21" s="248">
        <v>146.5</v>
      </c>
      <c r="DH21" s="248">
        <v>748.3</v>
      </c>
      <c r="DI21" s="248">
        <v>194.9</v>
      </c>
      <c r="DJ21" s="247">
        <v>0.26919999999999999</v>
      </c>
      <c r="DK21" s="247">
        <v>0.14799999999999999</v>
      </c>
      <c r="DL21" s="246">
        <v>9.82</v>
      </c>
      <c r="DM21" s="246">
        <v>4.6500000000000004</v>
      </c>
      <c r="DN21" s="246" t="s">
        <v>384</v>
      </c>
      <c r="DO21" s="246" t="s">
        <v>384</v>
      </c>
      <c r="DP21" s="246" t="s">
        <v>384</v>
      </c>
      <c r="DQ21" s="248">
        <v>-16.600000000000001</v>
      </c>
      <c r="DR21" s="246" t="s">
        <v>627</v>
      </c>
      <c r="DS21" s="246" t="s">
        <v>628</v>
      </c>
      <c r="DT21" s="246" t="e">
        <v>#REF!</v>
      </c>
      <c r="DU21" s="246" t="s">
        <v>629</v>
      </c>
      <c r="DV21" s="246" t="s">
        <v>630</v>
      </c>
      <c r="DW21" s="246" t="s">
        <v>631</v>
      </c>
      <c r="DX21" s="246" t="s">
        <v>632</v>
      </c>
      <c r="DY21" s="246" t="s">
        <v>633</v>
      </c>
      <c r="DZ21" s="246">
        <v>10</v>
      </c>
      <c r="EA21" s="247">
        <v>6.4000000000000001E-2</v>
      </c>
      <c r="EB21" s="247">
        <v>0.44219999999999998</v>
      </c>
      <c r="EC21" s="247">
        <v>-4.3799999999999999E-2</v>
      </c>
      <c r="ED21" s="247">
        <v>9.0399999999999994E-2</v>
      </c>
      <c r="EE21" s="247">
        <v>0.6</v>
      </c>
      <c r="EF21" s="247">
        <v>4.7636000000000003</v>
      </c>
      <c r="EG21" s="247">
        <v>0.70709999999999995</v>
      </c>
      <c r="EH21" s="247">
        <v>8.7999999999999995E-2</v>
      </c>
      <c r="EI21" s="248">
        <v>-3.7</v>
      </c>
      <c r="EJ21" s="234">
        <v>146.5</v>
      </c>
      <c r="EK21" s="234">
        <v>204</v>
      </c>
      <c r="EL21" s="234" t="s">
        <v>634</v>
      </c>
      <c r="EM21" s="234" t="s">
        <v>635</v>
      </c>
      <c r="EN21" s="234" t="s">
        <v>636</v>
      </c>
      <c r="EO21" s="234" t="s">
        <v>637</v>
      </c>
      <c r="EP21" s="234" t="s">
        <v>638</v>
      </c>
      <c r="EQ21" s="234" t="s">
        <v>639</v>
      </c>
      <c r="ER21" s="234">
        <v>1</v>
      </c>
      <c r="ES21" s="249">
        <v>0.59199999999999997</v>
      </c>
      <c r="ET21" s="234" t="s">
        <v>384</v>
      </c>
      <c r="EU21" s="250">
        <v>1662.8</v>
      </c>
      <c r="EV21" s="234" t="s">
        <v>491</v>
      </c>
      <c r="EW21" s="250">
        <v>720.8</v>
      </c>
      <c r="EX21" s="250">
        <v>610.29999999999995</v>
      </c>
      <c r="EY21" s="250">
        <v>742.8</v>
      </c>
      <c r="EZ21" s="250">
        <v>930.6</v>
      </c>
      <c r="FA21" s="250">
        <v>1051.9000000000001</v>
      </c>
      <c r="FB21" s="250">
        <v>1187.8</v>
      </c>
      <c r="FC21" s="250">
        <v>0</v>
      </c>
      <c r="FD21" s="249">
        <v>0</v>
      </c>
      <c r="FE21" s="250">
        <v>0</v>
      </c>
      <c r="FF21" s="250">
        <v>91.5</v>
      </c>
    </row>
    <row r="22" spans="1:162">
      <c r="A22" s="234" t="s">
        <v>640</v>
      </c>
      <c r="B22" s="234" t="s">
        <v>641</v>
      </c>
      <c r="C22" s="246" t="s">
        <v>361</v>
      </c>
      <c r="D22" s="246" t="s">
        <v>362</v>
      </c>
      <c r="E22" s="246">
        <v>4210</v>
      </c>
      <c r="F22" s="246" t="s">
        <v>642</v>
      </c>
      <c r="G22" s="246" t="s">
        <v>417</v>
      </c>
      <c r="H22" s="246" t="s">
        <v>642</v>
      </c>
      <c r="I22" s="246">
        <v>0.74739999999999995</v>
      </c>
      <c r="J22" s="246">
        <v>0.79110000000000003</v>
      </c>
      <c r="K22" s="247">
        <v>7.0800000000000002E-2</v>
      </c>
      <c r="L22" s="247">
        <v>9.5500000000000002E-2</v>
      </c>
      <c r="M22" s="246" t="s">
        <v>384</v>
      </c>
      <c r="N22" s="247">
        <v>2.76E-2</v>
      </c>
      <c r="O22" s="247">
        <v>6.7100000000000007E-2</v>
      </c>
      <c r="P22" s="247">
        <v>4.7E-2</v>
      </c>
      <c r="Q22" s="247">
        <v>9.1800000000000007E-2</v>
      </c>
      <c r="R22" s="247">
        <v>8.09E-2</v>
      </c>
      <c r="S22" s="247">
        <v>2.7400000000000001E-2</v>
      </c>
      <c r="T22" s="248">
        <v>1458</v>
      </c>
      <c r="U22" s="248">
        <v>0</v>
      </c>
      <c r="V22" s="248">
        <v>121.6</v>
      </c>
      <c r="W22" s="248">
        <v>121.6</v>
      </c>
      <c r="X22" s="248">
        <v>1579.6</v>
      </c>
      <c r="Y22" s="248">
        <v>15.7</v>
      </c>
      <c r="Z22" s="248">
        <v>1563.9</v>
      </c>
      <c r="AA22" s="247">
        <v>9.9000000000000008E-3</v>
      </c>
      <c r="AB22" s="246">
        <v>0.05</v>
      </c>
      <c r="AC22" s="247">
        <v>0.39839999999999998</v>
      </c>
      <c r="AD22" s="247">
        <v>7.6999999999999999E-2</v>
      </c>
      <c r="AE22" s="247">
        <v>0.6623</v>
      </c>
      <c r="AF22" s="247">
        <v>8.3400000000000002E-2</v>
      </c>
      <c r="AG22" s="248">
        <v>63.17</v>
      </c>
      <c r="AH22" s="246">
        <v>69.06</v>
      </c>
      <c r="AI22" s="247">
        <v>-4.1099999999999998E-2</v>
      </c>
      <c r="AJ22" s="246">
        <v>0.99</v>
      </c>
      <c r="AK22" s="247">
        <v>0.26269999999999999</v>
      </c>
      <c r="AL22" s="247">
        <v>0.26040000000000002</v>
      </c>
      <c r="AM22" s="246">
        <v>0.16</v>
      </c>
      <c r="AN22" s="233">
        <v>5.14</v>
      </c>
      <c r="AO22" s="246">
        <v>49.42</v>
      </c>
      <c r="AP22" s="246">
        <v>48.6</v>
      </c>
      <c r="AQ22" s="246">
        <v>54.03</v>
      </c>
      <c r="AR22" s="246">
        <v>37.6</v>
      </c>
      <c r="AS22" s="246">
        <v>3.95</v>
      </c>
      <c r="AT22" s="246">
        <v>7.94</v>
      </c>
      <c r="AU22" s="246">
        <v>10.42</v>
      </c>
      <c r="AV22" s="246">
        <v>2.1800000000000002</v>
      </c>
      <c r="AW22" s="246">
        <v>33.42</v>
      </c>
      <c r="AX22" s="246">
        <v>21.57</v>
      </c>
      <c r="AY22" s="246">
        <v>5.4</v>
      </c>
      <c r="AZ22" s="246">
        <v>2.33</v>
      </c>
      <c r="BA22" s="247">
        <v>0.22270000000000001</v>
      </c>
      <c r="BB22" s="247">
        <v>4.5999999999999999E-3</v>
      </c>
      <c r="BC22" s="247">
        <v>-0.15939999999999999</v>
      </c>
      <c r="BD22" s="247">
        <v>-0.17399999999999999</v>
      </c>
      <c r="BE22" s="246" t="s">
        <v>384</v>
      </c>
      <c r="BF22" s="247">
        <v>5.5300000000000002E-2</v>
      </c>
      <c r="BG22" s="247">
        <v>0.156</v>
      </c>
      <c r="BH22" s="247">
        <v>0.125</v>
      </c>
      <c r="BI22" s="247">
        <v>0.11</v>
      </c>
      <c r="BJ22" s="247">
        <v>0.1764</v>
      </c>
      <c r="BK22" s="247">
        <v>0.1192</v>
      </c>
      <c r="BL22" s="246">
        <v>2.33</v>
      </c>
      <c r="BM22" s="247">
        <v>4.4999999999999998E-2</v>
      </c>
      <c r="BN22" s="247">
        <v>7.0199999999999999E-2</v>
      </c>
      <c r="BO22" s="247">
        <v>0.22509999999999999</v>
      </c>
      <c r="BP22" s="247">
        <v>0.3</v>
      </c>
      <c r="BQ22" s="247">
        <v>0.27250000000000002</v>
      </c>
      <c r="BR22" s="247">
        <v>0.16</v>
      </c>
      <c r="BS22" s="248">
        <v>29.5</v>
      </c>
      <c r="BT22" s="248">
        <v>30</v>
      </c>
      <c r="BU22" s="248">
        <v>46.8</v>
      </c>
      <c r="BV22" s="248">
        <v>46.8</v>
      </c>
      <c r="BW22" s="248">
        <v>150.1</v>
      </c>
      <c r="BX22" s="248">
        <v>669.9</v>
      </c>
      <c r="BY22" s="248">
        <v>666.9</v>
      </c>
      <c r="BZ22" s="248">
        <v>72.2</v>
      </c>
      <c r="CA22" s="248">
        <v>72.5</v>
      </c>
      <c r="CB22" s="248">
        <v>34.049999999999997</v>
      </c>
      <c r="CC22" s="248">
        <v>33.5</v>
      </c>
      <c r="CD22" s="248">
        <v>18.02</v>
      </c>
      <c r="CE22" s="248">
        <v>14.13</v>
      </c>
      <c r="CF22" s="247">
        <v>2.12E-2</v>
      </c>
      <c r="CG22" s="248">
        <v>-26.2</v>
      </c>
      <c r="CH22" s="247">
        <v>-0.2402</v>
      </c>
      <c r="CI22" s="248">
        <v>42.22</v>
      </c>
      <c r="CJ22" s="248">
        <v>4.68</v>
      </c>
      <c r="CK22" s="248">
        <v>38.18</v>
      </c>
      <c r="CL22" s="248">
        <v>170.1</v>
      </c>
      <c r="CM22" s="248">
        <v>285.7</v>
      </c>
      <c r="CN22" s="248">
        <v>183.6</v>
      </c>
      <c r="CO22" s="248">
        <v>289.5</v>
      </c>
      <c r="CP22" s="248">
        <v>-6.68</v>
      </c>
      <c r="CQ22" s="246">
        <v>0.56999999999999995</v>
      </c>
      <c r="CR22" s="246">
        <v>0.11</v>
      </c>
      <c r="CS22" s="246">
        <v>0.42</v>
      </c>
      <c r="CT22" s="246" t="s">
        <v>384</v>
      </c>
      <c r="CU22" s="246" t="s">
        <v>384</v>
      </c>
      <c r="CV22" s="246" t="s">
        <v>384</v>
      </c>
      <c r="CW22" s="246" t="s">
        <v>384</v>
      </c>
      <c r="CX22" s="248">
        <v>-6.68</v>
      </c>
      <c r="CY22" s="248">
        <v>41.1</v>
      </c>
      <c r="CZ22" s="248">
        <v>11.2</v>
      </c>
      <c r="DA22" s="248">
        <v>30</v>
      </c>
      <c r="DB22" s="248">
        <v>1458</v>
      </c>
      <c r="DC22" s="248">
        <v>72.5</v>
      </c>
      <c r="DD22" s="248">
        <v>1563.9</v>
      </c>
      <c r="DE22" s="248">
        <v>4.68</v>
      </c>
      <c r="DF22" s="248">
        <v>0</v>
      </c>
      <c r="DG22" s="248">
        <v>46.8</v>
      </c>
      <c r="DH22" s="248">
        <v>289.5</v>
      </c>
      <c r="DI22" s="248">
        <v>72.2</v>
      </c>
      <c r="DJ22" s="247">
        <v>0.1764</v>
      </c>
      <c r="DK22" s="247">
        <v>0.1192</v>
      </c>
      <c r="DL22" s="246">
        <v>21.66</v>
      </c>
      <c r="DM22" s="246">
        <v>56</v>
      </c>
      <c r="DN22" s="246">
        <v>75.599999999999994</v>
      </c>
      <c r="DO22" s="246" t="s">
        <v>384</v>
      </c>
      <c r="DP22" s="246" t="s">
        <v>384</v>
      </c>
      <c r="DQ22" s="248">
        <v>-9.3000000000000007</v>
      </c>
      <c r="DR22" s="246" t="s">
        <v>643</v>
      </c>
      <c r="DS22" s="246" t="s">
        <v>644</v>
      </c>
      <c r="DT22" s="246" t="e">
        <v>#REF!</v>
      </c>
      <c r="DU22" s="246" t="s">
        <v>388</v>
      </c>
      <c r="DV22" s="246" t="s">
        <v>645</v>
      </c>
      <c r="DW22" s="246" t="s">
        <v>646</v>
      </c>
      <c r="DX22" s="246" t="s">
        <v>647</v>
      </c>
      <c r="DY22" s="246" t="s">
        <v>648</v>
      </c>
      <c r="DZ22" s="246">
        <v>37</v>
      </c>
      <c r="EA22" s="247">
        <v>-0.11749999999999999</v>
      </c>
      <c r="EB22" s="247">
        <v>3.6799999999999999E-2</v>
      </c>
      <c r="EC22" s="247">
        <v>-0.1399</v>
      </c>
      <c r="ED22" s="247">
        <v>-4.1700000000000001E-2</v>
      </c>
      <c r="EE22" s="247">
        <v>-0.24579999999999999</v>
      </c>
      <c r="EF22" s="247">
        <v>-1.78E-2</v>
      </c>
      <c r="EG22" s="247">
        <v>6.7299999999999999E-2</v>
      </c>
      <c r="EH22" s="247">
        <v>7.0000000000000007E-2</v>
      </c>
      <c r="EI22" s="248">
        <v>-9.3000000000000007</v>
      </c>
      <c r="EJ22" s="234">
        <v>46.8</v>
      </c>
      <c r="EK22" s="234">
        <v>45.7</v>
      </c>
      <c r="EL22" s="234" t="s">
        <v>649</v>
      </c>
      <c r="EM22" s="234" t="s">
        <v>650</v>
      </c>
      <c r="EN22" s="234" t="s">
        <v>651</v>
      </c>
      <c r="EO22" s="234" t="s">
        <v>652</v>
      </c>
      <c r="EP22" s="234" t="s">
        <v>376</v>
      </c>
      <c r="EQ22" s="234" t="s">
        <v>377</v>
      </c>
      <c r="ER22" s="234">
        <v>1</v>
      </c>
      <c r="ES22" s="249">
        <v>9.8199999999999996E-2</v>
      </c>
      <c r="ET22" s="249">
        <v>4.6899999999999997E-2</v>
      </c>
      <c r="EU22" s="250">
        <v>666.9</v>
      </c>
      <c r="EV22" s="234" t="s">
        <v>653</v>
      </c>
      <c r="EW22" s="250">
        <v>1508.6</v>
      </c>
      <c r="EX22" s="250">
        <v>2008.6</v>
      </c>
      <c r="EY22" s="250">
        <v>2216.5</v>
      </c>
      <c r="EZ22" s="250">
        <v>2094.8000000000002</v>
      </c>
      <c r="FA22" s="250">
        <v>1933.1</v>
      </c>
      <c r="FB22" s="250">
        <v>1734.5</v>
      </c>
      <c r="FC22" s="250">
        <v>0</v>
      </c>
      <c r="FD22" s="249">
        <v>5.0000000000000001E-4</v>
      </c>
      <c r="FE22" s="250">
        <v>0</v>
      </c>
      <c r="FF22" s="250">
        <v>0</v>
      </c>
    </row>
    <row r="23" spans="1:162">
      <c r="A23" s="234" t="s">
        <v>654</v>
      </c>
      <c r="B23" s="234" t="s">
        <v>655</v>
      </c>
      <c r="C23" s="246" t="s">
        <v>361</v>
      </c>
      <c r="D23" s="246" t="s">
        <v>362</v>
      </c>
      <c r="E23" s="246">
        <v>4210</v>
      </c>
      <c r="F23" s="246" t="s">
        <v>509</v>
      </c>
      <c r="G23" s="246" t="s">
        <v>417</v>
      </c>
      <c r="H23" s="246" t="s">
        <v>509</v>
      </c>
      <c r="I23" s="246">
        <v>0.74739999999999995</v>
      </c>
      <c r="J23" s="246">
        <v>0.74809999999999999</v>
      </c>
      <c r="K23" s="247">
        <v>5.1400000000000001E-2</v>
      </c>
      <c r="L23" s="247">
        <v>7.8E-2</v>
      </c>
      <c r="M23" s="246" t="s">
        <v>384</v>
      </c>
      <c r="N23" s="247">
        <v>1.49E-2</v>
      </c>
      <c r="O23" s="247">
        <v>5.4399999999999997E-2</v>
      </c>
      <c r="P23" s="247">
        <v>4.0800000000000003E-2</v>
      </c>
      <c r="Q23" s="247">
        <v>7.7899999999999997E-2</v>
      </c>
      <c r="R23" s="247">
        <v>-5.7000000000000002E-3</v>
      </c>
      <c r="S23" s="247">
        <v>2.7300000000000001E-2</v>
      </c>
      <c r="T23" s="248">
        <v>1292.0999999999999</v>
      </c>
      <c r="U23" s="248">
        <v>0</v>
      </c>
      <c r="V23" s="248">
        <v>1.65</v>
      </c>
      <c r="W23" s="248">
        <v>1.65</v>
      </c>
      <c r="X23" s="248">
        <v>1293.75</v>
      </c>
      <c r="Y23" s="248">
        <v>158.5</v>
      </c>
      <c r="Z23" s="248">
        <v>1135.25</v>
      </c>
      <c r="AA23" s="247">
        <v>0.1225</v>
      </c>
      <c r="AB23" s="246">
        <v>0.99</v>
      </c>
      <c r="AC23" s="247">
        <v>3.8E-3</v>
      </c>
      <c r="AD23" s="247">
        <v>1.2999999999999999E-3</v>
      </c>
      <c r="AE23" s="247">
        <v>3.8E-3</v>
      </c>
      <c r="AF23" s="247">
        <v>1.2999999999999999E-3</v>
      </c>
      <c r="AG23" s="248">
        <v>1.41</v>
      </c>
      <c r="AH23" s="246">
        <v>69.06</v>
      </c>
      <c r="AI23" s="246" t="s">
        <v>384</v>
      </c>
      <c r="AJ23" s="246">
        <v>1.8</v>
      </c>
      <c r="AK23" s="247">
        <v>0.10489999999999999</v>
      </c>
      <c r="AL23" s="247">
        <v>0.38329999999999997</v>
      </c>
      <c r="AM23" s="246">
        <v>0.44</v>
      </c>
      <c r="AN23" s="233">
        <v>226.73</v>
      </c>
      <c r="AO23" s="246">
        <v>71.39</v>
      </c>
      <c r="AP23" s="246">
        <v>44.71</v>
      </c>
      <c r="AQ23" s="246">
        <v>52.87</v>
      </c>
      <c r="AR23" s="246">
        <v>21.36</v>
      </c>
      <c r="AS23" s="246" t="s">
        <v>384</v>
      </c>
      <c r="AT23" s="246">
        <v>2.97</v>
      </c>
      <c r="AU23" s="246">
        <v>2.36</v>
      </c>
      <c r="AV23" s="246">
        <v>0.6</v>
      </c>
      <c r="AW23" s="246">
        <v>49.57</v>
      </c>
      <c r="AX23" s="246">
        <v>47.7</v>
      </c>
      <c r="AY23" s="246">
        <v>4.09</v>
      </c>
      <c r="AZ23" s="246">
        <v>0.53</v>
      </c>
      <c r="BA23" s="247">
        <v>0</v>
      </c>
      <c r="BB23" s="247">
        <v>0</v>
      </c>
      <c r="BC23" s="247">
        <v>0.35020000000000001</v>
      </c>
      <c r="BD23" s="246" t="s">
        <v>384</v>
      </c>
      <c r="BE23" s="246" t="s">
        <v>384</v>
      </c>
      <c r="BF23" s="247">
        <v>0.28899999999999998</v>
      </c>
      <c r="BG23" s="246" t="s">
        <v>384</v>
      </c>
      <c r="BH23" s="246" t="s">
        <v>384</v>
      </c>
      <c r="BI23" s="247">
        <v>0.33800000000000002</v>
      </c>
      <c r="BJ23" s="247">
        <v>7.2300000000000003E-2</v>
      </c>
      <c r="BK23" s="247">
        <v>0.1052</v>
      </c>
      <c r="BL23" s="246">
        <v>13.13</v>
      </c>
      <c r="BM23" s="247">
        <v>1.0800000000000001E-2</v>
      </c>
      <c r="BN23" s="247">
        <v>8.6E-3</v>
      </c>
      <c r="BO23" s="247">
        <v>6.6900000000000001E-2</v>
      </c>
      <c r="BP23" s="247">
        <v>0.25</v>
      </c>
      <c r="BQ23" s="247">
        <v>6.7100000000000007E-2</v>
      </c>
      <c r="BR23" s="247">
        <v>3.8800000000000001E-2</v>
      </c>
      <c r="BS23" s="248">
        <v>18.100000000000001</v>
      </c>
      <c r="BT23" s="248">
        <v>28.9</v>
      </c>
      <c r="BU23" s="248">
        <v>22.9</v>
      </c>
      <c r="BV23" s="248">
        <v>22.9</v>
      </c>
      <c r="BW23" s="248">
        <v>178.5</v>
      </c>
      <c r="BX23" s="248">
        <v>2157.3000000000002</v>
      </c>
      <c r="BY23" s="248">
        <v>2666.7</v>
      </c>
      <c r="BZ23" s="248">
        <v>14</v>
      </c>
      <c r="CA23" s="248">
        <v>23.8</v>
      </c>
      <c r="CB23" s="248">
        <v>21.36</v>
      </c>
      <c r="CC23" s="248">
        <v>2.13</v>
      </c>
      <c r="CD23" s="248">
        <v>-9.81</v>
      </c>
      <c r="CE23" s="248">
        <v>77.19</v>
      </c>
      <c r="CF23" s="247">
        <v>2.8899999999999999E-2</v>
      </c>
      <c r="CG23" s="248">
        <v>4.53</v>
      </c>
      <c r="CH23" s="247">
        <v>-0.247</v>
      </c>
      <c r="CI23" s="248">
        <v>26.64</v>
      </c>
      <c r="CJ23" s="248">
        <v>32.049999999999997</v>
      </c>
      <c r="CK23" s="248">
        <v>34.18</v>
      </c>
      <c r="CL23" s="248">
        <v>399.9</v>
      </c>
      <c r="CM23" s="248">
        <v>203.09</v>
      </c>
      <c r="CN23" s="248">
        <v>434.4</v>
      </c>
      <c r="CO23" s="248">
        <v>277.55</v>
      </c>
      <c r="CP23" s="248">
        <v>0</v>
      </c>
      <c r="CQ23" s="246">
        <v>0.34</v>
      </c>
      <c r="CR23" s="246">
        <v>1.61</v>
      </c>
      <c r="CS23" s="246">
        <v>0.42</v>
      </c>
      <c r="CT23" s="246" t="s">
        <v>384</v>
      </c>
      <c r="CU23" s="246" t="s">
        <v>384</v>
      </c>
      <c r="CV23" s="246" t="s">
        <v>384</v>
      </c>
      <c r="CW23" s="246" t="s">
        <v>384</v>
      </c>
      <c r="CX23" s="248">
        <v>-2.21</v>
      </c>
      <c r="CY23" s="248">
        <v>31</v>
      </c>
      <c r="CZ23" s="248">
        <v>2.08</v>
      </c>
      <c r="DA23" s="248">
        <v>28.9</v>
      </c>
      <c r="DB23" s="248">
        <v>1292.0999999999999</v>
      </c>
      <c r="DC23" s="248">
        <v>23.8</v>
      </c>
      <c r="DD23" s="248">
        <v>1135.25</v>
      </c>
      <c r="DE23" s="248">
        <v>32.049999999999997</v>
      </c>
      <c r="DF23" s="248">
        <v>48.24</v>
      </c>
      <c r="DG23" s="248">
        <v>25.82</v>
      </c>
      <c r="DH23" s="248">
        <v>325.79000000000002</v>
      </c>
      <c r="DI23" s="248">
        <v>31.6</v>
      </c>
      <c r="DJ23" s="247">
        <v>7.0999999999999994E-2</v>
      </c>
      <c r="DK23" s="247">
        <v>9.5799999999999996E-2</v>
      </c>
      <c r="DL23" s="246">
        <v>35.93</v>
      </c>
      <c r="DM23" s="246">
        <v>0.9</v>
      </c>
      <c r="DN23" s="246" t="s">
        <v>384</v>
      </c>
      <c r="DO23" s="246" t="s">
        <v>384</v>
      </c>
      <c r="DP23" s="246" t="s">
        <v>384</v>
      </c>
      <c r="DQ23" s="248">
        <v>-1.54</v>
      </c>
      <c r="DR23" s="246" t="s">
        <v>656</v>
      </c>
      <c r="DS23" s="246" t="s">
        <v>644</v>
      </c>
      <c r="DT23" s="246" t="e">
        <v>#REF!</v>
      </c>
      <c r="DU23" s="246" t="s">
        <v>388</v>
      </c>
      <c r="DV23" s="246" t="s">
        <v>657</v>
      </c>
      <c r="DW23" s="246" t="s">
        <v>658</v>
      </c>
      <c r="DX23" s="246" t="s">
        <v>659</v>
      </c>
      <c r="DY23" s="246" t="s">
        <v>660</v>
      </c>
      <c r="DZ23" s="246">
        <v>4</v>
      </c>
      <c r="EA23" s="247">
        <v>-3.39E-2</v>
      </c>
      <c r="EB23" s="247">
        <v>1.0881000000000001</v>
      </c>
      <c r="EC23" s="247">
        <v>-0.28670000000000001</v>
      </c>
      <c r="ED23" s="247">
        <v>-0.17879999999999999</v>
      </c>
      <c r="EE23" s="247">
        <v>0.18160000000000001</v>
      </c>
      <c r="EF23" s="247">
        <v>0.1105</v>
      </c>
      <c r="EG23" s="247">
        <v>7.4999999999999997E-3</v>
      </c>
      <c r="EH23" s="247">
        <v>8.9999999999999993E-3</v>
      </c>
      <c r="EI23" s="248">
        <v>-1.54</v>
      </c>
      <c r="EJ23" s="234">
        <v>22.9</v>
      </c>
      <c r="EK23" s="234">
        <v>17.899999999999999</v>
      </c>
      <c r="EL23" s="234" t="s">
        <v>661</v>
      </c>
      <c r="EM23" s="234" t="s">
        <v>662</v>
      </c>
      <c r="EN23" s="234" t="s">
        <v>663</v>
      </c>
      <c r="EO23" s="234" t="s">
        <v>664</v>
      </c>
      <c r="EP23" s="234" t="s">
        <v>665</v>
      </c>
      <c r="EQ23" s="234" t="s">
        <v>666</v>
      </c>
      <c r="ER23" s="234">
        <v>1</v>
      </c>
      <c r="ES23" s="249">
        <v>0.29160000000000003</v>
      </c>
      <c r="ET23" s="234" t="s">
        <v>384</v>
      </c>
      <c r="EU23" s="250">
        <v>2666.7</v>
      </c>
      <c r="EV23" s="234" t="s">
        <v>491</v>
      </c>
      <c r="EW23" s="250">
        <v>0</v>
      </c>
      <c r="EX23" s="250">
        <v>1802.5</v>
      </c>
      <c r="EY23" s="250">
        <v>897.9</v>
      </c>
      <c r="EZ23" s="250">
        <v>1234.5999999999999</v>
      </c>
      <c r="FA23" s="250">
        <v>1093.5</v>
      </c>
      <c r="FB23" s="250">
        <v>957</v>
      </c>
      <c r="FC23" s="250">
        <v>0</v>
      </c>
      <c r="FD23" s="249">
        <v>0</v>
      </c>
      <c r="FE23" s="250">
        <v>0</v>
      </c>
      <c r="FF23" s="250">
        <v>0</v>
      </c>
    </row>
    <row r="24" spans="1:162">
      <c r="A24" s="234" t="s">
        <v>667</v>
      </c>
      <c r="B24" s="234" t="s">
        <v>668</v>
      </c>
      <c r="C24" s="246" t="s">
        <v>361</v>
      </c>
      <c r="D24" s="246" t="s">
        <v>362</v>
      </c>
      <c r="E24" s="246">
        <v>4210</v>
      </c>
      <c r="F24" s="246" t="s">
        <v>669</v>
      </c>
      <c r="G24" s="246" t="s">
        <v>382</v>
      </c>
      <c r="H24" s="246" t="s">
        <v>383</v>
      </c>
      <c r="I24" s="246">
        <v>0.74739999999999995</v>
      </c>
      <c r="J24" s="246">
        <v>1.0358000000000001</v>
      </c>
      <c r="K24" s="247">
        <v>5.7799999999999997E-2</v>
      </c>
      <c r="L24" s="247">
        <v>9.9400000000000002E-2</v>
      </c>
      <c r="M24" s="246" t="s">
        <v>384</v>
      </c>
      <c r="N24" s="247">
        <v>1.9099999999999999E-2</v>
      </c>
      <c r="O24" s="247">
        <v>5.8599999999999999E-2</v>
      </c>
      <c r="P24" s="247">
        <v>4.0099999999999997E-2</v>
      </c>
      <c r="Q24" s="247">
        <v>7.8E-2</v>
      </c>
      <c r="R24" s="247">
        <v>0.1208</v>
      </c>
      <c r="S24" s="247">
        <v>0.19850000000000001</v>
      </c>
      <c r="T24" s="248">
        <v>1157</v>
      </c>
      <c r="U24" s="248">
        <v>0</v>
      </c>
      <c r="V24" s="248">
        <v>651.79999999999995</v>
      </c>
      <c r="W24" s="248">
        <v>651.79999999999995</v>
      </c>
      <c r="X24" s="248">
        <v>1808.8</v>
      </c>
      <c r="Y24" s="248">
        <v>330.4</v>
      </c>
      <c r="Z24" s="248">
        <v>1478.4</v>
      </c>
      <c r="AA24" s="247">
        <v>0.1827</v>
      </c>
      <c r="AB24" s="246">
        <v>0.67</v>
      </c>
      <c r="AC24" s="247">
        <v>0.64170000000000005</v>
      </c>
      <c r="AD24" s="247">
        <v>0.36030000000000001</v>
      </c>
      <c r="AE24" s="247">
        <v>1.7911999999999999</v>
      </c>
      <c r="AF24" s="247">
        <v>0.56340000000000001</v>
      </c>
      <c r="AG24" s="248">
        <v>8.7200000000000006</v>
      </c>
      <c r="AH24" s="246">
        <v>50.04</v>
      </c>
      <c r="AI24" s="247">
        <v>0.16209999999999999</v>
      </c>
      <c r="AJ24" s="246">
        <v>1.1499999999999999</v>
      </c>
      <c r="AK24" s="247">
        <v>0.22140000000000001</v>
      </c>
      <c r="AL24" s="247">
        <v>0.26350000000000001</v>
      </c>
      <c r="AM24" s="246">
        <v>0.22</v>
      </c>
      <c r="AN24" s="233">
        <v>1.78</v>
      </c>
      <c r="AO24" s="246">
        <v>24.56</v>
      </c>
      <c r="AP24" s="246">
        <v>19.48</v>
      </c>
      <c r="AQ24" s="246">
        <v>21.53</v>
      </c>
      <c r="AR24" s="246">
        <v>13.6</v>
      </c>
      <c r="AS24" s="246">
        <v>1.73</v>
      </c>
      <c r="AT24" s="246">
        <v>3.18</v>
      </c>
      <c r="AU24" s="246">
        <v>3.18</v>
      </c>
      <c r="AV24" s="246">
        <v>0.95</v>
      </c>
      <c r="AW24" s="246">
        <v>8.6999999999999993</v>
      </c>
      <c r="AX24" s="246">
        <v>7.6</v>
      </c>
      <c r="AY24" s="246">
        <v>3.01</v>
      </c>
      <c r="AZ24" s="246">
        <v>1.21</v>
      </c>
      <c r="BA24" s="247">
        <v>0.5</v>
      </c>
      <c r="BB24" s="247">
        <v>2.5700000000000001E-2</v>
      </c>
      <c r="BC24" s="247">
        <v>0.1409</v>
      </c>
      <c r="BD24" s="247">
        <v>7.8100000000000003E-2</v>
      </c>
      <c r="BE24" s="247">
        <v>0.36499999999999999</v>
      </c>
      <c r="BF24" s="247">
        <v>0.128</v>
      </c>
      <c r="BG24" s="247">
        <v>0.12</v>
      </c>
      <c r="BH24" s="247">
        <v>0.14199999999999999</v>
      </c>
      <c r="BI24" s="247">
        <v>0.14499999999999999</v>
      </c>
      <c r="BJ24" s="247">
        <v>0.22020000000000001</v>
      </c>
      <c r="BK24" s="247">
        <v>0.27650000000000002</v>
      </c>
      <c r="BL24" s="246">
        <v>2.86</v>
      </c>
      <c r="BM24" s="247">
        <v>3.95E-2</v>
      </c>
      <c r="BN24" s="247">
        <v>0.1129</v>
      </c>
      <c r="BO24" s="247">
        <v>0.64439999999999997</v>
      </c>
      <c r="BP24" s="247">
        <v>0.315</v>
      </c>
      <c r="BQ24" s="247">
        <v>0.14419999999999999</v>
      </c>
      <c r="BR24" s="247">
        <v>0.1444</v>
      </c>
      <c r="BS24" s="248">
        <v>47.1</v>
      </c>
      <c r="BT24" s="248">
        <v>59.4</v>
      </c>
      <c r="BU24" s="248">
        <v>169.9</v>
      </c>
      <c r="BV24" s="248">
        <v>169.9</v>
      </c>
      <c r="BW24" s="248">
        <v>970.2</v>
      </c>
      <c r="BX24" s="248">
        <v>1218.5999999999999</v>
      </c>
      <c r="BY24" s="248">
        <v>1505.5</v>
      </c>
      <c r="BZ24" s="248">
        <v>180.5</v>
      </c>
      <c r="CA24" s="248">
        <v>194.5</v>
      </c>
      <c r="CB24" s="248">
        <v>145.4</v>
      </c>
      <c r="CC24" s="248">
        <v>21.3</v>
      </c>
      <c r="CD24" s="248">
        <v>0</v>
      </c>
      <c r="CE24" s="248">
        <v>-5111.93</v>
      </c>
      <c r="CF24" s="247">
        <v>-3.3955000000000002</v>
      </c>
      <c r="CG24" s="248">
        <v>-71</v>
      </c>
      <c r="CH24" s="247">
        <v>-0.48830000000000001</v>
      </c>
      <c r="CI24" s="248">
        <v>216.4</v>
      </c>
      <c r="CJ24" s="248">
        <v>109.1</v>
      </c>
      <c r="CK24" s="248">
        <v>130.4</v>
      </c>
      <c r="CL24" s="248">
        <v>269.8</v>
      </c>
      <c r="CM24" s="248">
        <v>525.9</v>
      </c>
      <c r="CN24" s="248">
        <v>363.9</v>
      </c>
      <c r="CO24" s="248">
        <v>490.5</v>
      </c>
      <c r="CP24" s="248">
        <v>-29.7</v>
      </c>
      <c r="CQ24" s="246">
        <v>0.49</v>
      </c>
      <c r="CR24" s="246">
        <v>0.92</v>
      </c>
      <c r="CS24" s="246">
        <v>0.55000000000000004</v>
      </c>
      <c r="CT24" s="246">
        <v>0.45</v>
      </c>
      <c r="CU24" s="246">
        <v>0.46</v>
      </c>
      <c r="CV24" s="248">
        <v>81.400000000000006</v>
      </c>
      <c r="CW24" s="248">
        <v>44.88</v>
      </c>
      <c r="CX24" s="248">
        <v>-54</v>
      </c>
      <c r="CY24" s="248">
        <v>74.2</v>
      </c>
      <c r="CZ24" s="248">
        <v>10.7</v>
      </c>
      <c r="DA24" s="248">
        <v>59.4</v>
      </c>
      <c r="DB24" s="248">
        <v>1157</v>
      </c>
      <c r="DC24" s="248">
        <v>194.5</v>
      </c>
      <c r="DD24" s="248">
        <v>1478.4</v>
      </c>
      <c r="DE24" s="248">
        <v>109.1</v>
      </c>
      <c r="DF24" s="248">
        <v>0</v>
      </c>
      <c r="DG24" s="248">
        <v>169.9</v>
      </c>
      <c r="DH24" s="248">
        <v>490.5</v>
      </c>
      <c r="DI24" s="248">
        <v>180.5</v>
      </c>
      <c r="DJ24" s="247">
        <v>0.22020000000000001</v>
      </c>
      <c r="DK24" s="247">
        <v>0.27650000000000002</v>
      </c>
      <c r="DL24" s="246">
        <v>8.19</v>
      </c>
      <c r="DM24" s="246">
        <v>94.7</v>
      </c>
      <c r="DN24" s="246">
        <v>-507.48</v>
      </c>
      <c r="DO24" s="246">
        <v>81.400000000000006</v>
      </c>
      <c r="DP24" s="247">
        <v>-9.5877999999999997</v>
      </c>
      <c r="DQ24" s="246" t="s">
        <v>670</v>
      </c>
      <c r="DR24" s="246" t="s">
        <v>671</v>
      </c>
      <c r="DS24" s="246" t="s">
        <v>672</v>
      </c>
      <c r="DT24" s="246" t="e">
        <v>#REF!</v>
      </c>
      <c r="DU24" s="246" t="s">
        <v>673</v>
      </c>
      <c r="DV24" s="246" t="s">
        <v>674</v>
      </c>
      <c r="DW24" s="246" t="s">
        <v>675</v>
      </c>
      <c r="DX24" s="246" t="s">
        <v>676</v>
      </c>
      <c r="DY24" s="246" t="s">
        <v>677</v>
      </c>
      <c r="DZ24" s="246">
        <v>500</v>
      </c>
      <c r="EA24" s="247">
        <v>0.43009999999999998</v>
      </c>
      <c r="EB24" s="247">
        <v>4.58E-2</v>
      </c>
      <c r="EC24" s="247">
        <v>-8.9999999999999993E-3</v>
      </c>
      <c r="ED24" s="247">
        <v>2.5499999999999998E-2</v>
      </c>
      <c r="EE24" s="247">
        <v>0.52</v>
      </c>
      <c r="EF24" s="247">
        <v>3.61E-2</v>
      </c>
      <c r="EG24" s="247">
        <v>0.1149</v>
      </c>
      <c r="EH24" s="247">
        <v>0.113</v>
      </c>
      <c r="EI24" s="246" t="s">
        <v>670</v>
      </c>
      <c r="EJ24" s="234">
        <v>169.9</v>
      </c>
      <c r="EK24" s="234">
        <v>167</v>
      </c>
      <c r="EL24" s="234" t="s">
        <v>678</v>
      </c>
      <c r="EM24" s="234" t="s">
        <v>679</v>
      </c>
      <c r="EN24" s="234" t="s">
        <v>680</v>
      </c>
      <c r="EO24" s="234" t="s">
        <v>681</v>
      </c>
      <c r="EP24" s="234" t="s">
        <v>682</v>
      </c>
      <c r="EQ24" s="234" t="s">
        <v>683</v>
      </c>
      <c r="ER24" s="234">
        <v>1</v>
      </c>
      <c r="ES24" s="249">
        <v>0.1075</v>
      </c>
      <c r="ET24" s="249">
        <v>5.4399999999999997E-2</v>
      </c>
      <c r="EU24" s="250">
        <v>1505.5</v>
      </c>
      <c r="EV24" s="234" t="s">
        <v>682</v>
      </c>
      <c r="EW24" s="250">
        <v>1016.4</v>
      </c>
      <c r="EX24" s="250">
        <v>766.7</v>
      </c>
      <c r="EY24" s="250">
        <v>468.8</v>
      </c>
      <c r="EZ24" s="250">
        <v>544.6</v>
      </c>
      <c r="FA24" s="250">
        <v>761.2</v>
      </c>
      <c r="FB24" s="250">
        <v>1014.1</v>
      </c>
      <c r="FC24" s="250">
        <v>0</v>
      </c>
      <c r="FD24" s="249">
        <v>0.52100000000000002</v>
      </c>
      <c r="FE24" s="250">
        <v>236.5</v>
      </c>
      <c r="FF24" s="250">
        <v>0</v>
      </c>
    </row>
    <row r="25" spans="1:162">
      <c r="A25" s="234" t="s">
        <v>684</v>
      </c>
      <c r="B25" s="234" t="s">
        <v>685</v>
      </c>
      <c r="C25" s="246" t="s">
        <v>401</v>
      </c>
      <c r="D25" s="246" t="s">
        <v>362</v>
      </c>
      <c r="E25" s="246">
        <v>4210</v>
      </c>
      <c r="F25" s="246" t="s">
        <v>434</v>
      </c>
      <c r="G25" s="246" t="s">
        <v>435</v>
      </c>
      <c r="H25" s="246" t="s">
        <v>434</v>
      </c>
      <c r="I25" s="246">
        <v>0.66930000000000001</v>
      </c>
      <c r="J25" s="246">
        <v>1.0528999999999999</v>
      </c>
      <c r="K25" s="247">
        <v>4.2299999999999997E-2</v>
      </c>
      <c r="L25" s="247">
        <v>8.4000000000000005E-2</v>
      </c>
      <c r="M25" s="246" t="s">
        <v>384</v>
      </c>
      <c r="N25" s="247">
        <v>5.4999999999999997E-3</v>
      </c>
      <c r="O25" s="247">
        <v>4.4999999999999998E-2</v>
      </c>
      <c r="P25" s="247">
        <v>3.32E-2</v>
      </c>
      <c r="Q25" s="247">
        <v>6.1800000000000001E-2</v>
      </c>
      <c r="R25" s="247">
        <v>7.1000000000000004E-3</v>
      </c>
      <c r="S25" s="247">
        <v>2.6599999999999999E-2</v>
      </c>
      <c r="T25" s="248">
        <v>1097.7</v>
      </c>
      <c r="U25" s="248">
        <v>0</v>
      </c>
      <c r="V25" s="248">
        <v>851.8</v>
      </c>
      <c r="W25" s="248">
        <v>851.8</v>
      </c>
      <c r="X25" s="248">
        <v>1949.5</v>
      </c>
      <c r="Y25" s="248">
        <v>108.5</v>
      </c>
      <c r="Z25" s="248">
        <v>1841</v>
      </c>
      <c r="AA25" s="247">
        <v>5.57E-2</v>
      </c>
      <c r="AB25" s="246">
        <v>0.56999999999999995</v>
      </c>
      <c r="AC25" s="247">
        <v>0.53559999999999997</v>
      </c>
      <c r="AD25" s="247">
        <v>0.43690000000000001</v>
      </c>
      <c r="AE25" s="247">
        <v>1.1534</v>
      </c>
      <c r="AF25" s="247">
        <v>0.77600000000000002</v>
      </c>
      <c r="AG25" s="248">
        <v>11.48</v>
      </c>
      <c r="AH25" s="246">
        <v>16.54</v>
      </c>
      <c r="AI25" s="247">
        <v>4.5499999999999999E-2</v>
      </c>
      <c r="AJ25" s="246">
        <v>0.99</v>
      </c>
      <c r="AK25" s="247">
        <v>0.39369999999999999</v>
      </c>
      <c r="AL25" s="247">
        <v>0.21759999999999999</v>
      </c>
      <c r="AM25" s="246">
        <v>0.16</v>
      </c>
      <c r="AN25" s="233">
        <v>3.35</v>
      </c>
      <c r="AO25" s="246">
        <v>14.07</v>
      </c>
      <c r="AP25" s="246">
        <v>16.05</v>
      </c>
      <c r="AQ25" s="246">
        <v>9.99</v>
      </c>
      <c r="AR25" s="246">
        <v>13.88</v>
      </c>
      <c r="AS25" s="246" t="s">
        <v>384</v>
      </c>
      <c r="AT25" s="246">
        <v>1.49</v>
      </c>
      <c r="AU25" s="246">
        <v>1.1000000000000001</v>
      </c>
      <c r="AV25" s="246">
        <v>0.79</v>
      </c>
      <c r="AW25" s="246">
        <v>13.48</v>
      </c>
      <c r="AX25" s="246">
        <v>9.0299999999999994</v>
      </c>
      <c r="AY25" s="246">
        <v>1.59</v>
      </c>
      <c r="AZ25" s="246">
        <v>1.33</v>
      </c>
      <c r="BA25" s="247">
        <v>0.77049999999999996</v>
      </c>
      <c r="BB25" s="247">
        <v>4.8000000000000001E-2</v>
      </c>
      <c r="BC25" s="247">
        <v>0.40839999999999999</v>
      </c>
      <c r="BD25" s="247">
        <v>-6.7000000000000004E-2</v>
      </c>
      <c r="BE25" s="247">
        <v>8.8900000000000007E-2</v>
      </c>
      <c r="BF25" s="247">
        <v>2.6800000000000001E-2</v>
      </c>
      <c r="BG25" s="247">
        <v>0.122</v>
      </c>
      <c r="BH25" s="246" t="s">
        <v>384</v>
      </c>
      <c r="BI25" s="247">
        <v>6.3600000000000004E-2</v>
      </c>
      <c r="BJ25" s="247">
        <v>9.11E-2</v>
      </c>
      <c r="BK25" s="247">
        <v>8.8400000000000006E-2</v>
      </c>
      <c r="BL25" s="246">
        <v>1.33</v>
      </c>
      <c r="BM25" s="247">
        <v>4.5400000000000003E-2</v>
      </c>
      <c r="BN25" s="247">
        <v>9.0700000000000003E-2</v>
      </c>
      <c r="BO25" s="247">
        <v>0.30099999999999999</v>
      </c>
      <c r="BP25" s="247">
        <v>0.26140000000000002</v>
      </c>
      <c r="BQ25" s="247">
        <v>0.26919999999999999</v>
      </c>
      <c r="BR25" s="247">
        <v>0.2324</v>
      </c>
      <c r="BS25" s="248">
        <v>78</v>
      </c>
      <c r="BT25" s="248">
        <v>68.400000000000006</v>
      </c>
      <c r="BU25" s="248">
        <v>136.6</v>
      </c>
      <c r="BV25" s="248">
        <v>136.6</v>
      </c>
      <c r="BW25" s="248">
        <v>453.6</v>
      </c>
      <c r="BX25" s="248">
        <v>1382.5</v>
      </c>
      <c r="BY25" s="248">
        <v>1506.8</v>
      </c>
      <c r="BZ25" s="248">
        <v>205.4</v>
      </c>
      <c r="CA25" s="248">
        <v>203.8</v>
      </c>
      <c r="CB25" s="248">
        <v>99.82</v>
      </c>
      <c r="CC25" s="248">
        <v>80.5</v>
      </c>
      <c r="CD25" s="248">
        <v>0</v>
      </c>
      <c r="CE25" s="248">
        <v>62.83</v>
      </c>
      <c r="CF25" s="247">
        <v>4.1700000000000001E-2</v>
      </c>
      <c r="CG25" s="248">
        <v>111.7</v>
      </c>
      <c r="CH25" s="247">
        <v>1.119</v>
      </c>
      <c r="CI25" s="248">
        <v>-11.88</v>
      </c>
      <c r="CJ25" s="248">
        <v>-123.8</v>
      </c>
      <c r="CK25" s="248">
        <v>-43.3</v>
      </c>
      <c r="CL25" s="248">
        <v>750.9</v>
      </c>
      <c r="CM25" s="248">
        <v>1129.2</v>
      </c>
      <c r="CN25" s="248">
        <v>738.5</v>
      </c>
      <c r="CO25" s="248">
        <v>1159.8</v>
      </c>
      <c r="CP25" s="248">
        <v>-52.7</v>
      </c>
      <c r="CQ25" s="246">
        <v>0.71</v>
      </c>
      <c r="CR25" s="246">
        <v>0.92</v>
      </c>
      <c r="CS25" s="246">
        <v>0.79</v>
      </c>
      <c r="CT25" s="246">
        <v>0.39</v>
      </c>
      <c r="CU25" s="246">
        <v>0.75</v>
      </c>
      <c r="CV25" s="248">
        <v>100.44</v>
      </c>
      <c r="CW25" s="248">
        <v>50.25</v>
      </c>
      <c r="CX25" s="248">
        <v>-60.21</v>
      </c>
      <c r="CY25" s="248">
        <v>93.6</v>
      </c>
      <c r="CZ25" s="248">
        <v>25.2</v>
      </c>
      <c r="DA25" s="248">
        <v>68.400000000000006</v>
      </c>
      <c r="DB25" s="248">
        <v>1097.7</v>
      </c>
      <c r="DC25" s="248">
        <v>203.8</v>
      </c>
      <c r="DD25" s="248">
        <v>1841</v>
      </c>
      <c r="DE25" s="248">
        <v>-123.8</v>
      </c>
      <c r="DF25" s="248">
        <v>0</v>
      </c>
      <c r="DG25" s="248">
        <v>136.6</v>
      </c>
      <c r="DH25" s="248">
        <v>1159.8</v>
      </c>
      <c r="DI25" s="248">
        <v>205.4</v>
      </c>
      <c r="DJ25" s="247">
        <v>9.11E-2</v>
      </c>
      <c r="DK25" s="247">
        <v>8.8400000000000006E-2</v>
      </c>
      <c r="DL25" s="246">
        <v>8.9600000000000009</v>
      </c>
      <c r="DM25" s="246">
        <v>102.8</v>
      </c>
      <c r="DN25" s="246">
        <v>883.2</v>
      </c>
      <c r="DO25" s="246">
        <v>100.44</v>
      </c>
      <c r="DP25" s="247">
        <v>9.8299999999999998E-2</v>
      </c>
      <c r="DQ25" s="248">
        <v>-54.5</v>
      </c>
      <c r="DR25" s="246" t="s">
        <v>686</v>
      </c>
      <c r="DS25" s="246" t="s">
        <v>687</v>
      </c>
      <c r="DT25" s="246" t="e">
        <v>#REF!</v>
      </c>
      <c r="DU25" s="246" t="s">
        <v>688</v>
      </c>
      <c r="DV25" s="246" t="s">
        <v>689</v>
      </c>
      <c r="DW25" s="246" t="s">
        <v>690</v>
      </c>
      <c r="DX25" s="246" t="s">
        <v>691</v>
      </c>
      <c r="DY25" s="246" t="s">
        <v>692</v>
      </c>
      <c r="DZ25" s="246">
        <v>71</v>
      </c>
      <c r="EA25" s="247">
        <v>-0.1416</v>
      </c>
      <c r="EB25" s="247">
        <v>0.19109999999999999</v>
      </c>
      <c r="EC25" s="247">
        <v>-4.1200000000000001E-2</v>
      </c>
      <c r="ED25" s="247">
        <v>0.26069999999999999</v>
      </c>
      <c r="EE25" s="247">
        <v>0.2359</v>
      </c>
      <c r="EF25" s="247">
        <v>-6.7999999999999996E-3</v>
      </c>
      <c r="EG25" s="247">
        <v>9.2399999999999996E-2</v>
      </c>
      <c r="EH25" s="247">
        <v>9.0999999999999998E-2</v>
      </c>
      <c r="EI25" s="248">
        <v>-54.5</v>
      </c>
      <c r="EJ25" s="234">
        <v>136.6</v>
      </c>
      <c r="EK25" s="234">
        <v>140.19999999999999</v>
      </c>
      <c r="EL25" s="234" t="s">
        <v>693</v>
      </c>
      <c r="EM25" s="234" t="s">
        <v>694</v>
      </c>
      <c r="EN25" s="234" t="s">
        <v>695</v>
      </c>
      <c r="EO25" s="234" t="s">
        <v>696</v>
      </c>
      <c r="EP25" s="234" t="s">
        <v>376</v>
      </c>
      <c r="EQ25" s="234" t="s">
        <v>377</v>
      </c>
      <c r="ER25" s="234">
        <v>1</v>
      </c>
      <c r="ES25" s="249">
        <v>0.1052</v>
      </c>
      <c r="ET25" s="249">
        <v>2.6800000000000001E-2</v>
      </c>
      <c r="EU25" s="250">
        <v>1506.8</v>
      </c>
      <c r="EV25" s="234" t="s">
        <v>697</v>
      </c>
      <c r="EW25" s="250">
        <v>1530.3</v>
      </c>
      <c r="EX25" s="250">
        <v>862.5</v>
      </c>
      <c r="EY25" s="250">
        <v>998.9</v>
      </c>
      <c r="EZ25" s="250">
        <v>938.1</v>
      </c>
      <c r="FA25" s="250">
        <v>888.2</v>
      </c>
      <c r="FB25" s="250">
        <v>779.4</v>
      </c>
      <c r="FC25" s="250">
        <v>0</v>
      </c>
      <c r="FD25" s="249">
        <v>0.65400000000000003</v>
      </c>
      <c r="FE25" s="250">
        <v>0</v>
      </c>
      <c r="FF25" s="250">
        <v>855.5</v>
      </c>
    </row>
    <row r="26" spans="1:162">
      <c r="A26" s="234" t="s">
        <v>698</v>
      </c>
      <c r="B26" s="234" t="s">
        <v>699</v>
      </c>
      <c r="C26" s="246" t="s">
        <v>401</v>
      </c>
      <c r="D26" s="246" t="s">
        <v>362</v>
      </c>
      <c r="E26" s="246">
        <v>4210</v>
      </c>
      <c r="F26" s="246" t="s">
        <v>494</v>
      </c>
      <c r="G26" s="246" t="s">
        <v>494</v>
      </c>
      <c r="H26" s="246" t="s">
        <v>494</v>
      </c>
      <c r="I26" s="246">
        <v>0.66930000000000001</v>
      </c>
      <c r="J26" s="246">
        <v>1.0733999999999999</v>
      </c>
      <c r="K26" s="247">
        <v>5.1400000000000001E-2</v>
      </c>
      <c r="L26" s="247">
        <v>9.4700000000000006E-2</v>
      </c>
      <c r="M26" s="246" t="s">
        <v>384</v>
      </c>
      <c r="N26" s="247">
        <v>1.15E-2</v>
      </c>
      <c r="O26" s="247">
        <v>5.0999999999999997E-2</v>
      </c>
      <c r="P26" s="247">
        <v>3.5799999999999998E-2</v>
      </c>
      <c r="Q26" s="247">
        <v>6.7500000000000004E-2</v>
      </c>
      <c r="R26" s="247">
        <v>-7.3300000000000004E-2</v>
      </c>
      <c r="S26" s="247">
        <v>-5.8400000000000001E-2</v>
      </c>
      <c r="T26" s="248">
        <v>1037.3</v>
      </c>
      <c r="U26" s="248">
        <v>60.44</v>
      </c>
      <c r="V26" s="248">
        <v>830.9</v>
      </c>
      <c r="W26" s="248">
        <v>891.34</v>
      </c>
      <c r="X26" s="248">
        <v>1928.64</v>
      </c>
      <c r="Y26" s="248">
        <v>211.2</v>
      </c>
      <c r="Z26" s="248">
        <v>1717.44</v>
      </c>
      <c r="AA26" s="247">
        <v>0.1095</v>
      </c>
      <c r="AB26" s="246">
        <v>0.52</v>
      </c>
      <c r="AC26" s="247">
        <v>0.31890000000000002</v>
      </c>
      <c r="AD26" s="247">
        <v>0.4622</v>
      </c>
      <c r="AE26" s="247">
        <v>0.46829999999999999</v>
      </c>
      <c r="AF26" s="247">
        <v>0.85929999999999995</v>
      </c>
      <c r="AG26" s="248">
        <v>28.28</v>
      </c>
      <c r="AH26" s="246">
        <v>24.3</v>
      </c>
      <c r="AI26" s="247">
        <v>-1.2E-2</v>
      </c>
      <c r="AJ26" s="246">
        <v>0.35</v>
      </c>
      <c r="AK26" s="247">
        <v>7.7499999999999999E-2</v>
      </c>
      <c r="AL26" s="247">
        <v>0.17660000000000001</v>
      </c>
      <c r="AM26" s="246">
        <v>0.17</v>
      </c>
      <c r="AN26" s="233">
        <v>8.66</v>
      </c>
      <c r="AO26" s="246">
        <v>17.760000000000002</v>
      </c>
      <c r="AP26" s="246">
        <v>24.24</v>
      </c>
      <c r="AQ26" s="246">
        <v>14.99</v>
      </c>
      <c r="AR26" s="246">
        <v>14.21</v>
      </c>
      <c r="AS26" s="246" t="s">
        <v>384</v>
      </c>
      <c r="AT26" s="246">
        <v>0.55000000000000004</v>
      </c>
      <c r="AU26" s="246">
        <v>0.51</v>
      </c>
      <c r="AV26" s="246">
        <v>0.51</v>
      </c>
      <c r="AW26" s="246">
        <v>36.380000000000003</v>
      </c>
      <c r="AX26" s="246">
        <v>8.68</v>
      </c>
      <c r="AY26" s="246">
        <v>0.66</v>
      </c>
      <c r="AZ26" s="246">
        <v>0.85</v>
      </c>
      <c r="BA26" s="247">
        <v>0.44390000000000002</v>
      </c>
      <c r="BB26" s="247">
        <v>1.83E-2</v>
      </c>
      <c r="BC26" s="247">
        <v>8.4900000000000003E-2</v>
      </c>
      <c r="BD26" s="247">
        <v>-0.28399999999999997</v>
      </c>
      <c r="BE26" s="247">
        <v>-0.125</v>
      </c>
      <c r="BF26" s="247">
        <v>1.6299999999999999E-2</v>
      </c>
      <c r="BG26" s="247">
        <v>1.54E-2</v>
      </c>
      <c r="BH26" s="246" t="s">
        <v>384</v>
      </c>
      <c r="BI26" s="247">
        <v>3.4599999999999999E-2</v>
      </c>
      <c r="BJ26" s="247">
        <v>2.1299999999999999E-2</v>
      </c>
      <c r="BK26" s="247">
        <v>9.1000000000000004E-3</v>
      </c>
      <c r="BL26" s="246">
        <v>0.81</v>
      </c>
      <c r="BM26" s="247">
        <v>2.0500000000000001E-2</v>
      </c>
      <c r="BN26" s="247">
        <v>2.2599999999999999E-2</v>
      </c>
      <c r="BO26" s="247">
        <v>5.2400000000000002E-2</v>
      </c>
      <c r="BP26" s="247">
        <v>0.2974</v>
      </c>
      <c r="BQ26" s="247">
        <v>0.5</v>
      </c>
      <c r="BR26" s="247">
        <v>0.32079999999999997</v>
      </c>
      <c r="BS26" s="248">
        <v>58.4</v>
      </c>
      <c r="BT26" s="248">
        <v>42.8</v>
      </c>
      <c r="BU26" s="248">
        <v>43.9</v>
      </c>
      <c r="BV26" s="248">
        <v>47.21</v>
      </c>
      <c r="BW26" s="248">
        <v>109.5</v>
      </c>
      <c r="BX26" s="248">
        <v>2020</v>
      </c>
      <c r="BY26" s="248">
        <v>2089.8000000000002</v>
      </c>
      <c r="BZ26" s="248">
        <v>174.8</v>
      </c>
      <c r="CA26" s="248">
        <v>197.9</v>
      </c>
      <c r="CB26" s="248">
        <v>23.61</v>
      </c>
      <c r="CC26" s="248">
        <v>-128.9</v>
      </c>
      <c r="CD26" s="248">
        <v>-27.13</v>
      </c>
      <c r="CE26" s="248">
        <v>98</v>
      </c>
      <c r="CF26" s="247">
        <v>4.6899999999999997E-2</v>
      </c>
      <c r="CG26" s="248">
        <v>216.48</v>
      </c>
      <c r="CH26" s="247">
        <v>8.0213999999999999</v>
      </c>
      <c r="CI26" s="248">
        <v>-165.74</v>
      </c>
      <c r="CJ26" s="248">
        <v>-17.649999999999999</v>
      </c>
      <c r="CK26" s="248">
        <v>-146.55000000000001</v>
      </c>
      <c r="CL26" s="248">
        <v>2004.9</v>
      </c>
      <c r="CM26" s="248">
        <v>2587.64</v>
      </c>
      <c r="CN26" s="248">
        <v>1903.3</v>
      </c>
      <c r="CO26" s="248">
        <v>2583.44</v>
      </c>
      <c r="CP26" s="248">
        <v>-19</v>
      </c>
      <c r="CQ26" s="246">
        <v>0.11</v>
      </c>
      <c r="CR26" s="246">
        <v>0.22</v>
      </c>
      <c r="CS26" s="246">
        <v>0.43</v>
      </c>
      <c r="CT26" s="246">
        <v>0.37</v>
      </c>
      <c r="CU26" s="246">
        <v>0.32</v>
      </c>
      <c r="CV26" s="248">
        <v>139.94</v>
      </c>
      <c r="CW26" s="248">
        <v>113.96</v>
      </c>
      <c r="CX26" s="248">
        <v>-97.8</v>
      </c>
      <c r="CY26" s="248">
        <v>88.6</v>
      </c>
      <c r="CZ26" s="248">
        <v>45.6</v>
      </c>
      <c r="DA26" s="248">
        <v>42.8</v>
      </c>
      <c r="DB26" s="248">
        <v>1037.3</v>
      </c>
      <c r="DC26" s="248">
        <v>197.9</v>
      </c>
      <c r="DD26" s="248">
        <v>1717.44</v>
      </c>
      <c r="DE26" s="248">
        <v>-17.649999999999999</v>
      </c>
      <c r="DF26" s="248">
        <v>0</v>
      </c>
      <c r="DG26" s="248">
        <v>47.21</v>
      </c>
      <c r="DH26" s="248">
        <v>2583.44</v>
      </c>
      <c r="DI26" s="248">
        <v>174.8</v>
      </c>
      <c r="DJ26" s="247">
        <v>2.1299999999999999E-2</v>
      </c>
      <c r="DK26" s="247">
        <v>9.1000000000000004E-3</v>
      </c>
      <c r="DL26" s="246">
        <v>9.83</v>
      </c>
      <c r="DM26" s="246">
        <v>3.92</v>
      </c>
      <c r="DN26" s="246">
        <v>2326.9</v>
      </c>
      <c r="DO26" s="246">
        <v>139.94</v>
      </c>
      <c r="DP26" s="247">
        <v>5.7000000000000002E-2</v>
      </c>
      <c r="DQ26" s="246" t="s">
        <v>700</v>
      </c>
      <c r="DR26" s="246" t="s">
        <v>701</v>
      </c>
      <c r="DS26" s="246" t="s">
        <v>702</v>
      </c>
      <c r="DT26" s="246" t="e">
        <v>#REF!</v>
      </c>
      <c r="DU26" s="246" t="s">
        <v>388</v>
      </c>
      <c r="DV26" s="246" t="s">
        <v>703</v>
      </c>
      <c r="DW26" s="246" t="s">
        <v>704</v>
      </c>
      <c r="DX26" s="246" t="s">
        <v>705</v>
      </c>
      <c r="DY26" s="246" t="s">
        <v>706</v>
      </c>
      <c r="DZ26" s="246">
        <v>72</v>
      </c>
      <c r="EA26" s="247">
        <v>1.9300000000000001E-2</v>
      </c>
      <c r="EB26" s="247">
        <v>-0.1026</v>
      </c>
      <c r="EC26" s="247">
        <v>6.4600000000000005E-2</v>
      </c>
      <c r="ED26" s="247">
        <v>0.1338</v>
      </c>
      <c r="EE26" s="247">
        <v>0.104</v>
      </c>
      <c r="EF26" s="247">
        <v>-1.54E-2</v>
      </c>
      <c r="EG26" s="247">
        <v>2.1999999999999999E-2</v>
      </c>
      <c r="EH26" s="247">
        <v>2.3E-2</v>
      </c>
      <c r="EI26" s="246" t="s">
        <v>700</v>
      </c>
      <c r="EJ26" s="234">
        <v>43.9</v>
      </c>
      <c r="EK26" s="234">
        <v>46.7</v>
      </c>
      <c r="EL26" s="234" t="s">
        <v>707</v>
      </c>
      <c r="EM26" s="234" t="s">
        <v>708</v>
      </c>
      <c r="EN26" s="234" t="s">
        <v>709</v>
      </c>
      <c r="EO26" s="234" t="s">
        <v>710</v>
      </c>
      <c r="EP26" s="234" t="s">
        <v>711</v>
      </c>
      <c r="EQ26" s="234" t="s">
        <v>712</v>
      </c>
      <c r="ER26" s="234">
        <v>1</v>
      </c>
      <c r="ES26" s="249">
        <v>-5.4800000000000001E-2</v>
      </c>
      <c r="ET26" s="249">
        <v>5.3E-3</v>
      </c>
      <c r="EU26" s="250">
        <v>2089.8000000000002</v>
      </c>
      <c r="EV26" s="234" t="s">
        <v>711</v>
      </c>
      <c r="EW26" s="250">
        <v>1388.5</v>
      </c>
      <c r="EX26" s="250">
        <v>1379.6</v>
      </c>
      <c r="EY26" s="250">
        <v>824.4</v>
      </c>
      <c r="EZ26" s="250">
        <v>1164.3</v>
      </c>
      <c r="FA26" s="250">
        <v>939.6</v>
      </c>
      <c r="FB26" s="250">
        <v>956.1</v>
      </c>
      <c r="FC26" s="250">
        <v>102.7</v>
      </c>
      <c r="FD26" s="249">
        <v>0</v>
      </c>
      <c r="FE26" s="250">
        <v>0</v>
      </c>
      <c r="FF26" s="250">
        <v>0</v>
      </c>
    </row>
    <row r="27" spans="1:162">
      <c r="A27" s="234" t="s">
        <v>713</v>
      </c>
      <c r="B27" s="234" t="s">
        <v>714</v>
      </c>
      <c r="C27" s="246" t="s">
        <v>401</v>
      </c>
      <c r="D27" s="246" t="s">
        <v>362</v>
      </c>
      <c r="E27" s="246">
        <v>4210</v>
      </c>
      <c r="F27" s="246" t="s">
        <v>494</v>
      </c>
      <c r="G27" s="246" t="s">
        <v>494</v>
      </c>
      <c r="H27" s="246" t="s">
        <v>494</v>
      </c>
      <c r="I27" s="246">
        <v>0.66930000000000001</v>
      </c>
      <c r="J27" s="246">
        <v>0.77529999999999999</v>
      </c>
      <c r="K27" s="247">
        <v>5.1400000000000001E-2</v>
      </c>
      <c r="L27" s="247">
        <v>7.9399999999999998E-2</v>
      </c>
      <c r="M27" s="246" t="s">
        <v>384</v>
      </c>
      <c r="N27" s="247">
        <v>1.15E-2</v>
      </c>
      <c r="O27" s="247">
        <v>5.0999999999999997E-2</v>
      </c>
      <c r="P27" s="247">
        <v>3.5799999999999998E-2</v>
      </c>
      <c r="Q27" s="247">
        <v>7.1300000000000002E-2</v>
      </c>
      <c r="R27" s="247">
        <v>-5.7999999999999996E-3</v>
      </c>
      <c r="S27" s="247">
        <v>-2.9999999999999997E-4</v>
      </c>
      <c r="T27" s="248">
        <v>1021.4</v>
      </c>
      <c r="U27" s="248">
        <v>38.479999999999997</v>
      </c>
      <c r="V27" s="248">
        <v>191.8</v>
      </c>
      <c r="W27" s="248">
        <v>230.28</v>
      </c>
      <c r="X27" s="248">
        <v>1251.68</v>
      </c>
      <c r="Y27" s="248">
        <v>118.8</v>
      </c>
      <c r="Z27" s="248">
        <v>1132.8800000000001</v>
      </c>
      <c r="AA27" s="247">
        <v>9.4899999999999998E-2</v>
      </c>
      <c r="AB27" s="246">
        <v>0.36</v>
      </c>
      <c r="AC27" s="247">
        <v>0.19700000000000001</v>
      </c>
      <c r="AD27" s="247">
        <v>0.184</v>
      </c>
      <c r="AE27" s="247">
        <v>0.24529999999999999</v>
      </c>
      <c r="AF27" s="247">
        <v>0.22550000000000001</v>
      </c>
      <c r="AG27" s="248">
        <v>52.47</v>
      </c>
      <c r="AH27" s="246">
        <v>24.3</v>
      </c>
      <c r="AI27" s="247">
        <v>0.14199999999999999</v>
      </c>
      <c r="AJ27" s="246">
        <v>1.01</v>
      </c>
      <c r="AK27" s="247">
        <v>0.26269999999999999</v>
      </c>
      <c r="AL27" s="247">
        <v>0.22700000000000001</v>
      </c>
      <c r="AM27" s="246">
        <v>0.23</v>
      </c>
      <c r="AN27" s="233">
        <v>51.39</v>
      </c>
      <c r="AO27" s="246">
        <v>15.59</v>
      </c>
      <c r="AP27" s="246">
        <v>15.29</v>
      </c>
      <c r="AQ27" s="246">
        <v>11.97</v>
      </c>
      <c r="AR27" s="246">
        <v>13.42</v>
      </c>
      <c r="AS27" s="246" t="s">
        <v>384</v>
      </c>
      <c r="AT27" s="246">
        <v>1.0900000000000001</v>
      </c>
      <c r="AU27" s="246">
        <v>0.93</v>
      </c>
      <c r="AV27" s="246">
        <v>1.06</v>
      </c>
      <c r="AW27" s="246">
        <v>10.210000000000001</v>
      </c>
      <c r="AX27" s="246">
        <v>7.46</v>
      </c>
      <c r="AY27" s="246">
        <v>1.08</v>
      </c>
      <c r="AZ27" s="246">
        <v>1.17</v>
      </c>
      <c r="BA27" s="247">
        <v>0.3458</v>
      </c>
      <c r="BB27" s="247">
        <v>2.2599999999999999E-2</v>
      </c>
      <c r="BC27" s="247">
        <v>0.28699999999999998</v>
      </c>
      <c r="BD27" s="247">
        <v>1.5800000000000002E-2</v>
      </c>
      <c r="BE27" s="247">
        <v>0.1</v>
      </c>
      <c r="BF27" s="247">
        <v>1.0500000000000001E-2</v>
      </c>
      <c r="BG27" s="247">
        <v>4.0099999999999997E-2</v>
      </c>
      <c r="BH27" s="246" t="s">
        <v>384</v>
      </c>
      <c r="BI27" s="247">
        <v>4.4600000000000001E-2</v>
      </c>
      <c r="BJ27" s="247">
        <v>7.3499999999999996E-2</v>
      </c>
      <c r="BK27" s="247">
        <v>7.1099999999999997E-2</v>
      </c>
      <c r="BL27" s="246">
        <v>0.98</v>
      </c>
      <c r="BM27" s="247">
        <v>6.7900000000000002E-2</v>
      </c>
      <c r="BN27" s="247">
        <v>0.1128</v>
      </c>
      <c r="BO27" s="247">
        <v>0.13869999999999999</v>
      </c>
      <c r="BP27" s="247">
        <v>0.2974</v>
      </c>
      <c r="BQ27" s="247">
        <v>0.3579</v>
      </c>
      <c r="BR27" s="247">
        <v>0.35499999999999998</v>
      </c>
      <c r="BS27" s="248">
        <v>65.5</v>
      </c>
      <c r="BT27" s="248">
        <v>66.8</v>
      </c>
      <c r="BU27" s="248">
        <v>103.3</v>
      </c>
      <c r="BV27" s="248">
        <v>111</v>
      </c>
      <c r="BW27" s="248">
        <v>136.4</v>
      </c>
      <c r="BX27" s="248">
        <v>965.4</v>
      </c>
      <c r="BY27" s="248">
        <v>983.7</v>
      </c>
      <c r="BZ27" s="248">
        <v>132</v>
      </c>
      <c r="CA27" s="248">
        <v>151.9</v>
      </c>
      <c r="CB27" s="248">
        <v>71.28</v>
      </c>
      <c r="CC27" s="248">
        <v>2.5</v>
      </c>
      <c r="CD27" s="248">
        <v>0.59</v>
      </c>
      <c r="CE27" s="248">
        <v>116.26</v>
      </c>
      <c r="CF27" s="247">
        <v>0.1182</v>
      </c>
      <c r="CG27" s="248">
        <v>58.91</v>
      </c>
      <c r="CH27" s="247">
        <v>0.83479999999999999</v>
      </c>
      <c r="CI27" s="248">
        <v>11.77</v>
      </c>
      <c r="CJ27" s="248">
        <v>4.8</v>
      </c>
      <c r="CK27" s="248">
        <v>7.3</v>
      </c>
      <c r="CL27" s="248">
        <v>908.4</v>
      </c>
      <c r="CM27" s="248">
        <v>1002.81</v>
      </c>
      <c r="CN27" s="248">
        <v>938.8</v>
      </c>
      <c r="CO27" s="248">
        <v>1050.28</v>
      </c>
      <c r="CP27" s="248">
        <v>-23.1</v>
      </c>
      <c r="CQ27" s="246">
        <v>0.5</v>
      </c>
      <c r="CR27" s="246">
        <v>0.3</v>
      </c>
      <c r="CS27" s="246">
        <v>0.43</v>
      </c>
      <c r="CT27" s="246">
        <v>0.28999999999999998</v>
      </c>
      <c r="CU27" s="246">
        <v>0.28999999999999998</v>
      </c>
      <c r="CV27" s="248">
        <v>75.55</v>
      </c>
      <c r="CW27" s="248">
        <v>56.59</v>
      </c>
      <c r="CX27" s="248">
        <v>-44.4</v>
      </c>
      <c r="CY27" s="248">
        <v>105.9</v>
      </c>
      <c r="CZ27" s="248">
        <v>37.9</v>
      </c>
      <c r="DA27" s="248">
        <v>66.8</v>
      </c>
      <c r="DB27" s="248">
        <v>1021.4</v>
      </c>
      <c r="DC27" s="248">
        <v>151.9</v>
      </c>
      <c r="DD27" s="248">
        <v>1132.8800000000001</v>
      </c>
      <c r="DE27" s="248">
        <v>4.8</v>
      </c>
      <c r="DF27" s="248">
        <v>0</v>
      </c>
      <c r="DG27" s="248">
        <v>111</v>
      </c>
      <c r="DH27" s="248">
        <v>1050.28</v>
      </c>
      <c r="DI27" s="248">
        <v>132</v>
      </c>
      <c r="DJ27" s="247">
        <v>7.3499999999999996E-2</v>
      </c>
      <c r="DK27" s="247">
        <v>7.1099999999999997E-2</v>
      </c>
      <c r="DL27" s="246">
        <v>8.58</v>
      </c>
      <c r="DM27" s="246">
        <v>2.13</v>
      </c>
      <c r="DN27" s="246">
        <v>706.4</v>
      </c>
      <c r="DO27" s="246">
        <v>75.55</v>
      </c>
      <c r="DP27" s="247">
        <v>8.5999999999999993E-2</v>
      </c>
      <c r="DQ27" s="246" t="s">
        <v>715</v>
      </c>
      <c r="DR27" s="246" t="s">
        <v>716</v>
      </c>
      <c r="DS27" s="246" t="s">
        <v>717</v>
      </c>
      <c r="DT27" s="246" t="e">
        <v>#REF!</v>
      </c>
      <c r="DU27" s="246" t="s">
        <v>388</v>
      </c>
      <c r="DV27" s="246" t="s">
        <v>718</v>
      </c>
      <c r="DW27" s="246" t="s">
        <v>719</v>
      </c>
      <c r="DX27" s="246" t="s">
        <v>720</v>
      </c>
      <c r="DY27" s="246" t="s">
        <v>721</v>
      </c>
      <c r="DZ27" s="246">
        <v>89</v>
      </c>
      <c r="EA27" s="247">
        <v>2.2499999999999999E-2</v>
      </c>
      <c r="EB27" s="247">
        <v>0.19239999999999999</v>
      </c>
      <c r="EC27" s="247">
        <v>-3.4799999999999998E-2</v>
      </c>
      <c r="ED27" s="247">
        <v>0.11409999999999999</v>
      </c>
      <c r="EE27" s="247">
        <v>0.311</v>
      </c>
      <c r="EF27" s="247">
        <v>-2.3E-2</v>
      </c>
      <c r="EG27" s="247">
        <v>0.1032</v>
      </c>
      <c r="EH27" s="247">
        <v>0.113</v>
      </c>
      <c r="EI27" s="246" t="s">
        <v>715</v>
      </c>
      <c r="EJ27" s="234">
        <v>103.3</v>
      </c>
      <c r="EK27" s="234">
        <v>103.9</v>
      </c>
      <c r="EL27" s="234" t="s">
        <v>722</v>
      </c>
      <c r="EM27" s="234" t="s">
        <v>723</v>
      </c>
      <c r="EN27" s="234" t="s">
        <v>724</v>
      </c>
      <c r="EO27" s="234" t="s">
        <v>725</v>
      </c>
      <c r="EP27" s="234" t="s">
        <v>376</v>
      </c>
      <c r="EQ27" s="234" t="s">
        <v>377</v>
      </c>
      <c r="ER27" s="234">
        <v>1</v>
      </c>
      <c r="ES27" s="249">
        <v>-3.1899999999999998E-2</v>
      </c>
      <c r="ET27" s="249">
        <v>1.66E-2</v>
      </c>
      <c r="EU27" s="250">
        <v>983.7</v>
      </c>
      <c r="EV27" s="234" t="s">
        <v>726</v>
      </c>
      <c r="EW27" s="250">
        <v>349.4</v>
      </c>
      <c r="EX27" s="250">
        <v>563.6</v>
      </c>
      <c r="EY27" s="250">
        <v>466.8</v>
      </c>
      <c r="EZ27" s="250">
        <v>562.79999999999995</v>
      </c>
      <c r="FA27" s="250">
        <v>779.1</v>
      </c>
      <c r="FB27" s="250">
        <v>793.6</v>
      </c>
      <c r="FC27" s="250">
        <v>79.099999999999994</v>
      </c>
      <c r="FD27" s="249">
        <v>3.5099999999999999E-2</v>
      </c>
      <c r="FE27" s="250">
        <v>0</v>
      </c>
      <c r="FF27" s="250">
        <v>6.76</v>
      </c>
    </row>
    <row r="28" spans="1:162">
      <c r="A28" s="234" t="s">
        <v>727</v>
      </c>
      <c r="B28" s="234" t="s">
        <v>728</v>
      </c>
      <c r="C28" s="246" t="s">
        <v>729</v>
      </c>
      <c r="D28" s="246" t="s">
        <v>362</v>
      </c>
      <c r="E28" s="246">
        <v>4210</v>
      </c>
      <c r="F28" s="246" t="s">
        <v>730</v>
      </c>
      <c r="G28" s="246" t="s">
        <v>417</v>
      </c>
      <c r="H28" s="246" t="s">
        <v>418</v>
      </c>
      <c r="I28" s="246">
        <v>0.78710000000000002</v>
      </c>
      <c r="J28" s="246">
        <v>0.88560000000000005</v>
      </c>
      <c r="K28" s="247">
        <v>5.0099999999999999E-2</v>
      </c>
      <c r="L28" s="247">
        <v>8.3900000000000002E-2</v>
      </c>
      <c r="M28" s="246" t="s">
        <v>384</v>
      </c>
      <c r="N28" s="247">
        <v>1.06E-2</v>
      </c>
      <c r="O28" s="247">
        <v>5.0099999999999999E-2</v>
      </c>
      <c r="P28" s="247">
        <v>4.0099999999999997E-2</v>
      </c>
      <c r="Q28" s="247">
        <v>7.7899999999999997E-2</v>
      </c>
      <c r="R28" s="247">
        <v>1.37E-2</v>
      </c>
      <c r="S28" s="247">
        <v>-1.41E-2</v>
      </c>
      <c r="T28" s="248">
        <v>980.4</v>
      </c>
      <c r="U28" s="248">
        <v>0</v>
      </c>
      <c r="V28" s="248">
        <v>153.30000000000001</v>
      </c>
      <c r="W28" s="248">
        <v>153.30000000000001</v>
      </c>
      <c r="X28" s="248">
        <v>1133.7</v>
      </c>
      <c r="Y28" s="248">
        <v>280.7</v>
      </c>
      <c r="Z28" s="248">
        <v>853</v>
      </c>
      <c r="AA28" s="247">
        <v>0.24759999999999999</v>
      </c>
      <c r="AB28" s="246">
        <v>0.53</v>
      </c>
      <c r="AC28" s="247">
        <v>0.13500000000000001</v>
      </c>
      <c r="AD28" s="247">
        <v>0.13519999999999999</v>
      </c>
      <c r="AE28" s="247">
        <v>0.15609999999999999</v>
      </c>
      <c r="AF28" s="247">
        <v>0.15640000000000001</v>
      </c>
      <c r="AG28" s="248">
        <v>1.84</v>
      </c>
      <c r="AH28" s="246">
        <v>69.06</v>
      </c>
      <c r="AI28" s="247">
        <v>-3.1E-2</v>
      </c>
      <c r="AJ28" s="246">
        <v>0.94</v>
      </c>
      <c r="AK28" s="247">
        <v>0.2</v>
      </c>
      <c r="AL28" s="247">
        <v>0.2424</v>
      </c>
      <c r="AM28" s="246">
        <v>0.2</v>
      </c>
      <c r="AN28" s="233">
        <v>21.1</v>
      </c>
      <c r="AO28" s="246">
        <v>11.57</v>
      </c>
      <c r="AP28" s="246">
        <v>9.39</v>
      </c>
      <c r="AQ28" s="246">
        <v>11.22</v>
      </c>
      <c r="AR28" s="246" t="s">
        <v>384</v>
      </c>
      <c r="AS28" s="246" t="s">
        <v>384</v>
      </c>
      <c r="AT28" s="246">
        <v>1</v>
      </c>
      <c r="AU28" s="246">
        <v>0.87</v>
      </c>
      <c r="AV28" s="246">
        <v>1.51</v>
      </c>
      <c r="AW28" s="246">
        <v>10.87</v>
      </c>
      <c r="AX28" s="246">
        <v>8.91</v>
      </c>
      <c r="AY28" s="246">
        <v>1</v>
      </c>
      <c r="AZ28" s="246">
        <v>1.32</v>
      </c>
      <c r="BA28" s="247">
        <v>0.43580000000000002</v>
      </c>
      <c r="BB28" s="247">
        <v>4.6399999999999997E-2</v>
      </c>
      <c r="BC28" s="247">
        <v>3.2000000000000001E-2</v>
      </c>
      <c r="BD28" s="247">
        <v>-1.55E-2</v>
      </c>
      <c r="BE28" s="247">
        <v>0.32900000000000001</v>
      </c>
      <c r="BF28" s="247">
        <v>8.6999999999999994E-3</v>
      </c>
      <c r="BG28" s="247">
        <v>0.20300000000000001</v>
      </c>
      <c r="BH28" s="246" t="s">
        <v>384</v>
      </c>
      <c r="BI28" s="246" t="s">
        <v>384</v>
      </c>
      <c r="BJ28" s="247">
        <v>9.7600000000000006E-2</v>
      </c>
      <c r="BK28" s="247">
        <v>6.3899999999999998E-2</v>
      </c>
      <c r="BL28" s="246">
        <v>0.6</v>
      </c>
      <c r="BM28" s="247">
        <v>0.1762</v>
      </c>
      <c r="BN28" s="247">
        <v>0.13250000000000001</v>
      </c>
      <c r="BO28" s="247">
        <v>0.22159999999999999</v>
      </c>
      <c r="BP28" s="247">
        <v>0.2</v>
      </c>
      <c r="BQ28" s="247">
        <v>0.19500000000000001</v>
      </c>
      <c r="BR28" s="247">
        <v>5.5899999999999998E-2</v>
      </c>
      <c r="BS28" s="248">
        <v>84.7</v>
      </c>
      <c r="BT28" s="248">
        <v>104.4</v>
      </c>
      <c r="BU28" s="248">
        <v>78.5</v>
      </c>
      <c r="BV28" s="248">
        <v>78.5</v>
      </c>
      <c r="BW28" s="248">
        <v>131.30000000000001</v>
      </c>
      <c r="BX28" s="248">
        <v>648.20000000000005</v>
      </c>
      <c r="BY28" s="248">
        <v>592.6</v>
      </c>
      <c r="BZ28" s="248">
        <v>110.5</v>
      </c>
      <c r="CA28" s="248">
        <v>95.7</v>
      </c>
      <c r="CB28" s="248">
        <v>63.19</v>
      </c>
      <c r="CC28" s="248">
        <v>17.309999999999999</v>
      </c>
      <c r="CD28" s="248">
        <v>-56.05</v>
      </c>
      <c r="CE28" s="248">
        <v>-122.19</v>
      </c>
      <c r="CF28" s="247">
        <v>-0.20619999999999999</v>
      </c>
      <c r="CG28" s="248">
        <v>17.8</v>
      </c>
      <c r="CH28" s="247">
        <v>-0.60529999999999995</v>
      </c>
      <c r="CI28" s="248">
        <v>101.44</v>
      </c>
      <c r="CJ28" s="248">
        <v>125.34</v>
      </c>
      <c r="CK28" s="248">
        <v>142.65</v>
      </c>
      <c r="CL28" s="248">
        <v>1069.7</v>
      </c>
      <c r="CM28" s="248">
        <v>989.2</v>
      </c>
      <c r="CN28" s="248">
        <v>982.1</v>
      </c>
      <c r="CO28" s="248">
        <v>854.7</v>
      </c>
      <c r="CP28" s="248">
        <v>-45.5</v>
      </c>
      <c r="CQ28" s="246">
        <v>0.4</v>
      </c>
      <c r="CR28" s="246">
        <v>0.38</v>
      </c>
      <c r="CS28" s="246">
        <v>0.42</v>
      </c>
      <c r="CT28" s="246">
        <v>0.61</v>
      </c>
      <c r="CU28" s="246">
        <v>0.68</v>
      </c>
      <c r="CV28" s="248">
        <v>48.34</v>
      </c>
      <c r="CW28" s="248">
        <v>44.78</v>
      </c>
      <c r="CX28" s="248">
        <v>-45.5</v>
      </c>
      <c r="CY28" s="248">
        <v>132.80000000000001</v>
      </c>
      <c r="CZ28" s="248">
        <v>25.9</v>
      </c>
      <c r="DA28" s="248">
        <v>104.4</v>
      </c>
      <c r="DB28" s="248">
        <v>980.4</v>
      </c>
      <c r="DC28" s="248">
        <v>95.7</v>
      </c>
      <c r="DD28" s="248">
        <v>853</v>
      </c>
      <c r="DE28" s="248">
        <v>125.34</v>
      </c>
      <c r="DF28" s="248">
        <v>0</v>
      </c>
      <c r="DG28" s="248">
        <v>78.5</v>
      </c>
      <c r="DH28" s="248">
        <v>854.7</v>
      </c>
      <c r="DI28" s="248">
        <v>110.5</v>
      </c>
      <c r="DJ28" s="247">
        <v>9.7600000000000006E-2</v>
      </c>
      <c r="DK28" s="247">
        <v>6.3899999999999998E-2</v>
      </c>
      <c r="DL28" s="246">
        <v>7.72</v>
      </c>
      <c r="DM28" s="246">
        <v>17.2</v>
      </c>
      <c r="DN28" s="246">
        <v>776.7</v>
      </c>
      <c r="DO28" s="246">
        <v>48.34</v>
      </c>
      <c r="DP28" s="247">
        <v>5.9299999999999999E-2</v>
      </c>
      <c r="DQ28" s="248">
        <v>-10</v>
      </c>
      <c r="DR28" s="246" t="s">
        <v>731</v>
      </c>
      <c r="DS28" s="246" t="s">
        <v>732</v>
      </c>
      <c r="DT28" s="246" t="e">
        <v>#REF!</v>
      </c>
      <c r="DU28" s="246" t="s">
        <v>388</v>
      </c>
      <c r="DV28" s="246" t="s">
        <v>733</v>
      </c>
      <c r="DW28" s="246" t="s">
        <v>734</v>
      </c>
      <c r="DX28" s="246" t="s">
        <v>735</v>
      </c>
      <c r="DY28" s="246" t="s">
        <v>736</v>
      </c>
      <c r="DZ28" s="246">
        <v>47</v>
      </c>
      <c r="EA28" s="247">
        <v>-3.8E-3</v>
      </c>
      <c r="EB28" s="247">
        <v>0.21890000000000001</v>
      </c>
      <c r="EC28" s="246" t="s">
        <v>384</v>
      </c>
      <c r="ED28" s="246" t="s">
        <v>384</v>
      </c>
      <c r="EE28" s="247">
        <v>-3.6299999999999999E-2</v>
      </c>
      <c r="EF28" s="247">
        <v>-0.14929999999999999</v>
      </c>
      <c r="EG28" s="247">
        <v>0.13020000000000001</v>
      </c>
      <c r="EH28" s="247">
        <v>0.13200000000000001</v>
      </c>
      <c r="EI28" s="248">
        <v>-10</v>
      </c>
      <c r="EJ28" s="234">
        <v>78.5</v>
      </c>
      <c r="EK28" s="234">
        <v>90.7</v>
      </c>
      <c r="EL28" s="234" t="s">
        <v>737</v>
      </c>
      <c r="EM28" s="234" t="s">
        <v>738</v>
      </c>
      <c r="EN28" s="234" t="s">
        <v>739</v>
      </c>
      <c r="EO28" s="234" t="s">
        <v>377</v>
      </c>
      <c r="EP28" s="234" t="s">
        <v>376</v>
      </c>
      <c r="EQ28" s="234" t="s">
        <v>377</v>
      </c>
      <c r="ER28" s="234">
        <v>1</v>
      </c>
      <c r="ES28" s="249">
        <v>0.1903</v>
      </c>
      <c r="ET28" s="234" t="s">
        <v>384</v>
      </c>
      <c r="EU28" s="250">
        <v>592.6</v>
      </c>
      <c r="EV28" s="234" t="s">
        <v>491</v>
      </c>
      <c r="EW28" s="250">
        <v>421.5</v>
      </c>
      <c r="EX28" s="250">
        <v>1127.3</v>
      </c>
      <c r="EY28" s="250">
        <v>965.7</v>
      </c>
      <c r="EZ28" s="250">
        <v>1104.0999999999999</v>
      </c>
      <c r="FA28" s="250">
        <v>1017.3</v>
      </c>
      <c r="FB28" s="250">
        <v>950</v>
      </c>
      <c r="FC28" s="250">
        <v>8.52</v>
      </c>
      <c r="FD28" s="249">
        <v>0</v>
      </c>
      <c r="FE28" s="250">
        <v>21.7</v>
      </c>
      <c r="FF28" s="250">
        <v>8.52</v>
      </c>
    </row>
    <row r="29" spans="1:162">
      <c r="A29" s="234" t="s">
        <v>740</v>
      </c>
      <c r="B29" s="234" t="s">
        <v>741</v>
      </c>
      <c r="C29" s="246" t="s">
        <v>361</v>
      </c>
      <c r="D29" s="246" t="s">
        <v>362</v>
      </c>
      <c r="E29" s="246">
        <v>4210</v>
      </c>
      <c r="F29" s="246" t="s">
        <v>642</v>
      </c>
      <c r="G29" s="246" t="s">
        <v>417</v>
      </c>
      <c r="H29" s="246" t="s">
        <v>642</v>
      </c>
      <c r="I29" s="246">
        <v>0.74739999999999995</v>
      </c>
      <c r="J29" s="246">
        <v>0.76359999999999995</v>
      </c>
      <c r="K29" s="247">
        <v>7.0800000000000002E-2</v>
      </c>
      <c r="L29" s="247">
        <v>9.3600000000000003E-2</v>
      </c>
      <c r="M29" s="246" t="s">
        <v>384</v>
      </c>
      <c r="N29" s="247">
        <v>2.76E-2</v>
      </c>
      <c r="O29" s="247">
        <v>6.7100000000000007E-2</v>
      </c>
      <c r="P29" s="247">
        <v>4.7E-2</v>
      </c>
      <c r="Q29" s="247">
        <v>9.2200000000000004E-2</v>
      </c>
      <c r="R29" s="247">
        <v>0.1116</v>
      </c>
      <c r="S29" s="247">
        <v>6.0600000000000001E-2</v>
      </c>
      <c r="T29" s="248">
        <v>920.5</v>
      </c>
      <c r="U29" s="248">
        <v>0</v>
      </c>
      <c r="V29" s="248">
        <v>28.5</v>
      </c>
      <c r="W29" s="248">
        <v>28.5</v>
      </c>
      <c r="X29" s="248">
        <v>949</v>
      </c>
      <c r="Y29" s="248">
        <v>8.92</v>
      </c>
      <c r="Z29" s="248">
        <v>940.08</v>
      </c>
      <c r="AA29" s="247">
        <v>9.4000000000000004E-3</v>
      </c>
      <c r="AB29" s="246">
        <v>0.09</v>
      </c>
      <c r="AC29" s="247">
        <v>9.4399999999999998E-2</v>
      </c>
      <c r="AD29" s="247">
        <v>0.03</v>
      </c>
      <c r="AE29" s="247">
        <v>0.1043</v>
      </c>
      <c r="AF29" s="247">
        <v>3.1E-2</v>
      </c>
      <c r="AG29" s="248">
        <v>12.07</v>
      </c>
      <c r="AH29" s="246">
        <v>69.06</v>
      </c>
      <c r="AI29" s="247">
        <v>0.24379999999999999</v>
      </c>
      <c r="AJ29" s="246">
        <v>0.86</v>
      </c>
      <c r="AK29" s="247">
        <v>0.2258</v>
      </c>
      <c r="AL29" s="247">
        <v>0.2954</v>
      </c>
      <c r="AM29" s="246">
        <v>0.19</v>
      </c>
      <c r="AN29" s="233">
        <v>16.98</v>
      </c>
      <c r="AO29" s="246">
        <v>19.059999999999999</v>
      </c>
      <c r="AP29" s="246">
        <v>18.82</v>
      </c>
      <c r="AQ29" s="246">
        <v>20.71</v>
      </c>
      <c r="AR29" s="246">
        <v>19.41</v>
      </c>
      <c r="AS29" s="246">
        <v>1.59</v>
      </c>
      <c r="AT29" s="246">
        <v>3.37</v>
      </c>
      <c r="AU29" s="246">
        <v>4.08</v>
      </c>
      <c r="AV29" s="246">
        <v>1.75</v>
      </c>
      <c r="AW29" s="246">
        <v>21.71</v>
      </c>
      <c r="AX29" s="246">
        <v>16.940000000000001</v>
      </c>
      <c r="AY29" s="246">
        <v>3.21</v>
      </c>
      <c r="AZ29" s="246">
        <v>1.78</v>
      </c>
      <c r="BA29" s="247">
        <v>0.1409</v>
      </c>
      <c r="BB29" s="247">
        <v>7.4999999999999997E-3</v>
      </c>
      <c r="BC29" s="247">
        <v>-5.0099999999999999E-2</v>
      </c>
      <c r="BD29" s="247">
        <v>0.11</v>
      </c>
      <c r="BE29" s="247">
        <v>0.314</v>
      </c>
      <c r="BF29" s="247">
        <v>9.2600000000000002E-2</v>
      </c>
      <c r="BG29" s="247">
        <v>0.13500000000000001</v>
      </c>
      <c r="BH29" s="247">
        <v>0.12</v>
      </c>
      <c r="BI29" s="247">
        <v>9.8299999999999998E-2</v>
      </c>
      <c r="BJ29" s="247">
        <v>0.2051</v>
      </c>
      <c r="BK29" s="247">
        <v>0.1527</v>
      </c>
      <c r="BL29" s="246">
        <v>2.0499999999999998</v>
      </c>
      <c r="BM29" s="247">
        <v>9.2799999999999994E-2</v>
      </c>
      <c r="BN29" s="247">
        <v>8.2199999999999995E-2</v>
      </c>
      <c r="BO29" s="247">
        <v>0.13550000000000001</v>
      </c>
      <c r="BP29" s="247">
        <v>0.3</v>
      </c>
      <c r="BQ29" s="247">
        <v>9.2399999999999996E-2</v>
      </c>
      <c r="BR29" s="247">
        <v>0.12820000000000001</v>
      </c>
      <c r="BS29" s="248">
        <v>48.3</v>
      </c>
      <c r="BT29" s="248">
        <v>48.9</v>
      </c>
      <c r="BU29" s="248">
        <v>43.3</v>
      </c>
      <c r="BV29" s="248">
        <v>43.3</v>
      </c>
      <c r="BW29" s="248">
        <v>71.400000000000006</v>
      </c>
      <c r="BX29" s="248">
        <v>527</v>
      </c>
      <c r="BY29" s="248">
        <v>527</v>
      </c>
      <c r="BZ29" s="248">
        <v>54.5</v>
      </c>
      <c r="CA29" s="248">
        <v>55.5</v>
      </c>
      <c r="CB29" s="248">
        <v>39.299999999999997</v>
      </c>
      <c r="CC29" s="248">
        <v>1.73</v>
      </c>
      <c r="CD29" s="248">
        <v>1.59</v>
      </c>
      <c r="CE29" s="248">
        <v>84.92</v>
      </c>
      <c r="CF29" s="247">
        <v>0.16109999999999999</v>
      </c>
      <c r="CG29" s="248">
        <v>36.200000000000003</v>
      </c>
      <c r="CH29" s="247">
        <v>0.9617</v>
      </c>
      <c r="CI29" s="248">
        <v>1.51</v>
      </c>
      <c r="CJ29" s="248">
        <v>9.3800000000000008</v>
      </c>
      <c r="CK29" s="248">
        <v>11.11</v>
      </c>
      <c r="CL29" s="248">
        <v>238.4</v>
      </c>
      <c r="CM29" s="248">
        <v>257.31</v>
      </c>
      <c r="CN29" s="248">
        <v>273.3</v>
      </c>
      <c r="CO29" s="248">
        <v>292.88</v>
      </c>
      <c r="CP29" s="248">
        <v>-6.89</v>
      </c>
      <c r="CQ29" s="246">
        <v>0.56000000000000005</v>
      </c>
      <c r="CR29" s="246">
        <v>-0.03</v>
      </c>
      <c r="CS29" s="246">
        <v>0.42</v>
      </c>
      <c r="CT29" s="246" t="s">
        <v>384</v>
      </c>
      <c r="CU29" s="246" t="s">
        <v>384</v>
      </c>
      <c r="CV29" s="246" t="s">
        <v>384</v>
      </c>
      <c r="CW29" s="246" t="s">
        <v>384</v>
      </c>
      <c r="CX29" s="248">
        <v>-6.89</v>
      </c>
      <c r="CY29" s="248">
        <v>54.3</v>
      </c>
      <c r="CZ29" s="248">
        <v>5.0199999999999996</v>
      </c>
      <c r="DA29" s="248">
        <v>48.9</v>
      </c>
      <c r="DB29" s="248">
        <v>920.5</v>
      </c>
      <c r="DC29" s="248">
        <v>55.5</v>
      </c>
      <c r="DD29" s="248">
        <v>940.08</v>
      </c>
      <c r="DE29" s="248">
        <v>9.3800000000000008</v>
      </c>
      <c r="DF29" s="248">
        <v>0</v>
      </c>
      <c r="DG29" s="248">
        <v>43.3</v>
      </c>
      <c r="DH29" s="248">
        <v>292.88</v>
      </c>
      <c r="DI29" s="248">
        <v>54.5</v>
      </c>
      <c r="DJ29" s="247">
        <v>0.2051</v>
      </c>
      <c r="DK29" s="247">
        <v>0.1527</v>
      </c>
      <c r="DL29" s="246">
        <v>17.25</v>
      </c>
      <c r="DM29" s="246">
        <v>13.4</v>
      </c>
      <c r="DN29" s="246">
        <v>144.26</v>
      </c>
      <c r="DO29" s="246" t="s">
        <v>384</v>
      </c>
      <c r="DP29" s="246" t="s">
        <v>384</v>
      </c>
      <c r="DQ29" s="246" t="s">
        <v>742</v>
      </c>
      <c r="DR29" s="246" t="s">
        <v>743</v>
      </c>
      <c r="DS29" s="246" t="s">
        <v>744</v>
      </c>
      <c r="DT29" s="246" t="e">
        <v>#REF!</v>
      </c>
      <c r="DU29" s="246" t="s">
        <v>745</v>
      </c>
      <c r="DV29" s="246" t="s">
        <v>746</v>
      </c>
      <c r="DW29" s="246" t="s">
        <v>747</v>
      </c>
      <c r="DX29" s="246" t="s">
        <v>748</v>
      </c>
      <c r="DY29" s="246" t="s">
        <v>749</v>
      </c>
      <c r="DZ29" s="246">
        <v>62</v>
      </c>
      <c r="EA29" s="247">
        <v>-4.0099999999999997E-2</v>
      </c>
      <c r="EB29" s="247">
        <v>2.2599999999999999E-2</v>
      </c>
      <c r="EC29" s="247">
        <v>9.1000000000000004E-3</v>
      </c>
      <c r="ED29" s="247">
        <v>-9.7500000000000003E-2</v>
      </c>
      <c r="EE29" s="247">
        <v>-0.1061</v>
      </c>
      <c r="EF29" s="247">
        <v>-1.6799999999999999E-2</v>
      </c>
      <c r="EG29" s="247">
        <v>8.1900000000000001E-2</v>
      </c>
      <c r="EH29" s="247">
        <v>8.2000000000000003E-2</v>
      </c>
      <c r="EI29" s="246" t="s">
        <v>742</v>
      </c>
      <c r="EJ29" s="234">
        <v>43.3</v>
      </c>
      <c r="EK29" s="234">
        <v>43.9</v>
      </c>
      <c r="EL29" s="234" t="s">
        <v>750</v>
      </c>
      <c r="EM29" s="234" t="s">
        <v>751</v>
      </c>
      <c r="EN29" s="234" t="s">
        <v>752</v>
      </c>
      <c r="EO29" s="234" t="s">
        <v>753</v>
      </c>
      <c r="EP29" s="234" t="s">
        <v>376</v>
      </c>
      <c r="EQ29" s="234" t="s">
        <v>377</v>
      </c>
      <c r="ER29" s="234">
        <v>1</v>
      </c>
      <c r="ES29" s="249">
        <v>8.2500000000000004E-2</v>
      </c>
      <c r="ET29" s="249">
        <v>6.4000000000000001E-2</v>
      </c>
      <c r="EU29" s="250">
        <v>527</v>
      </c>
      <c r="EV29" s="234" t="s">
        <v>754</v>
      </c>
      <c r="EW29" s="250">
        <v>169.2</v>
      </c>
      <c r="EX29" s="250">
        <v>790</v>
      </c>
      <c r="EY29" s="250">
        <v>579.79999999999995</v>
      </c>
      <c r="EZ29" s="250">
        <v>767.8</v>
      </c>
      <c r="FA29" s="250">
        <v>1029.7</v>
      </c>
      <c r="FB29" s="250">
        <v>969.1</v>
      </c>
      <c r="FC29" s="250">
        <v>0</v>
      </c>
      <c r="FD29" s="249">
        <v>0</v>
      </c>
      <c r="FE29" s="250">
        <v>0</v>
      </c>
      <c r="FF29" s="250">
        <v>0</v>
      </c>
    </row>
    <row r="30" spans="1:162">
      <c r="A30" s="234" t="s">
        <v>755</v>
      </c>
      <c r="B30" s="234" t="s">
        <v>756</v>
      </c>
      <c r="C30" s="246" t="s">
        <v>401</v>
      </c>
      <c r="D30" s="246" t="s">
        <v>362</v>
      </c>
      <c r="E30" s="246">
        <v>4210</v>
      </c>
      <c r="F30" s="246" t="s">
        <v>757</v>
      </c>
      <c r="G30" s="246" t="s">
        <v>417</v>
      </c>
      <c r="H30" s="246" t="s">
        <v>758</v>
      </c>
      <c r="I30" s="246">
        <v>0.66930000000000001</v>
      </c>
      <c r="J30" s="246">
        <v>6.6917</v>
      </c>
      <c r="K30" s="247">
        <v>7.4700000000000003E-2</v>
      </c>
      <c r="L30" s="247">
        <v>0.53939999999999999</v>
      </c>
      <c r="M30" s="247">
        <v>2.3E-2</v>
      </c>
      <c r="N30" s="247">
        <v>4.4299999999999999E-2</v>
      </c>
      <c r="O30" s="247">
        <v>8.3799999999999999E-2</v>
      </c>
      <c r="P30" s="247">
        <v>5.5300000000000002E-2</v>
      </c>
      <c r="Q30" s="247">
        <v>8.8400000000000006E-2</v>
      </c>
      <c r="R30" s="247">
        <v>-0.7359</v>
      </c>
      <c r="S30" s="247">
        <v>3.95E-2</v>
      </c>
      <c r="T30" s="248">
        <v>804.3</v>
      </c>
      <c r="U30" s="248">
        <v>0</v>
      </c>
      <c r="V30" s="248">
        <v>10965.2</v>
      </c>
      <c r="W30" s="248">
        <v>10965.2</v>
      </c>
      <c r="X30" s="248">
        <v>11769.5</v>
      </c>
      <c r="Y30" s="248">
        <v>603.29999999999995</v>
      </c>
      <c r="Z30" s="248">
        <v>11166.2</v>
      </c>
      <c r="AA30" s="247">
        <v>5.1299999999999998E-2</v>
      </c>
      <c r="AB30" s="246">
        <v>1.57</v>
      </c>
      <c r="AC30" s="247">
        <v>0.90449999999999997</v>
      </c>
      <c r="AD30" s="247">
        <v>0.93169999999999997</v>
      </c>
      <c r="AE30" s="247">
        <v>9.4673999999999996</v>
      </c>
      <c r="AF30" s="247">
        <v>13.6332</v>
      </c>
      <c r="AG30" s="248">
        <v>0.94</v>
      </c>
      <c r="AH30" s="246">
        <v>69.06</v>
      </c>
      <c r="AI30" s="247">
        <v>-0.22189999999999999</v>
      </c>
      <c r="AJ30" s="246">
        <v>1.0900000000000001</v>
      </c>
      <c r="AK30" s="247">
        <v>0.1414</v>
      </c>
      <c r="AL30" s="247">
        <v>0.49209999999999998</v>
      </c>
      <c r="AM30" s="246">
        <v>0.43</v>
      </c>
      <c r="AN30" s="233">
        <v>0.95</v>
      </c>
      <c r="AO30" s="246" t="s">
        <v>384</v>
      </c>
      <c r="AP30" s="246" t="s">
        <v>384</v>
      </c>
      <c r="AQ30" s="246" t="s">
        <v>384</v>
      </c>
      <c r="AR30" s="246">
        <v>8.4</v>
      </c>
      <c r="AS30" s="246" t="s">
        <v>384</v>
      </c>
      <c r="AT30" s="246">
        <v>0.69</v>
      </c>
      <c r="AU30" s="246">
        <v>0.74</v>
      </c>
      <c r="AV30" s="246">
        <v>0.12</v>
      </c>
      <c r="AW30" s="246">
        <v>8.43</v>
      </c>
      <c r="AX30" s="246">
        <v>5.39</v>
      </c>
      <c r="AY30" s="246">
        <v>0.99</v>
      </c>
      <c r="AZ30" s="246">
        <v>1.68</v>
      </c>
      <c r="BA30" s="246" t="s">
        <v>384</v>
      </c>
      <c r="BB30" s="247">
        <v>6.5600000000000006E-2</v>
      </c>
      <c r="BC30" s="247">
        <v>0.17449999999999999</v>
      </c>
      <c r="BD30" s="246" t="s">
        <v>384</v>
      </c>
      <c r="BE30" s="246" t="s">
        <v>384</v>
      </c>
      <c r="BF30" s="247">
        <v>0.27500000000000002</v>
      </c>
      <c r="BG30" s="247">
        <v>0.34599999999999997</v>
      </c>
      <c r="BH30" s="246" t="s">
        <v>384</v>
      </c>
      <c r="BI30" s="247">
        <v>9.2499999999999999E-2</v>
      </c>
      <c r="BJ30" s="247">
        <v>-0.19650000000000001</v>
      </c>
      <c r="BK30" s="247">
        <v>0.12790000000000001</v>
      </c>
      <c r="BL30" s="246">
        <v>0.78</v>
      </c>
      <c r="BM30" s="247">
        <v>-1.4800000000000001E-2</v>
      </c>
      <c r="BN30" s="247">
        <v>0.16309999999999999</v>
      </c>
      <c r="BO30" s="247">
        <v>0.26190000000000002</v>
      </c>
      <c r="BP30" s="247">
        <v>0.34</v>
      </c>
      <c r="BQ30" s="247">
        <v>0</v>
      </c>
      <c r="BR30" s="247">
        <v>4.2099999999999999E-2</v>
      </c>
      <c r="BS30" s="248">
        <v>-32</v>
      </c>
      <c r="BT30" s="248">
        <v>-119.8</v>
      </c>
      <c r="BU30" s="248">
        <v>1324.4</v>
      </c>
      <c r="BV30" s="248">
        <v>1324.4</v>
      </c>
      <c r="BW30" s="248">
        <v>2126.4</v>
      </c>
      <c r="BX30" s="248">
        <v>6639.2</v>
      </c>
      <c r="BY30" s="248">
        <v>8120.2</v>
      </c>
      <c r="BZ30" s="248">
        <v>1637.1</v>
      </c>
      <c r="CA30" s="248">
        <v>2071.5</v>
      </c>
      <c r="CB30" s="248">
        <v>1324.4</v>
      </c>
      <c r="CC30" s="248">
        <v>-133.69999999999999</v>
      </c>
      <c r="CD30" s="248">
        <v>243.3</v>
      </c>
      <c r="CE30" s="248">
        <v>554.4</v>
      </c>
      <c r="CF30" s="247">
        <v>6.83E-2</v>
      </c>
      <c r="CG30" s="248">
        <v>260.95</v>
      </c>
      <c r="CH30" s="247">
        <v>0.38069999999999998</v>
      </c>
      <c r="CI30" s="248">
        <v>820.15</v>
      </c>
      <c r="CJ30" s="248">
        <v>-490.35</v>
      </c>
      <c r="CK30" s="248">
        <v>-624.04999999999995</v>
      </c>
      <c r="CL30" s="248">
        <v>609.6</v>
      </c>
      <c r="CM30" s="248">
        <v>10354.6</v>
      </c>
      <c r="CN30" s="248">
        <v>1158.2</v>
      </c>
      <c r="CO30" s="248">
        <v>11301.4</v>
      </c>
      <c r="CP30" s="248">
        <v>-52.8</v>
      </c>
      <c r="CQ30" s="246">
        <v>0.57999999999999996</v>
      </c>
      <c r="CR30" s="246">
        <v>0.21</v>
      </c>
      <c r="CS30" s="246">
        <v>0.42</v>
      </c>
      <c r="CT30" s="246">
        <v>0.77</v>
      </c>
      <c r="CU30" s="246">
        <v>1.4</v>
      </c>
      <c r="CV30" s="248">
        <v>486.72</v>
      </c>
      <c r="CW30" s="248">
        <v>25.28</v>
      </c>
      <c r="CX30" s="248">
        <v>-83.3</v>
      </c>
      <c r="CY30" s="246" t="s">
        <v>384</v>
      </c>
      <c r="CZ30" s="246" t="s">
        <v>384</v>
      </c>
      <c r="DA30" s="246" t="s">
        <v>384</v>
      </c>
      <c r="DB30" s="246" t="s">
        <v>384</v>
      </c>
      <c r="DC30" s="248">
        <v>2071.5</v>
      </c>
      <c r="DD30" s="248">
        <v>11166.2</v>
      </c>
      <c r="DE30" s="248">
        <v>-490.35</v>
      </c>
      <c r="DF30" s="248">
        <v>0</v>
      </c>
      <c r="DG30" s="248">
        <v>1324.4</v>
      </c>
      <c r="DH30" s="248">
        <v>11301.4</v>
      </c>
      <c r="DI30" s="248">
        <v>1637.1</v>
      </c>
      <c r="DJ30" s="247">
        <v>-0.19650000000000001</v>
      </c>
      <c r="DK30" s="247">
        <v>0.12790000000000001</v>
      </c>
      <c r="DL30" s="246">
        <v>6.82</v>
      </c>
      <c r="DM30" s="246">
        <v>747.1</v>
      </c>
      <c r="DN30" s="246">
        <v>2183.8000000000002</v>
      </c>
      <c r="DO30" s="246">
        <v>486.72</v>
      </c>
      <c r="DP30" s="247">
        <v>7.22E-2</v>
      </c>
      <c r="DQ30" s="246" t="s">
        <v>759</v>
      </c>
      <c r="DR30" s="246" t="s">
        <v>760</v>
      </c>
      <c r="DS30" s="246" t="s">
        <v>761</v>
      </c>
      <c r="DT30" s="246" t="e">
        <v>#REF!</v>
      </c>
      <c r="DU30" s="246" t="s">
        <v>762</v>
      </c>
      <c r="DV30" s="246" t="s">
        <v>763</v>
      </c>
      <c r="DW30" s="246" t="s">
        <v>764</v>
      </c>
      <c r="DX30" s="246" t="s">
        <v>765</v>
      </c>
      <c r="DY30" s="246" t="s">
        <v>766</v>
      </c>
      <c r="DZ30" s="246">
        <v>64</v>
      </c>
      <c r="EA30" s="247">
        <v>0.24490000000000001</v>
      </c>
      <c r="EB30" s="247">
        <v>0.30659999999999998</v>
      </c>
      <c r="EC30" s="247">
        <v>4.4000000000000003E-3</v>
      </c>
      <c r="ED30" s="247">
        <v>6.4000000000000003E-3</v>
      </c>
      <c r="EE30" s="247">
        <v>0.64410000000000001</v>
      </c>
      <c r="EF30" s="247">
        <v>3.49E-2</v>
      </c>
      <c r="EG30" s="247">
        <v>0.1641</v>
      </c>
      <c r="EH30" s="247">
        <v>0.16300000000000001</v>
      </c>
      <c r="EI30" s="246" t="s">
        <v>759</v>
      </c>
      <c r="EJ30" s="234">
        <v>1324.4</v>
      </c>
      <c r="EK30" s="234">
        <v>1287.3</v>
      </c>
      <c r="EL30" s="234" t="s">
        <v>767</v>
      </c>
      <c r="EM30" s="234" t="s">
        <v>768</v>
      </c>
      <c r="EN30" s="234" t="s">
        <v>769</v>
      </c>
      <c r="EO30" s="234" t="s">
        <v>770</v>
      </c>
      <c r="EP30" s="234" t="s">
        <v>771</v>
      </c>
      <c r="EQ30" s="234" t="s">
        <v>772</v>
      </c>
      <c r="ER30" s="234">
        <v>0</v>
      </c>
      <c r="ES30" s="249">
        <v>0.3387</v>
      </c>
      <c r="ET30" s="249">
        <v>5.4800000000000001E-2</v>
      </c>
      <c r="EU30" s="250">
        <v>8120.2</v>
      </c>
      <c r="EV30" s="234" t="s">
        <v>771</v>
      </c>
      <c r="EW30" s="250">
        <v>0</v>
      </c>
      <c r="EX30" s="250">
        <v>1679</v>
      </c>
      <c r="EY30" s="250">
        <v>1056.5</v>
      </c>
      <c r="EZ30" s="250">
        <v>1641.4</v>
      </c>
      <c r="FA30" s="250">
        <v>489.2</v>
      </c>
      <c r="FB30" s="250">
        <v>684.8</v>
      </c>
      <c r="FC30" s="250">
        <v>188</v>
      </c>
      <c r="FD30" s="249">
        <v>0.874</v>
      </c>
      <c r="FE30" s="250">
        <v>8800.1</v>
      </c>
      <c r="FF30" s="250">
        <v>1688.6</v>
      </c>
    </row>
    <row r="31" spans="1:162">
      <c r="A31" s="234" t="s">
        <v>773</v>
      </c>
      <c r="B31" s="234" t="s">
        <v>774</v>
      </c>
      <c r="C31" s="246" t="s">
        <v>361</v>
      </c>
      <c r="D31" s="246" t="s">
        <v>362</v>
      </c>
      <c r="E31" s="246">
        <v>4210</v>
      </c>
      <c r="F31" s="246" t="s">
        <v>363</v>
      </c>
      <c r="G31" s="246" t="s">
        <v>363</v>
      </c>
      <c r="H31" s="246" t="s">
        <v>363</v>
      </c>
      <c r="I31" s="246">
        <v>0.74739999999999995</v>
      </c>
      <c r="J31" s="246">
        <v>2.2726000000000002</v>
      </c>
      <c r="K31" s="247">
        <v>4.4600000000000001E-2</v>
      </c>
      <c r="L31" s="247">
        <v>0.1409</v>
      </c>
      <c r="M31" s="247">
        <v>3.2099999999999997E-2</v>
      </c>
      <c r="N31" s="247">
        <v>3.44E-2</v>
      </c>
      <c r="O31" s="247">
        <v>7.3899999999999993E-2</v>
      </c>
      <c r="P31" s="247">
        <v>5.5399999999999998E-2</v>
      </c>
      <c r="Q31" s="247">
        <v>7.8399999999999997E-2</v>
      </c>
      <c r="R31" s="247">
        <v>-0.65349999999999997</v>
      </c>
      <c r="S31" s="247">
        <v>-2.8E-3</v>
      </c>
      <c r="T31" s="248">
        <v>781.2</v>
      </c>
      <c r="U31" s="248">
        <v>398.61</v>
      </c>
      <c r="V31" s="248">
        <v>1726.9</v>
      </c>
      <c r="W31" s="248">
        <v>2125.5100000000002</v>
      </c>
      <c r="X31" s="248">
        <v>2906.71</v>
      </c>
      <c r="Y31" s="248">
        <v>140.4</v>
      </c>
      <c r="Z31" s="248">
        <v>2766.31</v>
      </c>
      <c r="AA31" s="247">
        <v>4.8300000000000003E-2</v>
      </c>
      <c r="AB31" s="246">
        <v>5.35</v>
      </c>
      <c r="AC31" s="247">
        <v>0.91569999999999996</v>
      </c>
      <c r="AD31" s="247">
        <v>0.73119999999999996</v>
      </c>
      <c r="AE31" s="247">
        <v>10.855499999999999</v>
      </c>
      <c r="AF31" s="247">
        <v>2.7208000000000001</v>
      </c>
      <c r="AG31" s="248">
        <v>25</v>
      </c>
      <c r="AH31" s="246">
        <v>31.61</v>
      </c>
      <c r="AI31" s="247">
        <v>-0.2883</v>
      </c>
      <c r="AJ31" s="246">
        <v>1.54</v>
      </c>
      <c r="AK31" s="247">
        <v>0.36609999999999998</v>
      </c>
      <c r="AL31" s="247">
        <v>0.61960000000000004</v>
      </c>
      <c r="AM31" s="246">
        <v>0.56999999999999995</v>
      </c>
      <c r="AN31" s="233">
        <v>0.39</v>
      </c>
      <c r="AO31" s="246" t="s">
        <v>384</v>
      </c>
      <c r="AP31" s="246" t="s">
        <v>384</v>
      </c>
      <c r="AQ31" s="246" t="s">
        <v>384</v>
      </c>
      <c r="AR31" s="246" t="s">
        <v>384</v>
      </c>
      <c r="AS31" s="246" t="s">
        <v>384</v>
      </c>
      <c r="AT31" s="246">
        <v>3.99</v>
      </c>
      <c r="AU31" s="246">
        <v>1.44</v>
      </c>
      <c r="AV31" s="246">
        <v>0.32</v>
      </c>
      <c r="AW31" s="246">
        <v>24.49</v>
      </c>
      <c r="AX31" s="246">
        <v>8.16</v>
      </c>
      <c r="AY31" s="246">
        <v>1.67</v>
      </c>
      <c r="AZ31" s="246">
        <v>1.1200000000000001</v>
      </c>
      <c r="BA31" s="246" t="s">
        <v>384</v>
      </c>
      <c r="BB31" s="247">
        <v>0</v>
      </c>
      <c r="BC31" s="247">
        <v>0.90069999999999995</v>
      </c>
      <c r="BD31" s="246" t="s">
        <v>384</v>
      </c>
      <c r="BE31" s="246" t="s">
        <v>384</v>
      </c>
      <c r="BF31" s="247">
        <v>8.5500000000000007E-2</v>
      </c>
      <c r="BG31" s="247">
        <v>0.15</v>
      </c>
      <c r="BH31" s="246" t="s">
        <v>384</v>
      </c>
      <c r="BI31" s="247">
        <v>2.76E-2</v>
      </c>
      <c r="BJ31" s="247">
        <v>-0.51259999999999994</v>
      </c>
      <c r="BK31" s="247">
        <v>7.5600000000000001E-2</v>
      </c>
      <c r="BL31" s="246">
        <v>1.67</v>
      </c>
      <c r="BM31" s="247">
        <v>-4.6399999999999997E-2</v>
      </c>
      <c r="BN31" s="247">
        <v>4.53E-2</v>
      </c>
      <c r="BO31" s="247">
        <v>0.19370000000000001</v>
      </c>
      <c r="BP31" s="247">
        <v>0.25</v>
      </c>
      <c r="BQ31" s="247">
        <v>0</v>
      </c>
      <c r="BR31" s="247">
        <v>0.78949999999999998</v>
      </c>
      <c r="BS31" s="248">
        <v>-817</v>
      </c>
      <c r="BT31" s="248">
        <v>-115.9</v>
      </c>
      <c r="BU31" s="248">
        <v>71.900000000000006</v>
      </c>
      <c r="BV31" s="248">
        <v>112.98</v>
      </c>
      <c r="BW31" s="248">
        <v>483.7</v>
      </c>
      <c r="BX31" s="248">
        <v>2474.3000000000002</v>
      </c>
      <c r="BY31" s="248">
        <v>2496.6999999999998</v>
      </c>
      <c r="BZ31" s="248">
        <v>187.5</v>
      </c>
      <c r="CA31" s="248">
        <v>338.9</v>
      </c>
      <c r="CB31" s="248">
        <v>112.98</v>
      </c>
      <c r="CC31" s="248">
        <v>16.100000000000001</v>
      </c>
      <c r="CD31" s="248">
        <v>-2.2000000000000002</v>
      </c>
      <c r="CE31" s="248">
        <v>186</v>
      </c>
      <c r="CF31" s="247">
        <v>7.4499999999999997E-2</v>
      </c>
      <c r="CG31" s="248">
        <v>-110.6</v>
      </c>
      <c r="CH31" s="247">
        <v>-0.99839999999999995</v>
      </c>
      <c r="CI31" s="248">
        <v>225.78</v>
      </c>
      <c r="CJ31" s="248">
        <v>-19.2</v>
      </c>
      <c r="CK31" s="248">
        <v>-3.1</v>
      </c>
      <c r="CL31" s="248">
        <v>226.1</v>
      </c>
      <c r="CM31" s="248">
        <v>1494.81</v>
      </c>
      <c r="CN31" s="248">
        <v>195.8</v>
      </c>
      <c r="CO31" s="248">
        <v>1658.21</v>
      </c>
      <c r="CP31" s="248">
        <v>0</v>
      </c>
      <c r="CQ31" s="246">
        <v>1.89</v>
      </c>
      <c r="CR31" s="246">
        <v>1.37</v>
      </c>
      <c r="CS31" s="246">
        <v>1.1200000000000001</v>
      </c>
      <c r="CT31" s="246">
        <v>0.44</v>
      </c>
      <c r="CU31" s="246">
        <v>0.35</v>
      </c>
      <c r="CV31" s="248">
        <v>120.78</v>
      </c>
      <c r="CW31" s="248">
        <v>93.31</v>
      </c>
      <c r="CX31" s="248">
        <v>-0.92</v>
      </c>
      <c r="CY31" s="246" t="s">
        <v>384</v>
      </c>
      <c r="CZ31" s="246" t="s">
        <v>384</v>
      </c>
      <c r="DA31" s="246" t="s">
        <v>384</v>
      </c>
      <c r="DB31" s="246" t="s">
        <v>384</v>
      </c>
      <c r="DC31" s="248">
        <v>338.9</v>
      </c>
      <c r="DD31" s="248">
        <v>2766.31</v>
      </c>
      <c r="DE31" s="248">
        <v>-19.2</v>
      </c>
      <c r="DF31" s="248">
        <v>0</v>
      </c>
      <c r="DG31" s="248">
        <v>112.98</v>
      </c>
      <c r="DH31" s="248">
        <v>1658.21</v>
      </c>
      <c r="DI31" s="248">
        <v>187.5</v>
      </c>
      <c r="DJ31" s="247">
        <v>-0.51259999999999994</v>
      </c>
      <c r="DK31" s="247">
        <v>7.5600000000000001E-2</v>
      </c>
      <c r="DL31" s="246">
        <v>14.75</v>
      </c>
      <c r="DM31" s="246">
        <v>149.6</v>
      </c>
      <c r="DN31" s="246">
        <v>279.35000000000002</v>
      </c>
      <c r="DO31" s="246">
        <v>120.78</v>
      </c>
      <c r="DP31" s="247">
        <v>0.12470000000000001</v>
      </c>
      <c r="DQ31" s="246" t="s">
        <v>775</v>
      </c>
      <c r="DR31" s="246" t="s">
        <v>776</v>
      </c>
      <c r="DS31" s="246" t="s">
        <v>777</v>
      </c>
      <c r="DT31" s="246" t="e">
        <v>#REF!</v>
      </c>
      <c r="DU31" s="246" t="s">
        <v>778</v>
      </c>
      <c r="DV31" s="246" t="s">
        <v>779</v>
      </c>
      <c r="DW31" s="246" t="s">
        <v>780</v>
      </c>
      <c r="DX31" s="246" t="s">
        <v>388</v>
      </c>
      <c r="DY31" s="246" t="s">
        <v>781</v>
      </c>
      <c r="DZ31" s="246">
        <v>39</v>
      </c>
      <c r="EA31" s="247">
        <v>-0.34589999999999999</v>
      </c>
      <c r="EB31" s="247">
        <v>0.2223</v>
      </c>
      <c r="EC31" s="247">
        <v>5.7500000000000002E-2</v>
      </c>
      <c r="ED31" s="247">
        <v>-1.0500000000000001E-2</v>
      </c>
      <c r="EE31" s="247">
        <v>-0.16339999999999999</v>
      </c>
      <c r="EF31" s="247">
        <v>-9.5999999999999992E-3</v>
      </c>
      <c r="EG31" s="247">
        <v>3.49E-2</v>
      </c>
      <c r="EH31" s="247">
        <v>4.4999999999999998E-2</v>
      </c>
      <c r="EI31" s="246" t="s">
        <v>775</v>
      </c>
      <c r="EJ31" s="234">
        <v>71.900000000000006</v>
      </c>
      <c r="EK31" s="234">
        <v>87.9</v>
      </c>
      <c r="EL31" s="234" t="s">
        <v>782</v>
      </c>
      <c r="EM31" s="234" t="s">
        <v>783</v>
      </c>
      <c r="EN31" s="234" t="s">
        <v>784</v>
      </c>
      <c r="EO31" s="234" t="s">
        <v>785</v>
      </c>
      <c r="EP31" s="234" t="s">
        <v>376</v>
      </c>
      <c r="EQ31" s="234" t="s">
        <v>377</v>
      </c>
      <c r="ER31" s="234">
        <v>0</v>
      </c>
      <c r="ES31" s="249">
        <v>0.14480000000000001</v>
      </c>
      <c r="ET31" s="234" t="s">
        <v>384</v>
      </c>
      <c r="EU31" s="250">
        <v>2496.6999999999998</v>
      </c>
      <c r="EV31" s="234" t="s">
        <v>491</v>
      </c>
      <c r="EW31" s="250">
        <v>1446.2</v>
      </c>
      <c r="EX31" s="250">
        <v>3242.5</v>
      </c>
      <c r="EY31" s="250">
        <v>2789</v>
      </c>
      <c r="EZ31" s="250">
        <v>1613.4</v>
      </c>
      <c r="FA31" s="250">
        <v>933.8</v>
      </c>
      <c r="FB31" s="250">
        <v>411</v>
      </c>
      <c r="FC31" s="250">
        <v>0</v>
      </c>
      <c r="FD31" s="249">
        <v>0.33800000000000002</v>
      </c>
      <c r="FE31" s="250">
        <v>1045</v>
      </c>
      <c r="FF31" s="250">
        <v>767.6</v>
      </c>
    </row>
    <row r="32" spans="1:162">
      <c r="A32" s="234" t="s">
        <v>786</v>
      </c>
      <c r="B32" s="234" t="s">
        <v>787</v>
      </c>
      <c r="C32" s="246" t="s">
        <v>788</v>
      </c>
      <c r="D32" s="246" t="s">
        <v>610</v>
      </c>
      <c r="E32" s="246">
        <v>4210</v>
      </c>
      <c r="F32" s="246" t="s">
        <v>363</v>
      </c>
      <c r="G32" s="246" t="s">
        <v>363</v>
      </c>
      <c r="H32" s="246" t="s">
        <v>363</v>
      </c>
      <c r="I32" s="246">
        <v>0.65039999999999998</v>
      </c>
      <c r="J32" s="246">
        <v>0.65159999999999996</v>
      </c>
      <c r="K32" s="247">
        <v>4.4600000000000001E-2</v>
      </c>
      <c r="L32" s="247">
        <v>6.8599999999999994E-2</v>
      </c>
      <c r="M32" s="246" t="s">
        <v>384</v>
      </c>
      <c r="N32" s="247">
        <v>1.34E-2</v>
      </c>
      <c r="O32" s="247">
        <v>5.2900000000000003E-2</v>
      </c>
      <c r="P32" s="247">
        <v>3.9699999999999999E-2</v>
      </c>
      <c r="Q32" s="247">
        <v>6.8500000000000005E-2</v>
      </c>
      <c r="R32" s="247">
        <v>-1.0686</v>
      </c>
      <c r="S32" s="247">
        <v>-1.0685</v>
      </c>
      <c r="T32" s="248">
        <v>772.6</v>
      </c>
      <c r="U32" s="248">
        <v>1.82</v>
      </c>
      <c r="V32" s="248">
        <v>0</v>
      </c>
      <c r="W32" s="248">
        <v>1.82</v>
      </c>
      <c r="X32" s="248">
        <v>774.42</v>
      </c>
      <c r="Y32" s="248">
        <v>116.8</v>
      </c>
      <c r="Z32" s="248">
        <v>657.62</v>
      </c>
      <c r="AA32" s="247">
        <v>0.15079999999999999</v>
      </c>
      <c r="AB32" s="246">
        <v>26.85</v>
      </c>
      <c r="AC32" s="247">
        <v>6.4000000000000003E-3</v>
      </c>
      <c r="AD32" s="247">
        <v>2.3E-3</v>
      </c>
      <c r="AE32" s="247">
        <v>6.4000000000000003E-3</v>
      </c>
      <c r="AF32" s="247">
        <v>2.3999999999999998E-3</v>
      </c>
      <c r="AG32" s="248">
        <v>10.38</v>
      </c>
      <c r="AH32" s="246">
        <v>31.61</v>
      </c>
      <c r="AI32" s="246" t="s">
        <v>384</v>
      </c>
      <c r="AJ32" s="246">
        <v>0.79</v>
      </c>
      <c r="AK32" s="247">
        <v>5.4800000000000001E-2</v>
      </c>
      <c r="AL32" s="246" t="s">
        <v>384</v>
      </c>
      <c r="AM32" s="246">
        <v>0.68</v>
      </c>
      <c r="AN32" s="233" t="s">
        <v>384</v>
      </c>
      <c r="AO32" s="246" t="s">
        <v>384</v>
      </c>
      <c r="AP32" s="246" t="s">
        <v>384</v>
      </c>
      <c r="AQ32" s="246" t="s">
        <v>384</v>
      </c>
      <c r="AR32" s="246" t="s">
        <v>384</v>
      </c>
      <c r="AS32" s="246" t="s">
        <v>384</v>
      </c>
      <c r="AT32" s="246">
        <v>2.72</v>
      </c>
      <c r="AU32" s="246">
        <v>2.29</v>
      </c>
      <c r="AV32" s="246">
        <v>426.85</v>
      </c>
      <c r="AW32" s="246" t="s">
        <v>384</v>
      </c>
      <c r="AX32" s="246" t="s">
        <v>384</v>
      </c>
      <c r="AY32" s="246">
        <v>4.1900000000000004</v>
      </c>
      <c r="AZ32" s="246">
        <v>363.32</v>
      </c>
      <c r="BA32" s="246" t="s">
        <v>384</v>
      </c>
      <c r="BB32" s="247">
        <v>0</v>
      </c>
      <c r="BC32" s="247">
        <v>1.5608</v>
      </c>
      <c r="BD32" s="246" t="s">
        <v>384</v>
      </c>
      <c r="BE32" s="246" t="s">
        <v>384</v>
      </c>
      <c r="BF32" s="246" t="s">
        <v>384</v>
      </c>
      <c r="BG32" s="246" t="s">
        <v>384</v>
      </c>
      <c r="BH32" s="246" t="s">
        <v>384</v>
      </c>
      <c r="BI32" s="247">
        <v>3.085</v>
      </c>
      <c r="BJ32" s="247">
        <v>-1</v>
      </c>
      <c r="BK32" s="247">
        <v>-1</v>
      </c>
      <c r="BL32" s="246">
        <v>0.24</v>
      </c>
      <c r="BM32" s="247">
        <v>-41.340200000000003</v>
      </c>
      <c r="BN32" s="247">
        <v>-44.098599999999998</v>
      </c>
      <c r="BO32" s="247">
        <v>-4.8247</v>
      </c>
      <c r="BP32" s="247">
        <v>0.25</v>
      </c>
      <c r="BQ32" s="247">
        <v>0</v>
      </c>
      <c r="BR32" s="247">
        <v>0.3488</v>
      </c>
      <c r="BS32" s="248">
        <v>-39.200000000000003</v>
      </c>
      <c r="BT32" s="248">
        <v>-80.2</v>
      </c>
      <c r="BU32" s="248">
        <v>-86</v>
      </c>
      <c r="BV32" s="248">
        <v>-85.55</v>
      </c>
      <c r="BW32" s="248">
        <v>-9.36</v>
      </c>
      <c r="BX32" s="248">
        <v>1.81</v>
      </c>
      <c r="BY32" s="248">
        <v>1.94</v>
      </c>
      <c r="BZ32" s="248">
        <v>-38</v>
      </c>
      <c r="CA32" s="248">
        <v>-82.49</v>
      </c>
      <c r="CB32" s="248">
        <v>-85.55</v>
      </c>
      <c r="CC32" s="248">
        <v>0.65</v>
      </c>
      <c r="CD32" s="248">
        <v>-2.0299999999999998</v>
      </c>
      <c r="CE32" s="248">
        <v>-6.81</v>
      </c>
      <c r="CF32" s="247">
        <v>-3.5112999999999999</v>
      </c>
      <c r="CG32" s="248">
        <v>33.200000000000003</v>
      </c>
      <c r="CH32" s="246" t="s">
        <v>384</v>
      </c>
      <c r="CI32" s="248">
        <v>-116.73</v>
      </c>
      <c r="CJ32" s="248">
        <v>-112.02</v>
      </c>
      <c r="CK32" s="248">
        <v>-111.37</v>
      </c>
      <c r="CL32" s="248">
        <v>56.2</v>
      </c>
      <c r="CM32" s="248">
        <v>8.16</v>
      </c>
      <c r="CN32" s="248">
        <v>283.89999999999998</v>
      </c>
      <c r="CO32" s="248">
        <v>157.12</v>
      </c>
      <c r="CP32" s="248">
        <v>0</v>
      </c>
      <c r="CQ32" s="246">
        <v>0.82</v>
      </c>
      <c r="CR32" s="246" t="s">
        <v>384</v>
      </c>
      <c r="CS32" s="246">
        <v>1.1200000000000001</v>
      </c>
      <c r="CT32" s="246" t="s">
        <v>384</v>
      </c>
      <c r="CU32" s="246" t="s">
        <v>384</v>
      </c>
      <c r="CV32" s="246" t="s">
        <v>384</v>
      </c>
      <c r="CW32" s="246" t="s">
        <v>384</v>
      </c>
      <c r="CX32" s="248">
        <v>0</v>
      </c>
      <c r="CY32" s="246" t="s">
        <v>384</v>
      </c>
      <c r="CZ32" s="246" t="s">
        <v>384</v>
      </c>
      <c r="DA32" s="246" t="s">
        <v>384</v>
      </c>
      <c r="DB32" s="246" t="s">
        <v>384</v>
      </c>
      <c r="DC32" s="246" t="s">
        <v>384</v>
      </c>
      <c r="DD32" s="246" t="s">
        <v>384</v>
      </c>
      <c r="DE32" s="246" t="s">
        <v>384</v>
      </c>
      <c r="DF32" s="248">
        <v>86.9</v>
      </c>
      <c r="DG32" s="248">
        <v>-72.349999999999994</v>
      </c>
      <c r="DH32" s="248">
        <v>244.02</v>
      </c>
      <c r="DI32" s="248">
        <v>-1.8</v>
      </c>
      <c r="DJ32" s="247">
        <v>-0.46820000000000001</v>
      </c>
      <c r="DK32" s="247">
        <v>-0.7611</v>
      </c>
      <c r="DL32" s="246" t="s">
        <v>384</v>
      </c>
      <c r="DM32" s="246">
        <v>2.7</v>
      </c>
      <c r="DN32" s="246" t="s">
        <v>384</v>
      </c>
      <c r="DO32" s="246" t="s">
        <v>384</v>
      </c>
      <c r="DP32" s="246" t="s">
        <v>384</v>
      </c>
      <c r="DQ32" s="246" t="s">
        <v>789</v>
      </c>
      <c r="DR32" s="246" t="s">
        <v>790</v>
      </c>
      <c r="DS32" s="246" t="s">
        <v>644</v>
      </c>
      <c r="DT32" s="246" t="e">
        <v>#REF!</v>
      </c>
      <c r="DU32" s="246" t="s">
        <v>791</v>
      </c>
      <c r="DV32" s="248">
        <v>-86</v>
      </c>
      <c r="DW32" s="246" t="s">
        <v>388</v>
      </c>
      <c r="DX32" s="246" t="s">
        <v>792</v>
      </c>
      <c r="DY32" s="246" t="s">
        <v>793</v>
      </c>
      <c r="DZ32" s="246">
        <v>3</v>
      </c>
      <c r="EA32" s="247">
        <v>-0.44969999999999999</v>
      </c>
      <c r="EB32" s="247">
        <v>0.99570000000000003</v>
      </c>
      <c r="EC32" s="247">
        <v>9.6500000000000002E-2</v>
      </c>
      <c r="ED32" s="247">
        <v>8.0699999999999994E-2</v>
      </c>
      <c r="EE32" s="247">
        <v>0.30130000000000001</v>
      </c>
      <c r="EF32" s="247">
        <v>0.31080000000000002</v>
      </c>
      <c r="EG32" s="247">
        <v>-40.337800000000001</v>
      </c>
      <c r="EH32" s="247">
        <v>-44.098999999999997</v>
      </c>
      <c r="EI32" s="246" t="s">
        <v>789</v>
      </c>
      <c r="EJ32" s="234">
        <v>-86</v>
      </c>
      <c r="EK32" s="234">
        <v>-59.7</v>
      </c>
      <c r="EL32" s="234" t="s">
        <v>794</v>
      </c>
      <c r="EM32" s="234" t="s">
        <v>795</v>
      </c>
      <c r="EN32" s="234" t="s">
        <v>796</v>
      </c>
      <c r="EO32" s="234" t="s">
        <v>797</v>
      </c>
      <c r="EP32" s="234" t="s">
        <v>376</v>
      </c>
      <c r="EQ32" s="234" t="s">
        <v>377</v>
      </c>
      <c r="ER32" s="234">
        <v>0</v>
      </c>
      <c r="ES32" s="234" t="s">
        <v>384</v>
      </c>
      <c r="ET32" s="249">
        <v>1.3333999999999999</v>
      </c>
      <c r="EU32" s="234" t="s">
        <v>384</v>
      </c>
      <c r="EV32" s="234" t="s">
        <v>798</v>
      </c>
      <c r="EW32" s="250">
        <v>0</v>
      </c>
      <c r="EX32" s="250">
        <v>0</v>
      </c>
      <c r="EY32" s="250">
        <v>0</v>
      </c>
      <c r="EZ32" s="250">
        <v>0</v>
      </c>
      <c r="FA32" s="250">
        <v>593.70000000000005</v>
      </c>
      <c r="FB32" s="250">
        <v>301.7</v>
      </c>
      <c r="FC32" s="250">
        <v>0</v>
      </c>
      <c r="FD32" s="249">
        <v>0</v>
      </c>
      <c r="FE32" s="250">
        <v>0</v>
      </c>
      <c r="FF32" s="250">
        <v>0</v>
      </c>
    </row>
    <row r="33" spans="1:162">
      <c r="A33" s="234" t="s">
        <v>799</v>
      </c>
      <c r="B33" s="234" t="s">
        <v>800</v>
      </c>
      <c r="C33" s="246" t="s">
        <v>361</v>
      </c>
      <c r="D33" s="246" t="s">
        <v>362</v>
      </c>
      <c r="E33" s="246">
        <v>4210</v>
      </c>
      <c r="F33" s="246" t="s">
        <v>416</v>
      </c>
      <c r="G33" s="246" t="s">
        <v>417</v>
      </c>
      <c r="H33" s="246" t="s">
        <v>418</v>
      </c>
      <c r="I33" s="246">
        <v>0.74739999999999995</v>
      </c>
      <c r="J33" s="246">
        <v>0.99439999999999995</v>
      </c>
      <c r="K33" s="247">
        <v>4.2299999999999997E-2</v>
      </c>
      <c r="L33" s="247">
        <v>8.1600000000000006E-2</v>
      </c>
      <c r="M33" s="247">
        <v>1.2500000000000001E-2</v>
      </c>
      <c r="N33" s="247">
        <v>1.2500000000000001E-2</v>
      </c>
      <c r="O33" s="247">
        <v>5.1999999999999998E-2</v>
      </c>
      <c r="P33" s="247">
        <v>4.3099999999999999E-2</v>
      </c>
      <c r="Q33" s="247">
        <v>7.0599999999999996E-2</v>
      </c>
      <c r="R33" s="247">
        <v>9.3200000000000005E-2</v>
      </c>
      <c r="S33" s="247">
        <v>-4.87E-2</v>
      </c>
      <c r="T33" s="248">
        <v>708.9</v>
      </c>
      <c r="U33" s="248">
        <v>0.42</v>
      </c>
      <c r="V33" s="248">
        <v>281.8</v>
      </c>
      <c r="W33" s="248">
        <v>282.22000000000003</v>
      </c>
      <c r="X33" s="248">
        <v>991.12</v>
      </c>
      <c r="Y33" s="248">
        <v>460.2</v>
      </c>
      <c r="Z33" s="248">
        <v>530.91999999999996</v>
      </c>
      <c r="AA33" s="247">
        <v>0.46429999999999999</v>
      </c>
      <c r="AB33" s="246">
        <v>1.03</v>
      </c>
      <c r="AC33" s="247">
        <v>0.2087</v>
      </c>
      <c r="AD33" s="247">
        <v>0.2848</v>
      </c>
      <c r="AE33" s="247">
        <v>0.26369999999999999</v>
      </c>
      <c r="AF33" s="247">
        <v>0.39810000000000001</v>
      </c>
      <c r="AG33" s="248">
        <v>0.32</v>
      </c>
      <c r="AH33" s="246">
        <v>69.06</v>
      </c>
      <c r="AI33" s="247">
        <v>-0.25890000000000002</v>
      </c>
      <c r="AJ33" s="246">
        <v>1.39</v>
      </c>
      <c r="AK33" s="247">
        <v>0.31619999999999998</v>
      </c>
      <c r="AL33" s="247">
        <v>0.28570000000000001</v>
      </c>
      <c r="AM33" s="246">
        <v>0.25</v>
      </c>
      <c r="AN33" s="233">
        <v>2.0099999999999998</v>
      </c>
      <c r="AO33" s="246">
        <v>3.89</v>
      </c>
      <c r="AP33" s="246">
        <v>3.78</v>
      </c>
      <c r="AQ33" s="246" t="s">
        <v>384</v>
      </c>
      <c r="AR33" s="246">
        <v>28.64</v>
      </c>
      <c r="AS33" s="246" t="s">
        <v>384</v>
      </c>
      <c r="AT33" s="246">
        <v>0.66</v>
      </c>
      <c r="AU33" s="246" t="s">
        <v>384</v>
      </c>
      <c r="AV33" s="246">
        <v>1.17</v>
      </c>
      <c r="AW33" s="246">
        <v>18.79</v>
      </c>
      <c r="AX33" s="246">
        <v>10.8</v>
      </c>
      <c r="AY33" s="246">
        <v>0.6</v>
      </c>
      <c r="AZ33" s="246">
        <v>0.88</v>
      </c>
      <c r="BA33" s="247">
        <v>0.91259999999999997</v>
      </c>
      <c r="BB33" s="247">
        <v>0.24160000000000001</v>
      </c>
      <c r="BC33" s="247">
        <v>-0.20019999999999999</v>
      </c>
      <c r="BD33" s="247">
        <v>0.85199999999999998</v>
      </c>
      <c r="BE33" s="247">
        <v>0.28699999999999998</v>
      </c>
      <c r="BF33" s="247">
        <v>-0.26800000000000002</v>
      </c>
      <c r="BG33" s="247">
        <v>-0.11600000000000001</v>
      </c>
      <c r="BH33" s="246" t="s">
        <v>384</v>
      </c>
      <c r="BI33" s="247">
        <v>-0.14899999999999999</v>
      </c>
      <c r="BJ33" s="247">
        <v>0.17480000000000001</v>
      </c>
      <c r="BK33" s="247">
        <v>2.1899999999999999E-2</v>
      </c>
      <c r="BL33" s="246">
        <v>0.46</v>
      </c>
      <c r="BM33" s="247">
        <v>0.32629999999999998</v>
      </c>
      <c r="BN33" s="247">
        <v>4.9099999999999998E-2</v>
      </c>
      <c r="BO33" s="247">
        <v>0.20380000000000001</v>
      </c>
      <c r="BP33" s="247">
        <v>0.17</v>
      </c>
      <c r="BQ33" s="247">
        <v>3.9899999999999998E-2</v>
      </c>
      <c r="BR33" s="247">
        <v>0.11849999999999999</v>
      </c>
      <c r="BS33" s="248">
        <v>182.4</v>
      </c>
      <c r="BT33" s="248">
        <v>187.7</v>
      </c>
      <c r="BU33" s="248">
        <v>27.9</v>
      </c>
      <c r="BV33" s="248">
        <v>28.26</v>
      </c>
      <c r="BW33" s="248">
        <v>117.2</v>
      </c>
      <c r="BX33" s="248">
        <v>605.6</v>
      </c>
      <c r="BY33" s="248">
        <v>575.20000000000005</v>
      </c>
      <c r="BZ33" s="248">
        <v>53.8</v>
      </c>
      <c r="CA33" s="248">
        <v>49.15</v>
      </c>
      <c r="CB33" s="248">
        <v>27.13</v>
      </c>
      <c r="CC33" s="248">
        <v>259.43</v>
      </c>
      <c r="CD33" s="248">
        <v>60.97</v>
      </c>
      <c r="CE33" s="248">
        <v>-116.59</v>
      </c>
      <c r="CF33" s="247">
        <v>-0.20269999999999999</v>
      </c>
      <c r="CG33" s="248">
        <v>-3.2</v>
      </c>
      <c r="CH33" s="247">
        <v>2.129</v>
      </c>
      <c r="CI33" s="248">
        <v>-30.63</v>
      </c>
      <c r="CJ33" s="248">
        <v>-129.5</v>
      </c>
      <c r="CK33" s="248">
        <v>129.93</v>
      </c>
      <c r="CL33" s="248">
        <v>1073.8</v>
      </c>
      <c r="CM33" s="248">
        <v>1237.42</v>
      </c>
      <c r="CN33" s="248">
        <v>1070.2</v>
      </c>
      <c r="CO33" s="248">
        <v>889.69</v>
      </c>
      <c r="CP33" s="248">
        <v>-171.3</v>
      </c>
      <c r="CQ33" s="246">
        <v>0.75</v>
      </c>
      <c r="CR33" s="246">
        <v>0.24</v>
      </c>
      <c r="CS33" s="246">
        <v>0.42</v>
      </c>
      <c r="CT33" s="246">
        <v>0.34</v>
      </c>
      <c r="CU33" s="246">
        <v>0.86</v>
      </c>
      <c r="CV33" s="248">
        <v>97.58</v>
      </c>
      <c r="CW33" s="248">
        <v>61.2</v>
      </c>
      <c r="CX33" s="248">
        <v>-171.3</v>
      </c>
      <c r="CY33" s="248">
        <v>201.4</v>
      </c>
      <c r="CZ33" s="248">
        <v>8.0399999999999991</v>
      </c>
      <c r="DA33" s="248">
        <v>187.7</v>
      </c>
      <c r="DB33" s="248">
        <v>708.9</v>
      </c>
      <c r="DC33" s="248">
        <v>49.15</v>
      </c>
      <c r="DD33" s="248">
        <v>530.91999999999996</v>
      </c>
      <c r="DE33" s="248">
        <v>-129.5</v>
      </c>
      <c r="DF33" s="248">
        <v>0</v>
      </c>
      <c r="DG33" s="248">
        <v>28.26</v>
      </c>
      <c r="DH33" s="248">
        <v>889.69</v>
      </c>
      <c r="DI33" s="248">
        <v>53.8</v>
      </c>
      <c r="DJ33" s="247">
        <v>0.17480000000000001</v>
      </c>
      <c r="DK33" s="247">
        <v>2.1899999999999999E-2</v>
      </c>
      <c r="DL33" s="246">
        <v>9.8699999999999992</v>
      </c>
      <c r="DM33" s="246">
        <v>28.3</v>
      </c>
      <c r="DN33" s="246">
        <v>622.79999999999995</v>
      </c>
      <c r="DO33" s="246">
        <v>97.58</v>
      </c>
      <c r="DP33" s="247">
        <v>0.129</v>
      </c>
      <c r="DQ33" s="248">
        <v>-604.4</v>
      </c>
      <c r="DR33" s="246" t="s">
        <v>801</v>
      </c>
      <c r="DS33" s="246" t="s">
        <v>802</v>
      </c>
      <c r="DT33" s="246" t="e">
        <v>#REF!</v>
      </c>
      <c r="DU33" s="246" t="s">
        <v>388</v>
      </c>
      <c r="DV33" s="246" t="s">
        <v>803</v>
      </c>
      <c r="DW33" s="246" t="s">
        <v>804</v>
      </c>
      <c r="DX33" s="246" t="s">
        <v>805</v>
      </c>
      <c r="DY33" s="246" t="s">
        <v>806</v>
      </c>
      <c r="DZ33" s="246">
        <v>201</v>
      </c>
      <c r="EA33" s="247">
        <v>0.17860000000000001</v>
      </c>
      <c r="EB33" s="247">
        <v>4.7199999999999999E-2</v>
      </c>
      <c r="EC33" s="247">
        <v>-0.32079999999999997</v>
      </c>
      <c r="ED33" s="247">
        <v>-3.2199999999999999E-2</v>
      </c>
      <c r="EE33" s="247">
        <v>-0.18870000000000001</v>
      </c>
      <c r="EF33" s="247">
        <v>-5.8700000000000002E-2</v>
      </c>
      <c r="EG33" s="247">
        <v>5.1499999999999997E-2</v>
      </c>
      <c r="EH33" s="247">
        <v>4.9000000000000002E-2</v>
      </c>
      <c r="EI33" s="248">
        <v>-604.4</v>
      </c>
      <c r="EJ33" s="234">
        <v>27.9</v>
      </c>
      <c r="EK33" s="234">
        <v>31.5</v>
      </c>
      <c r="EL33" s="234" t="s">
        <v>807</v>
      </c>
      <c r="EM33" s="234" t="s">
        <v>808</v>
      </c>
      <c r="EN33" s="234" t="s">
        <v>809</v>
      </c>
      <c r="EO33" s="234" t="s">
        <v>810</v>
      </c>
      <c r="EP33" s="234" t="s">
        <v>376</v>
      </c>
      <c r="EQ33" s="234" t="s">
        <v>377</v>
      </c>
      <c r="ER33" s="234">
        <v>1</v>
      </c>
      <c r="ES33" s="249">
        <v>-0.1109</v>
      </c>
      <c r="ET33" s="249">
        <v>-3.8800000000000001E-2</v>
      </c>
      <c r="EU33" s="250">
        <v>575.20000000000005</v>
      </c>
      <c r="EV33" s="234" t="s">
        <v>811</v>
      </c>
      <c r="EW33" s="250">
        <v>2194.4</v>
      </c>
      <c r="EX33" s="250">
        <v>1089.5999999999999</v>
      </c>
      <c r="EY33" s="250">
        <v>872.5</v>
      </c>
      <c r="EZ33" s="250">
        <v>809.6</v>
      </c>
      <c r="FA33" s="250">
        <v>873.8</v>
      </c>
      <c r="FB33" s="250">
        <v>886.4</v>
      </c>
      <c r="FC33" s="250">
        <v>0</v>
      </c>
      <c r="FD33" s="249">
        <v>0.94499999999999995</v>
      </c>
      <c r="FE33" s="250">
        <v>0</v>
      </c>
      <c r="FF33" s="250">
        <v>271.10000000000002</v>
      </c>
    </row>
    <row r="34" spans="1:162">
      <c r="A34" s="234" t="s">
        <v>812</v>
      </c>
      <c r="B34" s="234" t="s">
        <v>813</v>
      </c>
      <c r="C34" s="246" t="s">
        <v>401</v>
      </c>
      <c r="D34" s="246" t="s">
        <v>362</v>
      </c>
      <c r="E34" s="246">
        <v>4210</v>
      </c>
      <c r="F34" s="246" t="s">
        <v>509</v>
      </c>
      <c r="G34" s="246" t="s">
        <v>417</v>
      </c>
      <c r="H34" s="246" t="s">
        <v>509</v>
      </c>
      <c r="I34" s="246">
        <v>0.66930000000000001</v>
      </c>
      <c r="J34" s="246">
        <v>1.0333000000000001</v>
      </c>
      <c r="K34" s="247">
        <v>5.1400000000000001E-2</v>
      </c>
      <c r="L34" s="247">
        <v>9.2600000000000002E-2</v>
      </c>
      <c r="M34" s="246" t="s">
        <v>384</v>
      </c>
      <c r="N34" s="247">
        <v>1.7100000000000001E-2</v>
      </c>
      <c r="O34" s="247">
        <v>5.6599999999999998E-2</v>
      </c>
      <c r="P34" s="247">
        <v>4.2500000000000003E-2</v>
      </c>
      <c r="Q34" s="247">
        <v>7.1499999999999994E-2</v>
      </c>
      <c r="R34" s="247">
        <v>-0.34739999999999999</v>
      </c>
      <c r="S34" s="247">
        <v>-0.1236</v>
      </c>
      <c r="T34" s="248">
        <v>689.1</v>
      </c>
      <c r="U34" s="248">
        <v>0</v>
      </c>
      <c r="V34" s="248">
        <v>499.7</v>
      </c>
      <c r="W34" s="248">
        <v>499.7</v>
      </c>
      <c r="X34" s="248">
        <v>1188.8</v>
      </c>
      <c r="Y34" s="248">
        <v>53.4</v>
      </c>
      <c r="Z34" s="248">
        <v>1135.4000000000001</v>
      </c>
      <c r="AA34" s="247">
        <v>4.4900000000000002E-2</v>
      </c>
      <c r="AB34" s="246">
        <v>21.6</v>
      </c>
      <c r="AC34" s="247">
        <v>0.78129999999999999</v>
      </c>
      <c r="AD34" s="247">
        <v>0.42030000000000001</v>
      </c>
      <c r="AE34" s="247">
        <v>3.5718000000000001</v>
      </c>
      <c r="AF34" s="247">
        <v>0.72509999999999997</v>
      </c>
      <c r="AG34" s="248">
        <v>1.23</v>
      </c>
      <c r="AH34" s="246">
        <v>69.06</v>
      </c>
      <c r="AI34" s="247">
        <v>-9.2999999999999999E-2</v>
      </c>
      <c r="AJ34" s="246">
        <v>2.36</v>
      </c>
      <c r="AK34" s="247">
        <v>0.2646</v>
      </c>
      <c r="AL34" s="247">
        <v>0.62590000000000001</v>
      </c>
      <c r="AM34" s="246">
        <v>0.55000000000000004</v>
      </c>
      <c r="AN34" s="233" t="s">
        <v>384</v>
      </c>
      <c r="AO34" s="246" t="s">
        <v>384</v>
      </c>
      <c r="AP34" s="246" t="s">
        <v>384</v>
      </c>
      <c r="AQ34" s="246" t="s">
        <v>384</v>
      </c>
      <c r="AR34" s="246" t="s">
        <v>384</v>
      </c>
      <c r="AS34" s="246" t="s">
        <v>384</v>
      </c>
      <c r="AT34" s="246">
        <v>4.93</v>
      </c>
      <c r="AU34" s="246">
        <v>2.0299999999999998</v>
      </c>
      <c r="AV34" s="246">
        <v>1.68</v>
      </c>
      <c r="AW34" s="246" t="s">
        <v>384</v>
      </c>
      <c r="AX34" s="246">
        <v>688.12</v>
      </c>
      <c r="AY34" s="246">
        <v>2.11</v>
      </c>
      <c r="AZ34" s="246">
        <v>2.76</v>
      </c>
      <c r="BA34" s="246" t="s">
        <v>384</v>
      </c>
      <c r="BB34" s="247">
        <v>2.9600000000000001E-2</v>
      </c>
      <c r="BC34" s="247">
        <v>1.1656</v>
      </c>
      <c r="BD34" s="246" t="s">
        <v>384</v>
      </c>
      <c r="BE34" s="246" t="s">
        <v>384</v>
      </c>
      <c r="BF34" s="247">
        <v>-0.214</v>
      </c>
      <c r="BG34" s="247">
        <v>-0.161</v>
      </c>
      <c r="BH34" s="246" t="s">
        <v>384</v>
      </c>
      <c r="BI34" s="246" t="s">
        <v>384</v>
      </c>
      <c r="BJ34" s="247">
        <v>-0.25480000000000003</v>
      </c>
      <c r="BK34" s="247">
        <v>-5.21E-2</v>
      </c>
      <c r="BL34" s="246">
        <v>0.56000000000000005</v>
      </c>
      <c r="BM34" s="247">
        <v>-0.15890000000000001</v>
      </c>
      <c r="BN34" s="247">
        <v>-9.3100000000000002E-2</v>
      </c>
      <c r="BO34" s="247">
        <v>-3.7000000000000002E-3</v>
      </c>
      <c r="BP34" s="247">
        <v>0.25</v>
      </c>
      <c r="BQ34" s="247">
        <v>0</v>
      </c>
      <c r="BR34" s="247">
        <v>1.41E-2</v>
      </c>
      <c r="BS34" s="248">
        <v>-47.7</v>
      </c>
      <c r="BT34" s="248">
        <v>-52.2</v>
      </c>
      <c r="BU34" s="248">
        <v>-30.6</v>
      </c>
      <c r="BV34" s="248">
        <v>-30.6</v>
      </c>
      <c r="BW34" s="248">
        <v>-1.2</v>
      </c>
      <c r="BX34" s="248">
        <v>411.1</v>
      </c>
      <c r="BY34" s="248">
        <v>328.6</v>
      </c>
      <c r="BZ34" s="248">
        <v>4.55</v>
      </c>
      <c r="CA34" s="248">
        <v>1.65</v>
      </c>
      <c r="CB34" s="248">
        <v>-30.6</v>
      </c>
      <c r="CC34" s="248">
        <v>27.6</v>
      </c>
      <c r="CD34" s="248">
        <v>-48.35</v>
      </c>
      <c r="CE34" s="248">
        <v>202.6</v>
      </c>
      <c r="CF34" s="247">
        <v>0.61660000000000004</v>
      </c>
      <c r="CG34" s="248">
        <v>7.27</v>
      </c>
      <c r="CH34" s="246" t="s">
        <v>384</v>
      </c>
      <c r="CI34" s="248">
        <v>10.48</v>
      </c>
      <c r="CJ34" s="248">
        <v>-38.72</v>
      </c>
      <c r="CK34" s="248">
        <v>-11.12</v>
      </c>
      <c r="CL34" s="248">
        <v>204.9</v>
      </c>
      <c r="CM34" s="248">
        <v>587.6</v>
      </c>
      <c r="CN34" s="248">
        <v>139.9</v>
      </c>
      <c r="CO34" s="248">
        <v>538.79999999999995</v>
      </c>
      <c r="CP34" s="248">
        <v>-20.399999999999999</v>
      </c>
      <c r="CQ34" s="246">
        <v>1.38</v>
      </c>
      <c r="CR34" s="246">
        <v>0.2</v>
      </c>
      <c r="CS34" s="246">
        <v>0.42</v>
      </c>
      <c r="CT34" s="246">
        <v>1.23</v>
      </c>
      <c r="CU34" s="246">
        <v>1.59</v>
      </c>
      <c r="CV34" s="248">
        <v>9.82</v>
      </c>
      <c r="CW34" s="248">
        <v>-13.21</v>
      </c>
      <c r="CX34" s="248">
        <v>-20.399999999999999</v>
      </c>
      <c r="CY34" s="246" t="s">
        <v>384</v>
      </c>
      <c r="CZ34" s="246" t="s">
        <v>384</v>
      </c>
      <c r="DA34" s="246" t="s">
        <v>384</v>
      </c>
      <c r="DB34" s="246" t="s">
        <v>384</v>
      </c>
      <c r="DC34" s="248">
        <v>1.65</v>
      </c>
      <c r="DD34" s="248">
        <v>1135.4000000000001</v>
      </c>
      <c r="DE34" s="248">
        <v>-38.72</v>
      </c>
      <c r="DF34" s="248">
        <v>1.43</v>
      </c>
      <c r="DG34" s="248">
        <v>-33.21</v>
      </c>
      <c r="DH34" s="248">
        <v>540.23</v>
      </c>
      <c r="DI34" s="248">
        <v>3.75</v>
      </c>
      <c r="DJ34" s="247">
        <v>-0.2656</v>
      </c>
      <c r="DK34" s="247">
        <v>-5.6399999999999999E-2</v>
      </c>
      <c r="DL34" s="246">
        <v>302.77</v>
      </c>
      <c r="DM34" s="246">
        <v>32.25</v>
      </c>
      <c r="DN34" s="246">
        <v>255.68</v>
      </c>
      <c r="DO34" s="246">
        <v>9.82</v>
      </c>
      <c r="DP34" s="247">
        <v>2.47E-2</v>
      </c>
      <c r="DQ34" s="248">
        <v>-9.6999999999999993</v>
      </c>
      <c r="DR34" s="246" t="s">
        <v>814</v>
      </c>
      <c r="DS34" s="246" t="s">
        <v>815</v>
      </c>
      <c r="DT34" s="246" t="e">
        <v>#REF!</v>
      </c>
      <c r="DU34" s="246" t="s">
        <v>388</v>
      </c>
      <c r="DV34" s="248">
        <v>-30.6</v>
      </c>
      <c r="DW34" s="246" t="s">
        <v>816</v>
      </c>
      <c r="DX34" s="246" t="s">
        <v>817</v>
      </c>
      <c r="DY34" s="246" t="s">
        <v>818</v>
      </c>
      <c r="DZ34" s="246">
        <v>17</v>
      </c>
      <c r="EA34" s="247">
        <v>0.1105</v>
      </c>
      <c r="EB34" s="247">
        <v>3.9E-2</v>
      </c>
      <c r="EC34" s="247">
        <v>-6.9400000000000003E-2</v>
      </c>
      <c r="ED34" s="247">
        <v>0.96940000000000004</v>
      </c>
      <c r="EE34" s="247">
        <v>1.1145</v>
      </c>
      <c r="EF34" s="247">
        <v>-0.14580000000000001</v>
      </c>
      <c r="EG34" s="247">
        <v>-8.0799999999999997E-2</v>
      </c>
      <c r="EH34" s="247">
        <v>-9.2999999999999999E-2</v>
      </c>
      <c r="EI34" s="248">
        <v>-9.6999999999999993</v>
      </c>
      <c r="EJ34" s="234">
        <v>-30.6</v>
      </c>
      <c r="EK34" s="234">
        <v>-31.1</v>
      </c>
      <c r="EL34" s="234" t="s">
        <v>819</v>
      </c>
      <c r="EM34" s="234" t="s">
        <v>820</v>
      </c>
      <c r="EN34" s="234" t="s">
        <v>821</v>
      </c>
      <c r="EO34" s="234" t="s">
        <v>822</v>
      </c>
      <c r="EP34" s="234" t="s">
        <v>376</v>
      </c>
      <c r="EQ34" s="234" t="s">
        <v>377</v>
      </c>
      <c r="ER34" s="234">
        <v>0</v>
      </c>
      <c r="ES34" s="249">
        <v>-9.8299999999999998E-2</v>
      </c>
      <c r="ET34" s="234" t="s">
        <v>384</v>
      </c>
      <c r="EU34" s="250">
        <v>328.6</v>
      </c>
      <c r="EV34" s="234" t="s">
        <v>491</v>
      </c>
      <c r="EW34" s="250">
        <v>540.79999999999995</v>
      </c>
      <c r="EX34" s="250">
        <v>547.20000000000005</v>
      </c>
      <c r="EY34" s="250">
        <v>396.3</v>
      </c>
      <c r="EZ34" s="250">
        <v>698.7</v>
      </c>
      <c r="FA34" s="250">
        <v>325.89999999999998</v>
      </c>
      <c r="FB34" s="250">
        <v>318.2</v>
      </c>
      <c r="FC34" s="250">
        <v>219.2</v>
      </c>
      <c r="FD34" s="249">
        <v>0</v>
      </c>
      <c r="FE34" s="250">
        <v>0</v>
      </c>
      <c r="FF34" s="250">
        <v>169.9</v>
      </c>
    </row>
    <row r="35" spans="1:162">
      <c r="A35" s="234" t="s">
        <v>823</v>
      </c>
      <c r="B35" s="234" t="s">
        <v>824</v>
      </c>
      <c r="C35" s="246" t="s">
        <v>361</v>
      </c>
      <c r="D35" s="246" t="s">
        <v>362</v>
      </c>
      <c r="E35" s="246">
        <v>4210</v>
      </c>
      <c r="F35" s="246" t="s">
        <v>825</v>
      </c>
      <c r="G35" s="246" t="s">
        <v>382</v>
      </c>
      <c r="H35" s="246" t="s">
        <v>383</v>
      </c>
      <c r="I35" s="246">
        <v>0.74739999999999995</v>
      </c>
      <c r="J35" s="246">
        <v>1.7624</v>
      </c>
      <c r="K35" s="247">
        <v>4.2299999999999997E-2</v>
      </c>
      <c r="L35" s="247">
        <v>0.11409999999999999</v>
      </c>
      <c r="M35" s="247">
        <v>1.2500000000000001E-2</v>
      </c>
      <c r="N35" s="247">
        <v>1.2500000000000001E-2</v>
      </c>
      <c r="O35" s="247">
        <v>5.1999999999999998E-2</v>
      </c>
      <c r="P35" s="247">
        <v>3.8600000000000002E-2</v>
      </c>
      <c r="Q35" s="247">
        <v>6.5199999999999994E-2</v>
      </c>
      <c r="R35" s="247">
        <v>-0.22570000000000001</v>
      </c>
      <c r="S35" s="247">
        <v>-1.3899999999999999E-2</v>
      </c>
      <c r="T35" s="248">
        <v>632.5</v>
      </c>
      <c r="U35" s="248">
        <v>0</v>
      </c>
      <c r="V35" s="248">
        <v>1157.5999999999999</v>
      </c>
      <c r="W35" s="248">
        <v>1157.5999999999999</v>
      </c>
      <c r="X35" s="248">
        <v>1790.1</v>
      </c>
      <c r="Y35" s="248">
        <v>395.2</v>
      </c>
      <c r="Z35" s="248">
        <v>1394.9</v>
      </c>
      <c r="AA35" s="247">
        <v>0.2208</v>
      </c>
      <c r="AB35" s="246">
        <v>0.97</v>
      </c>
      <c r="AC35" s="247">
        <v>0.88390000000000002</v>
      </c>
      <c r="AD35" s="247">
        <v>0.64670000000000005</v>
      </c>
      <c r="AE35" s="247">
        <v>7.6158000000000001</v>
      </c>
      <c r="AF35" s="247">
        <v>1.8302</v>
      </c>
      <c r="AG35" s="248">
        <v>1.24</v>
      </c>
      <c r="AH35" s="246">
        <v>50.04</v>
      </c>
      <c r="AI35" s="247">
        <v>-0.2722</v>
      </c>
      <c r="AJ35" s="246">
        <v>1.1399999999999999</v>
      </c>
      <c r="AK35" s="247">
        <v>0.251</v>
      </c>
      <c r="AL35" s="247">
        <v>0.28399999999999997</v>
      </c>
      <c r="AM35" s="246">
        <v>0.16</v>
      </c>
      <c r="AN35" s="233">
        <v>0.76</v>
      </c>
      <c r="AO35" s="246">
        <v>35.94</v>
      </c>
      <c r="AP35" s="246" t="s">
        <v>384</v>
      </c>
      <c r="AQ35" s="246">
        <v>30.89</v>
      </c>
      <c r="AR35" s="246">
        <v>20.67</v>
      </c>
      <c r="AS35" s="246" t="s">
        <v>384</v>
      </c>
      <c r="AT35" s="246">
        <v>4.16</v>
      </c>
      <c r="AU35" s="246">
        <v>2.56</v>
      </c>
      <c r="AV35" s="246">
        <v>0.19</v>
      </c>
      <c r="AW35" s="246">
        <v>47.77</v>
      </c>
      <c r="AX35" s="246">
        <v>9.5399999999999991</v>
      </c>
      <c r="AY35" s="246">
        <v>1.94</v>
      </c>
      <c r="AZ35" s="246">
        <v>0.41</v>
      </c>
      <c r="BA35" s="246" t="s">
        <v>384</v>
      </c>
      <c r="BB35" s="247">
        <v>2.7699999999999999E-2</v>
      </c>
      <c r="BC35" s="247">
        <v>0.16350000000000001</v>
      </c>
      <c r="BD35" s="246" t="s">
        <v>384</v>
      </c>
      <c r="BE35" s="246" t="s">
        <v>384</v>
      </c>
      <c r="BF35" s="247">
        <v>9.1000000000000004E-3</v>
      </c>
      <c r="BG35" s="247">
        <v>1.34E-2</v>
      </c>
      <c r="BH35" s="246" t="s">
        <v>384</v>
      </c>
      <c r="BI35" s="247">
        <v>1.9E-2</v>
      </c>
      <c r="BJ35" s="247">
        <v>-0.1116</v>
      </c>
      <c r="BK35" s="247">
        <v>5.1400000000000001E-2</v>
      </c>
      <c r="BL35" s="246">
        <v>6.76</v>
      </c>
      <c r="BM35" s="247">
        <v>-4.8999999999999998E-3</v>
      </c>
      <c r="BN35" s="247">
        <v>7.6E-3</v>
      </c>
      <c r="BO35" s="247">
        <v>0.105</v>
      </c>
      <c r="BP35" s="247">
        <v>0.25800000000000001</v>
      </c>
      <c r="BQ35" s="247">
        <v>0</v>
      </c>
      <c r="BR35" s="247">
        <v>9.8900000000000002E-2</v>
      </c>
      <c r="BS35" s="248">
        <v>17.600000000000001</v>
      </c>
      <c r="BT35" s="248">
        <v>-18.7</v>
      </c>
      <c r="BU35" s="248">
        <v>29.2</v>
      </c>
      <c r="BV35" s="248">
        <v>29.2</v>
      </c>
      <c r="BW35" s="248">
        <v>403.4</v>
      </c>
      <c r="BX35" s="248">
        <v>3366.8</v>
      </c>
      <c r="BY35" s="248">
        <v>3842.4</v>
      </c>
      <c r="BZ35" s="248">
        <v>90.1</v>
      </c>
      <c r="CA35" s="248">
        <v>146.19999999999999</v>
      </c>
      <c r="CB35" s="248">
        <v>29.2</v>
      </c>
      <c r="CC35" s="248">
        <v>408.1</v>
      </c>
      <c r="CD35" s="248">
        <v>8.15</v>
      </c>
      <c r="CE35" s="248">
        <v>-30.33</v>
      </c>
      <c r="CF35" s="247">
        <v>-7.9000000000000008E-3</v>
      </c>
      <c r="CG35" s="248">
        <v>-190.6</v>
      </c>
      <c r="CH35" s="247">
        <v>-6.2483000000000004</v>
      </c>
      <c r="CI35" s="248">
        <v>211.65</v>
      </c>
      <c r="CJ35" s="248">
        <v>-244.35</v>
      </c>
      <c r="CK35" s="248">
        <v>163.75</v>
      </c>
      <c r="CL35" s="248">
        <v>167.5</v>
      </c>
      <c r="CM35" s="248">
        <v>568.29999999999995</v>
      </c>
      <c r="CN35" s="248">
        <v>152</v>
      </c>
      <c r="CO35" s="248">
        <v>719.1</v>
      </c>
      <c r="CP35" s="248">
        <v>-17.5</v>
      </c>
      <c r="CQ35" s="246">
        <v>0.59</v>
      </c>
      <c r="CR35" s="246">
        <v>0.69</v>
      </c>
      <c r="CS35" s="246">
        <v>0.55000000000000004</v>
      </c>
      <c r="CT35" s="246">
        <v>1.5</v>
      </c>
      <c r="CU35" s="246">
        <v>1.78</v>
      </c>
      <c r="CV35" s="248">
        <v>73.33</v>
      </c>
      <c r="CW35" s="248">
        <v>25.95</v>
      </c>
      <c r="CX35" s="248">
        <v>-17.5</v>
      </c>
      <c r="CY35" s="246" t="s">
        <v>384</v>
      </c>
      <c r="CZ35" s="246" t="s">
        <v>384</v>
      </c>
      <c r="DA35" s="246" t="s">
        <v>384</v>
      </c>
      <c r="DB35" s="246" t="s">
        <v>384</v>
      </c>
      <c r="DC35" s="248">
        <v>146.19999999999999</v>
      </c>
      <c r="DD35" s="248">
        <v>1394.9</v>
      </c>
      <c r="DE35" s="248">
        <v>-244.35</v>
      </c>
      <c r="DF35" s="248">
        <v>0</v>
      </c>
      <c r="DG35" s="248">
        <v>29.2</v>
      </c>
      <c r="DH35" s="248">
        <v>719.1</v>
      </c>
      <c r="DI35" s="248">
        <v>90.1</v>
      </c>
      <c r="DJ35" s="247">
        <v>-0.1116</v>
      </c>
      <c r="DK35" s="247">
        <v>5.1400000000000001E-2</v>
      </c>
      <c r="DL35" s="246">
        <v>15.48</v>
      </c>
      <c r="DM35" s="246">
        <v>225.7</v>
      </c>
      <c r="DN35" s="246">
        <v>19.3</v>
      </c>
      <c r="DO35" s="246">
        <v>73.33</v>
      </c>
      <c r="DP35" s="247">
        <v>0.1986</v>
      </c>
      <c r="DQ35" s="248">
        <v>-255.8</v>
      </c>
      <c r="DR35" s="246" t="s">
        <v>826</v>
      </c>
      <c r="DS35" s="246" t="s">
        <v>827</v>
      </c>
      <c r="DT35" s="246" t="e">
        <v>#REF!</v>
      </c>
      <c r="DU35" s="246" t="s">
        <v>388</v>
      </c>
      <c r="DV35" s="246" t="s">
        <v>828</v>
      </c>
      <c r="DW35" s="246" t="s">
        <v>829</v>
      </c>
      <c r="DX35" s="246" t="s">
        <v>830</v>
      </c>
      <c r="DY35" s="246" t="s">
        <v>831</v>
      </c>
      <c r="DZ35" s="246" t="s">
        <v>384</v>
      </c>
      <c r="EA35" s="247">
        <v>-6.1000000000000004E-3</v>
      </c>
      <c r="EB35" s="247">
        <v>2.41E-2</v>
      </c>
      <c r="EC35" s="247">
        <v>0.13109999999999999</v>
      </c>
      <c r="ED35" s="247">
        <v>1.41E-2</v>
      </c>
      <c r="EE35" s="247">
        <v>0.1676</v>
      </c>
      <c r="EF35" s="247">
        <v>-2.0000000000000001E-4</v>
      </c>
      <c r="EG35" s="247">
        <v>8.2000000000000007E-3</v>
      </c>
      <c r="EH35" s="247">
        <v>8.0000000000000002E-3</v>
      </c>
      <c r="EI35" s="248">
        <v>-255.8</v>
      </c>
      <c r="EJ35" s="234">
        <v>29.2</v>
      </c>
      <c r="EK35" s="234">
        <v>31.6</v>
      </c>
      <c r="EL35" s="234" t="s">
        <v>832</v>
      </c>
      <c r="EM35" s="234" t="s">
        <v>833</v>
      </c>
      <c r="EN35" s="234" t="s">
        <v>834</v>
      </c>
      <c r="EO35" s="234" t="s">
        <v>835</v>
      </c>
      <c r="EP35" s="234" t="s">
        <v>376</v>
      </c>
      <c r="EQ35" s="234" t="s">
        <v>377</v>
      </c>
      <c r="ER35" s="234">
        <v>0</v>
      </c>
      <c r="ES35" s="249">
        <v>-7.1000000000000004E-3</v>
      </c>
      <c r="ET35" s="234" t="s">
        <v>384</v>
      </c>
      <c r="EU35" s="250">
        <v>3842.4</v>
      </c>
      <c r="EV35" s="234" t="s">
        <v>491</v>
      </c>
      <c r="EW35" s="250">
        <v>1912.7</v>
      </c>
      <c r="EX35" s="250">
        <v>2252.5</v>
      </c>
      <c r="EY35" s="250">
        <v>886</v>
      </c>
      <c r="EZ35" s="250">
        <v>771.9</v>
      </c>
      <c r="FA35" s="250">
        <v>541.70000000000005</v>
      </c>
      <c r="FB35" s="250">
        <v>543.6</v>
      </c>
      <c r="FC35" s="250">
        <v>361.3</v>
      </c>
      <c r="FD35" s="249">
        <v>0.65900000000000003</v>
      </c>
      <c r="FE35" s="250">
        <v>0</v>
      </c>
      <c r="FF35" s="250">
        <v>0</v>
      </c>
    </row>
    <row r="36" spans="1:162">
      <c r="A36" s="234" t="s">
        <v>836</v>
      </c>
      <c r="B36" s="234" t="s">
        <v>837</v>
      </c>
      <c r="C36" s="246" t="s">
        <v>361</v>
      </c>
      <c r="D36" s="246" t="s">
        <v>362</v>
      </c>
      <c r="E36" s="246">
        <v>4210</v>
      </c>
      <c r="F36" s="246" t="s">
        <v>509</v>
      </c>
      <c r="G36" s="246" t="s">
        <v>417</v>
      </c>
      <c r="H36" s="246" t="s">
        <v>509</v>
      </c>
      <c r="I36" s="246">
        <v>0.74739999999999995</v>
      </c>
      <c r="J36" s="246">
        <v>0.76380000000000003</v>
      </c>
      <c r="K36" s="247">
        <v>5.1400000000000001E-2</v>
      </c>
      <c r="L36" s="247">
        <v>7.8799999999999995E-2</v>
      </c>
      <c r="M36" s="246" t="s">
        <v>384</v>
      </c>
      <c r="N36" s="247">
        <v>1.7100000000000001E-2</v>
      </c>
      <c r="O36" s="247">
        <v>5.6599999999999998E-2</v>
      </c>
      <c r="P36" s="247">
        <v>4.2500000000000003E-2</v>
      </c>
      <c r="Q36" s="247">
        <v>7.7700000000000005E-2</v>
      </c>
      <c r="R36" s="247">
        <v>-8.2100000000000006E-2</v>
      </c>
      <c r="S36" s="247">
        <v>5.91E-2</v>
      </c>
      <c r="T36" s="248">
        <v>615.70000000000005</v>
      </c>
      <c r="U36" s="248">
        <v>0</v>
      </c>
      <c r="V36" s="248">
        <v>18</v>
      </c>
      <c r="W36" s="248">
        <v>18</v>
      </c>
      <c r="X36" s="248">
        <v>633.70000000000005</v>
      </c>
      <c r="Y36" s="248">
        <v>43.5</v>
      </c>
      <c r="Z36" s="248">
        <v>590.20000000000005</v>
      </c>
      <c r="AA36" s="247">
        <v>6.8599999999999994E-2</v>
      </c>
      <c r="AB36" s="246">
        <v>11.66</v>
      </c>
      <c r="AC36" s="247">
        <v>0.1016</v>
      </c>
      <c r="AD36" s="247">
        <v>2.8400000000000002E-2</v>
      </c>
      <c r="AE36" s="247">
        <v>0.11310000000000001</v>
      </c>
      <c r="AF36" s="247">
        <v>2.92E-2</v>
      </c>
      <c r="AG36" s="248">
        <v>1.68</v>
      </c>
      <c r="AH36" s="246">
        <v>69.06</v>
      </c>
      <c r="AI36" s="247">
        <v>-4.6300000000000001E-2</v>
      </c>
      <c r="AJ36" s="246">
        <v>1.6</v>
      </c>
      <c r="AK36" s="247">
        <v>0.19489999999999999</v>
      </c>
      <c r="AL36" s="247">
        <v>0.54910000000000003</v>
      </c>
      <c r="AM36" s="246">
        <v>0.44</v>
      </c>
      <c r="AN36" s="233">
        <v>32.4</v>
      </c>
      <c r="AO36" s="246" t="s">
        <v>384</v>
      </c>
      <c r="AP36" s="246" t="s">
        <v>384</v>
      </c>
      <c r="AQ36" s="246" t="s">
        <v>384</v>
      </c>
      <c r="AR36" s="246" t="s">
        <v>384</v>
      </c>
      <c r="AS36" s="246" t="s">
        <v>384</v>
      </c>
      <c r="AT36" s="246">
        <v>3.87</v>
      </c>
      <c r="AU36" s="246">
        <v>2.19</v>
      </c>
      <c r="AV36" s="246">
        <v>7.23</v>
      </c>
      <c r="AW36" s="246">
        <v>14.12</v>
      </c>
      <c r="AX36" s="246">
        <v>13.2</v>
      </c>
      <c r="AY36" s="246">
        <v>4.42</v>
      </c>
      <c r="AZ36" s="246">
        <v>6.93</v>
      </c>
      <c r="BA36" s="246" t="s">
        <v>384</v>
      </c>
      <c r="BB36" s="247">
        <v>2.0999999999999999E-3</v>
      </c>
      <c r="BC36" s="247">
        <v>0.86350000000000005</v>
      </c>
      <c r="BD36" s="246" t="s">
        <v>384</v>
      </c>
      <c r="BE36" s="246" t="s">
        <v>384</v>
      </c>
      <c r="BF36" s="247">
        <v>-0.27600000000000002</v>
      </c>
      <c r="BG36" s="247">
        <v>-0.29699999999999999</v>
      </c>
      <c r="BH36" s="246" t="s">
        <v>384</v>
      </c>
      <c r="BI36" s="246" t="s">
        <v>384</v>
      </c>
      <c r="BJ36" s="247">
        <v>-3.3999999999999998E-3</v>
      </c>
      <c r="BK36" s="247">
        <v>0.13689999999999999</v>
      </c>
      <c r="BL36" s="246">
        <v>0.63</v>
      </c>
      <c r="BM36" s="247">
        <v>-6.0000000000000001E-3</v>
      </c>
      <c r="BN36" s="247">
        <v>0.4345</v>
      </c>
      <c r="BO36" s="247">
        <v>0.42520000000000002</v>
      </c>
      <c r="BP36" s="247">
        <v>0.25</v>
      </c>
      <c r="BQ36" s="247">
        <v>0.5</v>
      </c>
      <c r="BR36" s="247">
        <v>0.1057</v>
      </c>
      <c r="BS36" s="248">
        <v>-11.6</v>
      </c>
      <c r="BT36" s="248">
        <v>-0.56999999999999995</v>
      </c>
      <c r="BU36" s="248">
        <v>41.8</v>
      </c>
      <c r="BV36" s="248">
        <v>41.8</v>
      </c>
      <c r="BW36" s="248">
        <v>40.9</v>
      </c>
      <c r="BX36" s="248">
        <v>85.2</v>
      </c>
      <c r="BY36" s="248">
        <v>96.2</v>
      </c>
      <c r="BZ36" s="248">
        <v>23.3</v>
      </c>
      <c r="CA36" s="248">
        <v>44.7</v>
      </c>
      <c r="CB36" s="248">
        <v>20.9</v>
      </c>
      <c r="CC36" s="248">
        <v>7.3</v>
      </c>
      <c r="CD36" s="248">
        <v>39.729999999999997</v>
      </c>
      <c r="CE36" s="248">
        <v>-223.35</v>
      </c>
      <c r="CF36" s="247">
        <v>-2.3216999999999999</v>
      </c>
      <c r="CG36" s="248">
        <v>33.1</v>
      </c>
      <c r="CH36" s="247">
        <v>3.4847000000000001</v>
      </c>
      <c r="CI36" s="248">
        <v>-51.93</v>
      </c>
      <c r="CJ36" s="248">
        <v>-80.7</v>
      </c>
      <c r="CK36" s="248">
        <v>-73.400000000000006</v>
      </c>
      <c r="CL36" s="248">
        <v>169.4</v>
      </c>
      <c r="CM36" s="248">
        <v>152.69999999999999</v>
      </c>
      <c r="CN36" s="248">
        <v>159.1</v>
      </c>
      <c r="CO36" s="248">
        <v>133.6</v>
      </c>
      <c r="CP36" s="248">
        <v>-1.32</v>
      </c>
      <c r="CQ36" s="246">
        <v>0.89</v>
      </c>
      <c r="CR36" s="246">
        <v>0.23</v>
      </c>
      <c r="CS36" s="246">
        <v>0.42</v>
      </c>
      <c r="CT36" s="246">
        <v>0.96</v>
      </c>
      <c r="CU36" s="246">
        <v>1.02</v>
      </c>
      <c r="CV36" s="248">
        <v>8.59</v>
      </c>
      <c r="CW36" s="248">
        <v>8.69</v>
      </c>
      <c r="CX36" s="248">
        <v>-6.82</v>
      </c>
      <c r="CY36" s="248">
        <v>0.27</v>
      </c>
      <c r="CZ36" s="248">
        <v>4.8499999999999996</v>
      </c>
      <c r="DA36" s="246" t="s">
        <v>384</v>
      </c>
      <c r="DB36" s="246" t="s">
        <v>384</v>
      </c>
      <c r="DC36" s="248">
        <v>44.7</v>
      </c>
      <c r="DD36" s="248">
        <v>590.20000000000005</v>
      </c>
      <c r="DE36" s="248">
        <v>-80.7</v>
      </c>
      <c r="DF36" s="248">
        <v>1.35</v>
      </c>
      <c r="DG36" s="248">
        <v>39.94</v>
      </c>
      <c r="DH36" s="248">
        <v>134.94999999999999</v>
      </c>
      <c r="DI36" s="248">
        <v>23.1</v>
      </c>
      <c r="DJ36" s="247">
        <v>-1.43E-2</v>
      </c>
      <c r="DK36" s="247">
        <v>0.12959999999999999</v>
      </c>
      <c r="DL36" s="246">
        <v>25.55</v>
      </c>
      <c r="DM36" s="246">
        <v>2.9</v>
      </c>
      <c r="DN36" s="246">
        <v>1546.8</v>
      </c>
      <c r="DO36" s="246">
        <v>8.59</v>
      </c>
      <c r="DP36" s="247">
        <v>1.0200000000000001E-2</v>
      </c>
      <c r="DQ36" s="248">
        <v>-34.299999999999997</v>
      </c>
      <c r="DR36" s="246" t="s">
        <v>838</v>
      </c>
      <c r="DS36" s="246" t="s">
        <v>839</v>
      </c>
      <c r="DT36" s="246" t="e">
        <v>#REF!</v>
      </c>
      <c r="DU36" s="246" t="s">
        <v>388</v>
      </c>
      <c r="DV36" s="246" t="s">
        <v>840</v>
      </c>
      <c r="DW36" s="246" t="s">
        <v>841</v>
      </c>
      <c r="DX36" s="246" t="s">
        <v>842</v>
      </c>
      <c r="DY36" s="246" t="s">
        <v>843</v>
      </c>
      <c r="DZ36" s="246">
        <v>15</v>
      </c>
      <c r="EA36" s="247">
        <v>1.14E-2</v>
      </c>
      <c r="EB36" s="247">
        <v>0.39889999999999998</v>
      </c>
      <c r="EC36" s="247">
        <v>-8.1000000000000003E-2</v>
      </c>
      <c r="ED36" s="247">
        <v>0.35289999999999999</v>
      </c>
      <c r="EE36" s="247">
        <v>0.7591</v>
      </c>
      <c r="EF36" s="247">
        <v>-5.96E-2</v>
      </c>
      <c r="EG36" s="247">
        <v>0.30599999999999999</v>
      </c>
      <c r="EH36" s="247">
        <v>0.435</v>
      </c>
      <c r="EI36" s="248">
        <v>-34.299999999999997</v>
      </c>
      <c r="EJ36" s="234">
        <v>41.8</v>
      </c>
      <c r="EK36" s="234">
        <v>31.3</v>
      </c>
      <c r="EL36" s="234" t="s">
        <v>844</v>
      </c>
      <c r="EM36" s="234" t="s">
        <v>845</v>
      </c>
      <c r="EN36" s="234" t="s">
        <v>846</v>
      </c>
      <c r="EO36" s="234" t="s">
        <v>847</v>
      </c>
      <c r="EP36" s="234" t="s">
        <v>376</v>
      </c>
      <c r="EQ36" s="234" t="s">
        <v>377</v>
      </c>
      <c r="ER36" s="234">
        <v>0</v>
      </c>
      <c r="ES36" s="249">
        <v>-0.28039999999999998</v>
      </c>
      <c r="ET36" s="234" t="s">
        <v>384</v>
      </c>
      <c r="EU36" s="250">
        <v>96.2</v>
      </c>
      <c r="EV36" s="234" t="s">
        <v>491</v>
      </c>
      <c r="EW36" s="250">
        <v>1110.5999999999999</v>
      </c>
      <c r="EX36" s="250">
        <v>393.1</v>
      </c>
      <c r="EY36" s="250">
        <v>447.1</v>
      </c>
      <c r="EZ36" s="250">
        <v>451.7</v>
      </c>
      <c r="FA36" s="250">
        <v>350</v>
      </c>
      <c r="FB36" s="250">
        <v>330.4</v>
      </c>
      <c r="FC36" s="250">
        <v>6.73</v>
      </c>
      <c r="FD36" s="249">
        <v>0</v>
      </c>
      <c r="FE36" s="250">
        <v>0</v>
      </c>
      <c r="FF36" s="250">
        <v>0</v>
      </c>
    </row>
    <row r="37" spans="1:162">
      <c r="A37" s="234" t="s">
        <v>848</v>
      </c>
      <c r="B37" s="234" t="s">
        <v>849</v>
      </c>
      <c r="C37" s="246" t="s">
        <v>401</v>
      </c>
      <c r="D37" s="246" t="s">
        <v>362</v>
      </c>
      <c r="E37" s="246">
        <v>4210</v>
      </c>
      <c r="F37" s="246" t="s">
        <v>509</v>
      </c>
      <c r="G37" s="246" t="s">
        <v>417</v>
      </c>
      <c r="H37" s="246" t="s">
        <v>509</v>
      </c>
      <c r="I37" s="246">
        <v>0.66930000000000001</v>
      </c>
      <c r="J37" s="246">
        <v>0.75429999999999997</v>
      </c>
      <c r="K37" s="247">
        <v>5.1400000000000001E-2</v>
      </c>
      <c r="L37" s="247">
        <v>7.8299999999999995E-2</v>
      </c>
      <c r="M37" s="246" t="s">
        <v>384</v>
      </c>
      <c r="N37" s="247">
        <v>1.7100000000000001E-2</v>
      </c>
      <c r="O37" s="247">
        <v>5.6599999999999998E-2</v>
      </c>
      <c r="P37" s="247">
        <v>4.2500000000000003E-2</v>
      </c>
      <c r="Q37" s="247">
        <v>7.3099999999999998E-2</v>
      </c>
      <c r="R37" s="247">
        <v>-0.18340000000000001</v>
      </c>
      <c r="S37" s="247">
        <v>-0.10290000000000001</v>
      </c>
      <c r="T37" s="248">
        <v>568.5</v>
      </c>
      <c r="U37" s="248">
        <v>0</v>
      </c>
      <c r="V37" s="248">
        <v>96.2</v>
      </c>
      <c r="W37" s="248">
        <v>96.2</v>
      </c>
      <c r="X37" s="248">
        <v>664.7</v>
      </c>
      <c r="Y37" s="248">
        <v>10.199999999999999</v>
      </c>
      <c r="Z37" s="248">
        <v>654.5</v>
      </c>
      <c r="AA37" s="247">
        <v>1.5299999999999999E-2</v>
      </c>
      <c r="AB37" s="246">
        <v>4.08</v>
      </c>
      <c r="AC37" s="247">
        <v>0.55900000000000005</v>
      </c>
      <c r="AD37" s="247">
        <v>0.1447</v>
      </c>
      <c r="AE37" s="247">
        <v>1.2675000000000001</v>
      </c>
      <c r="AF37" s="247">
        <v>0.16919999999999999</v>
      </c>
      <c r="AG37" s="248">
        <v>5.45</v>
      </c>
      <c r="AH37" s="246">
        <v>69.06</v>
      </c>
      <c r="AI37" s="247">
        <v>0.1091</v>
      </c>
      <c r="AJ37" s="246">
        <v>0.9</v>
      </c>
      <c r="AK37" s="247">
        <v>7.7499999999999999E-2</v>
      </c>
      <c r="AL37" s="247">
        <v>0.56079999999999997</v>
      </c>
      <c r="AM37" s="246">
        <v>0.64</v>
      </c>
      <c r="AN37" s="233" t="s">
        <v>384</v>
      </c>
      <c r="AO37" s="246" t="s">
        <v>384</v>
      </c>
      <c r="AP37" s="246" t="s">
        <v>384</v>
      </c>
      <c r="AQ37" s="246" t="s">
        <v>384</v>
      </c>
      <c r="AR37" s="246" t="s">
        <v>384</v>
      </c>
      <c r="AS37" s="246" t="s">
        <v>384</v>
      </c>
      <c r="AT37" s="246">
        <v>7.49</v>
      </c>
      <c r="AU37" s="246">
        <v>2.4300000000000002</v>
      </c>
      <c r="AV37" s="246">
        <v>13.93</v>
      </c>
      <c r="AW37" s="246" t="s">
        <v>384</v>
      </c>
      <c r="AX37" s="246">
        <v>4576.92</v>
      </c>
      <c r="AY37" s="246">
        <v>4.04</v>
      </c>
      <c r="AZ37" s="246">
        <v>16.04</v>
      </c>
      <c r="BA37" s="246" t="s">
        <v>384</v>
      </c>
      <c r="BB37" s="247">
        <v>2.9999999999999997E-4</v>
      </c>
      <c r="BC37" s="247">
        <v>1.9184000000000001</v>
      </c>
      <c r="BD37" s="246" t="s">
        <v>384</v>
      </c>
      <c r="BE37" s="246" t="s">
        <v>384</v>
      </c>
      <c r="BF37" s="247">
        <v>-0.105</v>
      </c>
      <c r="BG37" s="247">
        <v>-7.4899999999999994E-2</v>
      </c>
      <c r="BH37" s="246" t="s">
        <v>384</v>
      </c>
      <c r="BI37" s="246" t="s">
        <v>384</v>
      </c>
      <c r="BJ37" s="247">
        <v>-0.1052</v>
      </c>
      <c r="BK37" s="247">
        <v>-2.98E-2</v>
      </c>
      <c r="BL37" s="246">
        <v>0.34</v>
      </c>
      <c r="BM37" s="247">
        <v>-0.16619999999999999</v>
      </c>
      <c r="BN37" s="247">
        <v>-8.7599999999999997E-2</v>
      </c>
      <c r="BO37" s="247">
        <v>7.7299999999999994E-2</v>
      </c>
      <c r="BP37" s="247">
        <v>0.25</v>
      </c>
      <c r="BQ37" s="247">
        <v>0</v>
      </c>
      <c r="BR37" s="246" t="s">
        <v>384</v>
      </c>
      <c r="BS37" s="248">
        <v>-7.31</v>
      </c>
      <c r="BT37" s="248">
        <v>-9.14</v>
      </c>
      <c r="BU37" s="248">
        <v>-4.82</v>
      </c>
      <c r="BV37" s="248">
        <v>-4.82</v>
      </c>
      <c r="BW37" s="248">
        <v>4.25</v>
      </c>
      <c r="BX37" s="248">
        <v>40.799999999999997</v>
      </c>
      <c r="BY37" s="248">
        <v>55</v>
      </c>
      <c r="BZ37" s="248">
        <v>2.2000000000000002</v>
      </c>
      <c r="CA37" s="248">
        <v>0.14000000000000001</v>
      </c>
      <c r="CB37" s="248">
        <v>-4.82</v>
      </c>
      <c r="CC37" s="248">
        <v>-5.24</v>
      </c>
      <c r="CD37" s="248">
        <v>5.0199999999999996</v>
      </c>
      <c r="CE37" s="248">
        <v>11.05</v>
      </c>
      <c r="CF37" s="247">
        <v>0.2009</v>
      </c>
      <c r="CG37" s="248">
        <v>13.5</v>
      </c>
      <c r="CH37" s="246" t="s">
        <v>384</v>
      </c>
      <c r="CI37" s="248">
        <v>-23.34</v>
      </c>
      <c r="CJ37" s="248">
        <v>-22.42</v>
      </c>
      <c r="CK37" s="248">
        <v>-27.66</v>
      </c>
      <c r="CL37" s="248">
        <v>86.9</v>
      </c>
      <c r="CM37" s="248">
        <v>161.69999999999999</v>
      </c>
      <c r="CN37" s="248">
        <v>75.900000000000006</v>
      </c>
      <c r="CO37" s="248">
        <v>161.9</v>
      </c>
      <c r="CP37" s="248">
        <v>-0.2</v>
      </c>
      <c r="CQ37" s="246">
        <v>0.36</v>
      </c>
      <c r="CR37" s="246">
        <v>0.41</v>
      </c>
      <c r="CS37" s="246">
        <v>0.42</v>
      </c>
      <c r="CT37" s="246">
        <v>1.18</v>
      </c>
      <c r="CU37" s="246">
        <v>1.33</v>
      </c>
      <c r="CV37" s="248">
        <v>3.7</v>
      </c>
      <c r="CW37" s="248">
        <v>2.33</v>
      </c>
      <c r="CX37" s="248">
        <v>-1.61</v>
      </c>
      <c r="CY37" s="246" t="s">
        <v>384</v>
      </c>
      <c r="CZ37" s="246" t="s">
        <v>384</v>
      </c>
      <c r="DA37" s="246" t="s">
        <v>384</v>
      </c>
      <c r="DB37" s="246" t="s">
        <v>384</v>
      </c>
      <c r="DC37" s="248">
        <v>0.14000000000000001</v>
      </c>
      <c r="DD37" s="248">
        <v>654.5</v>
      </c>
      <c r="DE37" s="248">
        <v>-22.42</v>
      </c>
      <c r="DF37" s="248">
        <v>2.67</v>
      </c>
      <c r="DG37" s="248">
        <v>-5.24</v>
      </c>
      <c r="DH37" s="248">
        <v>164.57</v>
      </c>
      <c r="DI37" s="248">
        <v>2.97</v>
      </c>
      <c r="DJ37" s="247">
        <v>-0.10680000000000001</v>
      </c>
      <c r="DK37" s="247">
        <v>-3.1899999999999998E-2</v>
      </c>
      <c r="DL37" s="246">
        <v>220.15</v>
      </c>
      <c r="DM37" s="246">
        <v>4.96</v>
      </c>
      <c r="DN37" s="246">
        <v>35.14</v>
      </c>
      <c r="DO37" s="246">
        <v>3.7</v>
      </c>
      <c r="DP37" s="247">
        <v>3.7499999999999999E-2</v>
      </c>
      <c r="DQ37" s="246" t="s">
        <v>850</v>
      </c>
      <c r="DR37" s="246" t="s">
        <v>851</v>
      </c>
      <c r="DS37" s="246" t="s">
        <v>852</v>
      </c>
      <c r="DT37" s="246" t="e">
        <v>#REF!</v>
      </c>
      <c r="DU37" s="246" t="s">
        <v>388</v>
      </c>
      <c r="DV37" s="248">
        <v>-4.82</v>
      </c>
      <c r="DW37" s="246" t="s">
        <v>471</v>
      </c>
      <c r="DX37" s="246" t="s">
        <v>853</v>
      </c>
      <c r="DY37" s="246" t="s">
        <v>854</v>
      </c>
      <c r="DZ37" s="246">
        <v>15</v>
      </c>
      <c r="EA37" s="247">
        <v>0.2586</v>
      </c>
      <c r="EB37" s="247">
        <v>-4.6600000000000003E-2</v>
      </c>
      <c r="EC37" s="247">
        <v>0.60880000000000001</v>
      </c>
      <c r="ED37" s="247">
        <v>0.77929999999999999</v>
      </c>
      <c r="EE37" s="247">
        <v>2.4350000000000001</v>
      </c>
      <c r="EF37" s="247">
        <v>0.2195</v>
      </c>
      <c r="EG37" s="247">
        <v>-9.1399999999999995E-2</v>
      </c>
      <c r="EH37" s="247">
        <v>-8.7999999999999995E-2</v>
      </c>
      <c r="EI37" s="246" t="s">
        <v>850</v>
      </c>
      <c r="EJ37" s="234">
        <v>-4.82</v>
      </c>
      <c r="EK37" s="234">
        <v>-4.12</v>
      </c>
      <c r="EL37" s="234" t="s">
        <v>855</v>
      </c>
      <c r="EM37" s="234" t="s">
        <v>856</v>
      </c>
      <c r="EN37" s="234" t="s">
        <v>857</v>
      </c>
      <c r="EO37" s="234" t="s">
        <v>858</v>
      </c>
      <c r="EP37" s="234" t="s">
        <v>376</v>
      </c>
      <c r="EQ37" s="234" t="s">
        <v>377</v>
      </c>
      <c r="ER37" s="234">
        <v>0</v>
      </c>
      <c r="ES37" s="249">
        <v>-4.8399999999999999E-2</v>
      </c>
      <c r="ET37" s="234" t="s">
        <v>384</v>
      </c>
      <c r="EU37" s="250">
        <v>55</v>
      </c>
      <c r="EV37" s="234" t="s">
        <v>491</v>
      </c>
      <c r="EW37" s="250">
        <v>0</v>
      </c>
      <c r="EX37" s="250">
        <v>239.8</v>
      </c>
      <c r="EY37" s="250">
        <v>223.7</v>
      </c>
      <c r="EZ37" s="250">
        <v>241.9</v>
      </c>
      <c r="FA37" s="250">
        <v>165.5</v>
      </c>
      <c r="FB37" s="250">
        <v>194.8</v>
      </c>
      <c r="FC37" s="250">
        <v>13.3</v>
      </c>
      <c r="FD37" s="249">
        <v>0</v>
      </c>
      <c r="FE37" s="250">
        <v>11.9</v>
      </c>
      <c r="FF37" s="250">
        <v>0</v>
      </c>
    </row>
    <row r="38" spans="1:162">
      <c r="A38" s="234" t="s">
        <v>859</v>
      </c>
      <c r="B38" s="234" t="s">
        <v>860</v>
      </c>
      <c r="C38" s="246" t="s">
        <v>361</v>
      </c>
      <c r="D38" s="246" t="s">
        <v>362</v>
      </c>
      <c r="E38" s="246">
        <v>4210</v>
      </c>
      <c r="F38" s="246" t="s">
        <v>509</v>
      </c>
      <c r="G38" s="246" t="s">
        <v>417</v>
      </c>
      <c r="H38" s="246" t="s">
        <v>509</v>
      </c>
      <c r="I38" s="246">
        <v>0.74739999999999995</v>
      </c>
      <c r="J38" s="246">
        <v>0.78259999999999996</v>
      </c>
      <c r="K38" s="247">
        <v>5.1400000000000001E-2</v>
      </c>
      <c r="L38" s="247">
        <v>7.9699999999999993E-2</v>
      </c>
      <c r="M38" s="246" t="s">
        <v>384</v>
      </c>
      <c r="N38" s="247">
        <v>1.49E-2</v>
      </c>
      <c r="O38" s="247">
        <v>5.4399999999999997E-2</v>
      </c>
      <c r="P38" s="247">
        <v>4.0800000000000003E-2</v>
      </c>
      <c r="Q38" s="247">
        <v>7.7399999999999997E-2</v>
      </c>
      <c r="R38" s="247">
        <v>-2.07E-2</v>
      </c>
      <c r="S38" s="247">
        <v>-1.95E-2</v>
      </c>
      <c r="T38" s="248">
        <v>564.79999999999995</v>
      </c>
      <c r="U38" s="248">
        <v>0</v>
      </c>
      <c r="V38" s="248">
        <v>35.4</v>
      </c>
      <c r="W38" s="248">
        <v>35.4</v>
      </c>
      <c r="X38" s="248">
        <v>600.20000000000005</v>
      </c>
      <c r="Y38" s="248">
        <v>33.299999999999997</v>
      </c>
      <c r="Z38" s="248">
        <v>566.9</v>
      </c>
      <c r="AA38" s="247">
        <v>5.5500000000000001E-2</v>
      </c>
      <c r="AB38" s="246">
        <v>5.41</v>
      </c>
      <c r="AC38" s="247">
        <v>0.12</v>
      </c>
      <c r="AD38" s="247">
        <v>5.8999999999999997E-2</v>
      </c>
      <c r="AE38" s="247">
        <v>0.1363</v>
      </c>
      <c r="AF38" s="247">
        <v>6.2700000000000006E-2</v>
      </c>
      <c r="AG38" s="248">
        <v>1.56</v>
      </c>
      <c r="AH38" s="246">
        <v>69.06</v>
      </c>
      <c r="AI38" s="247">
        <v>-7.1400000000000005E-2</v>
      </c>
      <c r="AJ38" s="246">
        <v>1.1100000000000001</v>
      </c>
      <c r="AK38" s="247">
        <v>0.17319999999999999</v>
      </c>
      <c r="AL38" s="247">
        <v>0.41849999999999998</v>
      </c>
      <c r="AM38" s="246">
        <v>0.2</v>
      </c>
      <c r="AN38" s="233">
        <v>13.42</v>
      </c>
      <c r="AO38" s="246">
        <v>31.55</v>
      </c>
      <c r="AP38" s="246">
        <v>36.68</v>
      </c>
      <c r="AQ38" s="246">
        <v>27.65</v>
      </c>
      <c r="AR38" s="246" t="s">
        <v>384</v>
      </c>
      <c r="AS38" s="246" t="s">
        <v>384</v>
      </c>
      <c r="AT38" s="246">
        <v>2.17</v>
      </c>
      <c r="AU38" s="246">
        <v>1.94</v>
      </c>
      <c r="AV38" s="246">
        <v>2.71</v>
      </c>
      <c r="AW38" s="246">
        <v>28.92</v>
      </c>
      <c r="AX38" s="246">
        <v>20.100000000000001</v>
      </c>
      <c r="AY38" s="246">
        <v>2.1800000000000002</v>
      </c>
      <c r="AZ38" s="246">
        <v>2.72</v>
      </c>
      <c r="BA38" s="247">
        <v>1.0129999999999999</v>
      </c>
      <c r="BB38" s="247">
        <v>2.76E-2</v>
      </c>
      <c r="BC38" s="247">
        <v>0.14099999999999999</v>
      </c>
      <c r="BD38" s="247">
        <v>-9.35E-2</v>
      </c>
      <c r="BE38" s="247">
        <v>-1.1599999999999999E-2</v>
      </c>
      <c r="BF38" s="247">
        <v>-5.1499999999999997E-2</v>
      </c>
      <c r="BG38" s="247">
        <v>-1.4999999999999999E-2</v>
      </c>
      <c r="BH38" s="246" t="s">
        <v>384</v>
      </c>
      <c r="BI38" s="246" t="s">
        <v>384</v>
      </c>
      <c r="BJ38" s="247">
        <v>5.8999999999999997E-2</v>
      </c>
      <c r="BK38" s="247">
        <v>5.8000000000000003E-2</v>
      </c>
      <c r="BL38" s="246">
        <v>0.7</v>
      </c>
      <c r="BM38" s="247">
        <v>7.9200000000000007E-2</v>
      </c>
      <c r="BN38" s="247">
        <v>0.1008</v>
      </c>
      <c r="BO38" s="247">
        <v>0.21809999999999999</v>
      </c>
      <c r="BP38" s="247">
        <v>0.25</v>
      </c>
      <c r="BQ38" s="247">
        <v>0.18099999999999999</v>
      </c>
      <c r="BR38" s="247">
        <v>1E-4</v>
      </c>
      <c r="BS38" s="248">
        <v>17.899999999999999</v>
      </c>
      <c r="BT38" s="248">
        <v>15.4</v>
      </c>
      <c r="BU38" s="248">
        <v>19.600000000000001</v>
      </c>
      <c r="BV38" s="248">
        <v>19.600000000000001</v>
      </c>
      <c r="BW38" s="248">
        <v>42.4</v>
      </c>
      <c r="BX38" s="248">
        <v>208.2</v>
      </c>
      <c r="BY38" s="248">
        <v>194.4</v>
      </c>
      <c r="BZ38" s="248">
        <v>30.3</v>
      </c>
      <c r="CA38" s="248">
        <v>28.2</v>
      </c>
      <c r="CB38" s="248">
        <v>16.05</v>
      </c>
      <c r="CC38" s="248">
        <v>20.399999999999999</v>
      </c>
      <c r="CD38" s="248">
        <v>11.68</v>
      </c>
      <c r="CE38" s="248">
        <v>11.22</v>
      </c>
      <c r="CF38" s="247">
        <v>5.7700000000000001E-2</v>
      </c>
      <c r="CG38" s="248">
        <v>14.2</v>
      </c>
      <c r="CH38" s="247">
        <v>1.6123000000000001</v>
      </c>
      <c r="CI38" s="248">
        <v>-9.83</v>
      </c>
      <c r="CJ38" s="248">
        <v>-30.88</v>
      </c>
      <c r="CK38" s="248">
        <v>-10.48</v>
      </c>
      <c r="CL38" s="248">
        <v>260.8</v>
      </c>
      <c r="CM38" s="248">
        <v>276.89</v>
      </c>
      <c r="CN38" s="248">
        <v>259.7</v>
      </c>
      <c r="CO38" s="248">
        <v>259.52999999999997</v>
      </c>
      <c r="CP38" s="248">
        <v>-15.6</v>
      </c>
      <c r="CQ38" s="246">
        <v>0.6</v>
      </c>
      <c r="CR38" s="246">
        <v>0.19</v>
      </c>
      <c r="CS38" s="246">
        <v>0.42</v>
      </c>
      <c r="CT38" s="246">
        <v>0.15</v>
      </c>
      <c r="CU38" s="246">
        <v>0.12</v>
      </c>
      <c r="CV38" s="248">
        <v>21.89</v>
      </c>
      <c r="CW38" s="248">
        <v>20.14</v>
      </c>
      <c r="CX38" s="248">
        <v>-15.6</v>
      </c>
      <c r="CY38" s="248">
        <v>20</v>
      </c>
      <c r="CZ38" s="248">
        <v>3.62</v>
      </c>
      <c r="DA38" s="248">
        <v>15.4</v>
      </c>
      <c r="DB38" s="248">
        <v>564.79999999999995</v>
      </c>
      <c r="DC38" s="248">
        <v>28.2</v>
      </c>
      <c r="DD38" s="248">
        <v>566.9</v>
      </c>
      <c r="DE38" s="248">
        <v>-30.88</v>
      </c>
      <c r="DF38" s="248">
        <v>13.36</v>
      </c>
      <c r="DG38" s="248">
        <v>19.989999999999998</v>
      </c>
      <c r="DH38" s="248">
        <v>272.89</v>
      </c>
      <c r="DI38" s="248">
        <v>35.11</v>
      </c>
      <c r="DJ38" s="247">
        <v>5.7599999999999998E-2</v>
      </c>
      <c r="DK38" s="247">
        <v>5.6399999999999999E-2</v>
      </c>
      <c r="DL38" s="246">
        <v>16.149999999999999</v>
      </c>
      <c r="DM38" s="246">
        <v>8.6</v>
      </c>
      <c r="DN38" s="246">
        <v>36.86</v>
      </c>
      <c r="DO38" s="246">
        <v>21.89</v>
      </c>
      <c r="DP38" s="247">
        <v>0.1477</v>
      </c>
      <c r="DQ38" s="248">
        <v>-10.4</v>
      </c>
      <c r="DR38" s="246" t="s">
        <v>861</v>
      </c>
      <c r="DS38" s="246" t="s">
        <v>862</v>
      </c>
      <c r="DT38" s="246" t="e">
        <v>#REF!</v>
      </c>
      <c r="DU38" s="246" t="s">
        <v>388</v>
      </c>
      <c r="DV38" s="246" t="s">
        <v>863</v>
      </c>
      <c r="DW38" s="246" t="s">
        <v>864</v>
      </c>
      <c r="DX38" s="246" t="s">
        <v>865</v>
      </c>
      <c r="DY38" s="246" t="s">
        <v>866</v>
      </c>
      <c r="DZ38" s="246">
        <v>19</v>
      </c>
      <c r="EA38" s="247">
        <v>-8.4199999999999997E-2</v>
      </c>
      <c r="EB38" s="247">
        <v>0.1646</v>
      </c>
      <c r="EC38" s="247">
        <v>2.1399999999999999E-2</v>
      </c>
      <c r="ED38" s="247">
        <v>1.78E-2</v>
      </c>
      <c r="EE38" s="247">
        <v>0.10879999999999999</v>
      </c>
      <c r="EF38" s="247">
        <v>-2.6100000000000002E-2</v>
      </c>
      <c r="EG38" s="247">
        <v>0.1012</v>
      </c>
      <c r="EH38" s="247">
        <v>0.10100000000000001</v>
      </c>
      <c r="EI38" s="248">
        <v>-10.4</v>
      </c>
      <c r="EJ38" s="234">
        <v>19.600000000000001</v>
      </c>
      <c r="EK38" s="234">
        <v>20.2</v>
      </c>
      <c r="EL38" s="234" t="s">
        <v>867</v>
      </c>
      <c r="EM38" s="234" t="s">
        <v>868</v>
      </c>
      <c r="EN38" s="234" t="s">
        <v>869</v>
      </c>
      <c r="EO38" s="234" t="s">
        <v>870</v>
      </c>
      <c r="EP38" s="234" t="s">
        <v>376</v>
      </c>
      <c r="EQ38" s="234" t="s">
        <v>377</v>
      </c>
      <c r="ER38" s="234">
        <v>1</v>
      </c>
      <c r="ES38" s="249">
        <v>-3.5000000000000003E-2</v>
      </c>
      <c r="ET38" s="234" t="s">
        <v>384</v>
      </c>
      <c r="EU38" s="250">
        <v>194.4</v>
      </c>
      <c r="EV38" s="234" t="s">
        <v>491</v>
      </c>
      <c r="EW38" s="250">
        <v>0</v>
      </c>
      <c r="EX38" s="250">
        <v>513.20000000000005</v>
      </c>
      <c r="EY38" s="250">
        <v>475.5</v>
      </c>
      <c r="EZ38" s="250">
        <v>498.8</v>
      </c>
      <c r="FA38" s="250">
        <v>509.4</v>
      </c>
      <c r="FB38" s="250">
        <v>495</v>
      </c>
      <c r="FC38" s="250">
        <v>0</v>
      </c>
      <c r="FD38" s="249">
        <v>0</v>
      </c>
      <c r="FE38" s="250">
        <v>0</v>
      </c>
      <c r="FF38" s="250">
        <v>0</v>
      </c>
    </row>
    <row r="39" spans="1:162">
      <c r="A39" s="234" t="s">
        <v>871</v>
      </c>
      <c r="B39" s="234" t="s">
        <v>872</v>
      </c>
      <c r="C39" s="246" t="s">
        <v>401</v>
      </c>
      <c r="D39" s="246" t="s">
        <v>362</v>
      </c>
      <c r="E39" s="246">
        <v>4210</v>
      </c>
      <c r="F39" s="246" t="s">
        <v>642</v>
      </c>
      <c r="G39" s="246" t="s">
        <v>417</v>
      </c>
      <c r="H39" s="246" t="s">
        <v>642</v>
      </c>
      <c r="I39" s="246">
        <v>0.66930000000000001</v>
      </c>
      <c r="J39" s="246">
        <v>0.78120000000000001</v>
      </c>
      <c r="K39" s="247">
        <v>7.0800000000000002E-2</v>
      </c>
      <c r="L39" s="247">
        <v>9.4799999999999995E-2</v>
      </c>
      <c r="M39" s="246" t="s">
        <v>384</v>
      </c>
      <c r="N39" s="247">
        <v>2.76E-2</v>
      </c>
      <c r="O39" s="247">
        <v>6.7100000000000007E-2</v>
      </c>
      <c r="P39" s="247">
        <v>4.7E-2</v>
      </c>
      <c r="Q39" s="247">
        <v>8.5599999999999996E-2</v>
      </c>
      <c r="R39" s="247">
        <v>0.1268</v>
      </c>
      <c r="S39" s="247">
        <v>5.8999999999999997E-2</v>
      </c>
      <c r="T39" s="248">
        <v>522.20000000000005</v>
      </c>
      <c r="U39" s="248">
        <v>0</v>
      </c>
      <c r="V39" s="248">
        <v>124.7</v>
      </c>
      <c r="W39" s="248">
        <v>124.7</v>
      </c>
      <c r="X39" s="248">
        <v>646.9</v>
      </c>
      <c r="Y39" s="248">
        <v>6.84</v>
      </c>
      <c r="Z39" s="248">
        <v>640.05999999999995</v>
      </c>
      <c r="AA39" s="247">
        <v>1.06E-2</v>
      </c>
      <c r="AB39" s="246">
        <v>0.41</v>
      </c>
      <c r="AC39" s="247">
        <v>0.50280000000000002</v>
      </c>
      <c r="AD39" s="247">
        <v>0.1928</v>
      </c>
      <c r="AE39" s="247">
        <v>1.0114000000000001</v>
      </c>
      <c r="AF39" s="247">
        <v>0.23880000000000001</v>
      </c>
      <c r="AG39" s="248">
        <v>2.99</v>
      </c>
      <c r="AH39" s="246">
        <v>69.06</v>
      </c>
      <c r="AI39" s="247">
        <v>0.1283</v>
      </c>
      <c r="AJ39" s="246">
        <v>0.75</v>
      </c>
      <c r="AK39" s="247">
        <v>0.21909999999999999</v>
      </c>
      <c r="AL39" s="247">
        <v>0.27879999999999999</v>
      </c>
      <c r="AM39" s="246">
        <v>0.2</v>
      </c>
      <c r="AN39" s="233">
        <v>4.17</v>
      </c>
      <c r="AO39" s="246">
        <v>24.4</v>
      </c>
      <c r="AP39" s="246">
        <v>19.86</v>
      </c>
      <c r="AQ39" s="246">
        <v>31.63</v>
      </c>
      <c r="AR39" s="246">
        <v>21.36</v>
      </c>
      <c r="AS39" s="246">
        <v>1.98</v>
      </c>
      <c r="AT39" s="246">
        <v>4.24</v>
      </c>
      <c r="AU39" s="246">
        <v>4.1399999999999997</v>
      </c>
      <c r="AV39" s="246">
        <v>1.41</v>
      </c>
      <c r="AW39" s="246">
        <v>13.59</v>
      </c>
      <c r="AX39" s="246">
        <v>11</v>
      </c>
      <c r="AY39" s="246">
        <v>2.65</v>
      </c>
      <c r="AZ39" s="246">
        <v>1.73</v>
      </c>
      <c r="BA39" s="247">
        <v>0.56269999999999998</v>
      </c>
      <c r="BB39" s="247">
        <v>2.8299999999999999E-2</v>
      </c>
      <c r="BC39" s="247">
        <v>8.6099999999999996E-2</v>
      </c>
      <c r="BD39" s="247">
        <v>5.7599999999999998E-2</v>
      </c>
      <c r="BE39" s="246" t="s">
        <v>384</v>
      </c>
      <c r="BF39" s="247">
        <v>4.58E-2</v>
      </c>
      <c r="BG39" s="247">
        <v>0.14000000000000001</v>
      </c>
      <c r="BH39" s="247">
        <v>0.123</v>
      </c>
      <c r="BI39" s="247">
        <v>5.4800000000000001E-2</v>
      </c>
      <c r="BJ39" s="247">
        <v>0.22159999999999999</v>
      </c>
      <c r="BK39" s="247">
        <v>0.14460000000000001</v>
      </c>
      <c r="BL39" s="246">
        <v>1.51</v>
      </c>
      <c r="BM39" s="247">
        <v>7.3200000000000001E-2</v>
      </c>
      <c r="BN39" s="247">
        <v>0.13109999999999999</v>
      </c>
      <c r="BO39" s="247">
        <v>0.2359</v>
      </c>
      <c r="BP39" s="247">
        <v>0.3</v>
      </c>
      <c r="BQ39" s="247">
        <v>0.26829999999999998</v>
      </c>
      <c r="BR39" s="247">
        <v>0.28399999999999997</v>
      </c>
      <c r="BS39" s="248">
        <v>21.4</v>
      </c>
      <c r="BT39" s="248">
        <v>26.3</v>
      </c>
      <c r="BU39" s="248">
        <v>47.1</v>
      </c>
      <c r="BV39" s="248">
        <v>47.1</v>
      </c>
      <c r="BW39" s="248">
        <v>84.8</v>
      </c>
      <c r="BX39" s="248">
        <v>371</v>
      </c>
      <c r="BY39" s="248">
        <v>359.4</v>
      </c>
      <c r="BZ39" s="248">
        <v>49.9</v>
      </c>
      <c r="CA39" s="248">
        <v>58.2</v>
      </c>
      <c r="CB39" s="248">
        <v>34.46</v>
      </c>
      <c r="CC39" s="248">
        <v>4.9000000000000004</v>
      </c>
      <c r="CD39" s="248">
        <v>-2.92</v>
      </c>
      <c r="CE39" s="248">
        <v>7.81</v>
      </c>
      <c r="CF39" s="247">
        <v>2.1700000000000001E-2</v>
      </c>
      <c r="CG39" s="248">
        <v>12.4</v>
      </c>
      <c r="CH39" s="247">
        <v>0.27500000000000002</v>
      </c>
      <c r="CI39" s="248">
        <v>24.99</v>
      </c>
      <c r="CJ39" s="248">
        <v>11.92</v>
      </c>
      <c r="CK39" s="248">
        <v>16.82</v>
      </c>
      <c r="CL39" s="248">
        <v>118.7</v>
      </c>
      <c r="CM39" s="248">
        <v>238.32</v>
      </c>
      <c r="CN39" s="248">
        <v>123.3</v>
      </c>
      <c r="CO39" s="248">
        <v>241.16</v>
      </c>
      <c r="CP39" s="248">
        <v>-14.8</v>
      </c>
      <c r="CQ39" s="246">
        <v>0.51</v>
      </c>
      <c r="CR39" s="246">
        <v>-0.08</v>
      </c>
      <c r="CS39" s="246">
        <v>0.42</v>
      </c>
      <c r="CT39" s="246">
        <v>0.3</v>
      </c>
      <c r="CU39" s="246">
        <v>0.53</v>
      </c>
      <c r="CV39" s="248">
        <v>24.07</v>
      </c>
      <c r="CW39" s="248">
        <v>15.8</v>
      </c>
      <c r="CX39" s="248">
        <v>-14.8</v>
      </c>
      <c r="CY39" s="248">
        <v>36</v>
      </c>
      <c r="CZ39" s="248">
        <v>9.66</v>
      </c>
      <c r="DA39" s="248">
        <v>26.3</v>
      </c>
      <c r="DB39" s="248">
        <v>522.20000000000005</v>
      </c>
      <c r="DC39" s="248">
        <v>58.2</v>
      </c>
      <c r="DD39" s="248">
        <v>640.05999999999995</v>
      </c>
      <c r="DE39" s="248">
        <v>11.92</v>
      </c>
      <c r="DF39" s="248">
        <v>0</v>
      </c>
      <c r="DG39" s="248">
        <v>47.1</v>
      </c>
      <c r="DH39" s="248">
        <v>241.16</v>
      </c>
      <c r="DI39" s="248">
        <v>49.9</v>
      </c>
      <c r="DJ39" s="247">
        <v>0.22159999999999999</v>
      </c>
      <c r="DK39" s="247">
        <v>0.14460000000000001</v>
      </c>
      <c r="DL39" s="246">
        <v>12.83</v>
      </c>
      <c r="DM39" s="246">
        <v>29</v>
      </c>
      <c r="DN39" s="246">
        <v>125.24</v>
      </c>
      <c r="DO39" s="246">
        <v>24.07</v>
      </c>
      <c r="DP39" s="247">
        <v>0.13139999999999999</v>
      </c>
      <c r="DQ39" s="246" t="s">
        <v>873</v>
      </c>
      <c r="DR39" s="246" t="s">
        <v>874</v>
      </c>
      <c r="DS39" s="246" t="s">
        <v>875</v>
      </c>
      <c r="DT39" s="246" t="e">
        <v>#REF!</v>
      </c>
      <c r="DU39" s="246" t="s">
        <v>388</v>
      </c>
      <c r="DV39" s="246" t="s">
        <v>876</v>
      </c>
      <c r="DW39" s="246" t="s">
        <v>877</v>
      </c>
      <c r="DX39" s="246" t="s">
        <v>878</v>
      </c>
      <c r="DY39" s="246" t="s">
        <v>879</v>
      </c>
      <c r="DZ39" s="246">
        <v>44</v>
      </c>
      <c r="EA39" s="247">
        <v>-6.1800000000000001E-2</v>
      </c>
      <c r="EB39" s="247">
        <v>0.21510000000000001</v>
      </c>
      <c r="EC39" s="247">
        <v>-8.5300000000000001E-2</v>
      </c>
      <c r="ED39" s="247">
        <v>-3.0099999999999998E-2</v>
      </c>
      <c r="EE39" s="247">
        <v>1.14E-2</v>
      </c>
      <c r="EF39" s="247">
        <v>-3.0499999999999999E-2</v>
      </c>
      <c r="EG39" s="247">
        <v>0.1211</v>
      </c>
      <c r="EH39" s="247">
        <v>0.13100000000000001</v>
      </c>
      <c r="EI39" s="246" t="s">
        <v>873</v>
      </c>
      <c r="EJ39" s="234">
        <v>47.1</v>
      </c>
      <c r="EK39" s="234">
        <v>44.9</v>
      </c>
      <c r="EL39" s="234" t="s">
        <v>880</v>
      </c>
      <c r="EM39" s="234" t="s">
        <v>881</v>
      </c>
      <c r="EN39" s="234" t="s">
        <v>882</v>
      </c>
      <c r="EO39" s="234" t="s">
        <v>833</v>
      </c>
      <c r="EP39" s="234" t="s">
        <v>376</v>
      </c>
      <c r="EQ39" s="234" t="s">
        <v>377</v>
      </c>
      <c r="ER39" s="234">
        <v>1</v>
      </c>
      <c r="ES39" s="249">
        <v>9.5899999999999999E-2</v>
      </c>
      <c r="ET39" s="249">
        <v>3.2500000000000001E-2</v>
      </c>
      <c r="EU39" s="250">
        <v>359.4</v>
      </c>
      <c r="EV39" s="234" t="s">
        <v>883</v>
      </c>
      <c r="EW39" s="250">
        <v>347.3</v>
      </c>
      <c r="EX39" s="250">
        <v>501.4</v>
      </c>
      <c r="EY39" s="250">
        <v>578</v>
      </c>
      <c r="EZ39" s="250">
        <v>809.6</v>
      </c>
      <c r="FA39" s="250">
        <v>516.29999999999995</v>
      </c>
      <c r="FB39" s="250">
        <v>480.8</v>
      </c>
      <c r="FC39" s="250">
        <v>0</v>
      </c>
      <c r="FD39" s="249">
        <v>0</v>
      </c>
      <c r="FE39" s="250">
        <v>0</v>
      </c>
      <c r="FF39" s="250">
        <v>0</v>
      </c>
    </row>
    <row r="40" spans="1:162">
      <c r="A40" s="234" t="s">
        <v>884</v>
      </c>
      <c r="B40" s="234" t="s">
        <v>885</v>
      </c>
      <c r="C40" s="246" t="s">
        <v>361</v>
      </c>
      <c r="D40" s="246" t="s">
        <v>362</v>
      </c>
      <c r="E40" s="246">
        <v>4210</v>
      </c>
      <c r="F40" s="246" t="s">
        <v>730</v>
      </c>
      <c r="G40" s="246" t="s">
        <v>417</v>
      </c>
      <c r="H40" s="246" t="s">
        <v>418</v>
      </c>
      <c r="I40" s="246">
        <v>0.74739999999999995</v>
      </c>
      <c r="J40" s="246">
        <v>1.0998000000000001</v>
      </c>
      <c r="K40" s="247">
        <v>5.0099999999999999E-2</v>
      </c>
      <c r="L40" s="247">
        <v>9.4600000000000004E-2</v>
      </c>
      <c r="M40" s="246" t="s">
        <v>384</v>
      </c>
      <c r="N40" s="247">
        <v>1.06E-2</v>
      </c>
      <c r="O40" s="247">
        <v>5.0099999999999999E-2</v>
      </c>
      <c r="P40" s="247">
        <v>4.0099999999999997E-2</v>
      </c>
      <c r="Q40" s="247">
        <v>7.4399999999999994E-2</v>
      </c>
      <c r="R40" s="247">
        <v>-9.4999999999999998E-3</v>
      </c>
      <c r="S40" s="247">
        <v>-4.8999999999999998E-3</v>
      </c>
      <c r="T40" s="248">
        <v>493</v>
      </c>
      <c r="U40" s="248">
        <v>0</v>
      </c>
      <c r="V40" s="248">
        <v>290.5</v>
      </c>
      <c r="W40" s="248">
        <v>290.5</v>
      </c>
      <c r="X40" s="248">
        <v>783.5</v>
      </c>
      <c r="Y40" s="248">
        <v>62.6</v>
      </c>
      <c r="Z40" s="248">
        <v>720.9</v>
      </c>
      <c r="AA40" s="247">
        <v>7.9899999999999999E-2</v>
      </c>
      <c r="AB40" s="246">
        <v>0.08</v>
      </c>
      <c r="AC40" s="247">
        <v>0.40649999999999997</v>
      </c>
      <c r="AD40" s="247">
        <v>0.37080000000000002</v>
      </c>
      <c r="AE40" s="247">
        <v>0.68479999999999996</v>
      </c>
      <c r="AF40" s="247">
        <v>0.58919999999999995</v>
      </c>
      <c r="AG40" s="248">
        <v>1.06</v>
      </c>
      <c r="AH40" s="246">
        <v>69.06</v>
      </c>
      <c r="AI40" s="247">
        <v>-0.1075</v>
      </c>
      <c r="AJ40" s="246">
        <v>0.44</v>
      </c>
      <c r="AK40" s="247">
        <v>8.9399999999999993E-2</v>
      </c>
      <c r="AL40" s="247">
        <v>0.12609999999999999</v>
      </c>
      <c r="AM40" s="246">
        <v>0.08</v>
      </c>
      <c r="AN40" s="233">
        <v>9.52</v>
      </c>
      <c r="AO40" s="246">
        <v>15.41</v>
      </c>
      <c r="AP40" s="246">
        <v>15.31</v>
      </c>
      <c r="AQ40" s="246">
        <v>16.260000000000002</v>
      </c>
      <c r="AR40" s="246" t="s">
        <v>384</v>
      </c>
      <c r="AS40" s="246" t="s">
        <v>384</v>
      </c>
      <c r="AT40" s="246">
        <v>1.1599999999999999</v>
      </c>
      <c r="AU40" s="246">
        <v>1.32</v>
      </c>
      <c r="AV40" s="246">
        <v>1.28</v>
      </c>
      <c r="AW40" s="246">
        <v>13.94</v>
      </c>
      <c r="AX40" s="246">
        <v>8.4700000000000006</v>
      </c>
      <c r="AY40" s="246">
        <v>1.1200000000000001</v>
      </c>
      <c r="AZ40" s="246">
        <v>1.87</v>
      </c>
      <c r="BA40" s="247">
        <v>0.78569999999999995</v>
      </c>
      <c r="BB40" s="247">
        <v>5.1299999999999998E-2</v>
      </c>
      <c r="BC40" s="247">
        <v>-5.2699999999999997E-2</v>
      </c>
      <c r="BD40" s="247">
        <v>-9.9599999999999994E-2</v>
      </c>
      <c r="BE40" s="247">
        <v>-7.2999999999999995E-2</v>
      </c>
      <c r="BF40" s="247">
        <v>-5.9999999999999995E-4</v>
      </c>
      <c r="BG40" s="247">
        <v>1.0699999999999999E-2</v>
      </c>
      <c r="BH40" s="246" t="s">
        <v>384</v>
      </c>
      <c r="BI40" s="246" t="s">
        <v>384</v>
      </c>
      <c r="BJ40" s="247">
        <v>8.5099999999999995E-2</v>
      </c>
      <c r="BK40" s="247">
        <v>6.9500000000000006E-2</v>
      </c>
      <c r="BL40" s="246">
        <v>0.71</v>
      </c>
      <c r="BM40" s="247">
        <v>7.5700000000000003E-2</v>
      </c>
      <c r="BN40" s="247">
        <v>0.1215</v>
      </c>
      <c r="BO40" s="247">
        <v>0.18049999999999999</v>
      </c>
      <c r="BP40" s="247">
        <v>0.2</v>
      </c>
      <c r="BQ40" s="247">
        <v>0.1908</v>
      </c>
      <c r="BR40" s="247">
        <v>2.7300000000000001E-2</v>
      </c>
      <c r="BS40" s="248">
        <v>32</v>
      </c>
      <c r="BT40" s="248">
        <v>32.200000000000003</v>
      </c>
      <c r="BU40" s="248">
        <v>51.7</v>
      </c>
      <c r="BV40" s="248">
        <v>51.7</v>
      </c>
      <c r="BW40" s="248">
        <v>76.8</v>
      </c>
      <c r="BX40" s="248">
        <v>386.2</v>
      </c>
      <c r="BY40" s="248">
        <v>425.4</v>
      </c>
      <c r="BZ40" s="248">
        <v>77.3</v>
      </c>
      <c r="CA40" s="248">
        <v>85.1</v>
      </c>
      <c r="CB40" s="248">
        <v>41.84</v>
      </c>
      <c r="CC40" s="248">
        <v>12.7</v>
      </c>
      <c r="CD40" s="248">
        <v>5.71</v>
      </c>
      <c r="CE40" s="248">
        <v>19.04</v>
      </c>
      <c r="CF40" s="247">
        <v>4.48E-2</v>
      </c>
      <c r="CG40" s="248">
        <v>22.33</v>
      </c>
      <c r="CH40" s="247">
        <v>0.67020000000000002</v>
      </c>
      <c r="CI40" s="248">
        <v>13.8</v>
      </c>
      <c r="CJ40" s="248">
        <v>-8.5399999999999991</v>
      </c>
      <c r="CK40" s="248">
        <v>4.16</v>
      </c>
      <c r="CL40" s="248">
        <v>378.3</v>
      </c>
      <c r="CM40" s="248">
        <v>601.92999999999995</v>
      </c>
      <c r="CN40" s="248">
        <v>424.2</v>
      </c>
      <c r="CO40" s="248">
        <v>643.9</v>
      </c>
      <c r="CP40" s="248">
        <v>-25.3</v>
      </c>
      <c r="CQ40" s="246">
        <v>0.09</v>
      </c>
      <c r="CR40" s="246">
        <v>0.37</v>
      </c>
      <c r="CS40" s="246">
        <v>0.42</v>
      </c>
      <c r="CT40" s="246">
        <v>0.18</v>
      </c>
      <c r="CU40" s="246">
        <v>0.15</v>
      </c>
      <c r="CV40" s="248">
        <v>52.33</v>
      </c>
      <c r="CW40" s="248">
        <v>44.9</v>
      </c>
      <c r="CX40" s="248">
        <v>-25.3</v>
      </c>
      <c r="CY40" s="248">
        <v>46.7</v>
      </c>
      <c r="CZ40" s="248">
        <v>8.91</v>
      </c>
      <c r="DA40" s="248">
        <v>32.200000000000003</v>
      </c>
      <c r="DB40" s="248">
        <v>493</v>
      </c>
      <c r="DC40" s="248">
        <v>85.1</v>
      </c>
      <c r="DD40" s="248">
        <v>720.9</v>
      </c>
      <c r="DE40" s="248">
        <v>-8.5399999999999991</v>
      </c>
      <c r="DF40" s="248">
        <v>0</v>
      </c>
      <c r="DG40" s="248">
        <v>51.7</v>
      </c>
      <c r="DH40" s="248">
        <v>643.9</v>
      </c>
      <c r="DI40" s="248">
        <v>77.3</v>
      </c>
      <c r="DJ40" s="247">
        <v>8.5099999999999995E-2</v>
      </c>
      <c r="DK40" s="247">
        <v>6.9500000000000006E-2</v>
      </c>
      <c r="DL40" s="246">
        <v>9.33</v>
      </c>
      <c r="DM40" s="246">
        <v>2.0699999999999998</v>
      </c>
      <c r="DN40" s="246">
        <v>243.62</v>
      </c>
      <c r="DO40" s="246">
        <v>52.33</v>
      </c>
      <c r="DP40" s="247">
        <v>0.1179</v>
      </c>
      <c r="DQ40" s="246" t="s">
        <v>886</v>
      </c>
      <c r="DR40" s="246" t="s">
        <v>887</v>
      </c>
      <c r="DS40" s="246" t="s">
        <v>888</v>
      </c>
      <c r="DT40" s="246" t="e">
        <v>#REF!</v>
      </c>
      <c r="DU40" s="246" t="s">
        <v>388</v>
      </c>
      <c r="DV40" s="246" t="s">
        <v>889</v>
      </c>
      <c r="DW40" s="246" t="s">
        <v>890</v>
      </c>
      <c r="DX40" s="246" t="s">
        <v>629</v>
      </c>
      <c r="DY40" s="246" t="s">
        <v>891</v>
      </c>
      <c r="DZ40" s="246">
        <v>61</v>
      </c>
      <c r="EA40" s="247">
        <v>-4.1500000000000002E-2</v>
      </c>
      <c r="EB40" s="247">
        <v>2.3099999999999999E-2</v>
      </c>
      <c r="EC40" s="247">
        <v>-2.6599999999999999E-2</v>
      </c>
      <c r="ED40" s="247">
        <v>-6.3100000000000003E-2</v>
      </c>
      <c r="EE40" s="247">
        <v>-0.10580000000000001</v>
      </c>
      <c r="EF40" s="247">
        <v>-3.5200000000000002E-2</v>
      </c>
      <c r="EG40" s="247">
        <v>0.1191</v>
      </c>
      <c r="EH40" s="247">
        <v>0.122</v>
      </c>
      <c r="EI40" s="246" t="s">
        <v>886</v>
      </c>
      <c r="EJ40" s="234">
        <v>51.7</v>
      </c>
      <c r="EK40" s="234">
        <v>52.5</v>
      </c>
      <c r="EL40" s="234" t="s">
        <v>892</v>
      </c>
      <c r="EM40" s="234" t="s">
        <v>893</v>
      </c>
      <c r="EN40" s="234" t="s">
        <v>894</v>
      </c>
      <c r="EO40" s="234" t="s">
        <v>895</v>
      </c>
      <c r="EP40" s="234" t="s">
        <v>376</v>
      </c>
      <c r="EQ40" s="234" t="s">
        <v>377</v>
      </c>
      <c r="ER40" s="234">
        <v>1</v>
      </c>
      <c r="ES40" s="249">
        <v>-6.4999999999999997E-3</v>
      </c>
      <c r="ET40" s="234" t="s">
        <v>384</v>
      </c>
      <c r="EU40" s="250">
        <v>425.4</v>
      </c>
      <c r="EV40" s="234" t="s">
        <v>491</v>
      </c>
      <c r="EW40" s="250">
        <v>665.5</v>
      </c>
      <c r="EX40" s="250">
        <v>756.8</v>
      </c>
      <c r="EY40" s="250">
        <v>574.6</v>
      </c>
      <c r="EZ40" s="250">
        <v>585.29999999999995</v>
      </c>
      <c r="FA40" s="250">
        <v>551.29999999999995</v>
      </c>
      <c r="FB40" s="250">
        <v>520.4</v>
      </c>
      <c r="FC40" s="250">
        <v>14.8</v>
      </c>
      <c r="FD40" s="249">
        <v>0</v>
      </c>
      <c r="FE40" s="250">
        <v>0</v>
      </c>
      <c r="FF40" s="250">
        <v>0</v>
      </c>
    </row>
    <row r="41" spans="1:162">
      <c r="A41" s="234" t="s">
        <v>896</v>
      </c>
      <c r="B41" s="234" t="s">
        <v>897</v>
      </c>
      <c r="C41" s="246" t="s">
        <v>361</v>
      </c>
      <c r="D41" s="246" t="s">
        <v>362</v>
      </c>
      <c r="E41" s="246">
        <v>4210</v>
      </c>
      <c r="F41" s="246" t="s">
        <v>494</v>
      </c>
      <c r="G41" s="246" t="s">
        <v>494</v>
      </c>
      <c r="H41" s="246" t="s">
        <v>494</v>
      </c>
      <c r="I41" s="246">
        <v>0.74739999999999995</v>
      </c>
      <c r="J41" s="246">
        <v>1.1046</v>
      </c>
      <c r="K41" s="247">
        <v>5.1400000000000001E-2</v>
      </c>
      <c r="L41" s="247">
        <v>9.6299999999999997E-2</v>
      </c>
      <c r="M41" s="246" t="s">
        <v>384</v>
      </c>
      <c r="N41" s="247">
        <v>1.49E-2</v>
      </c>
      <c r="O41" s="247">
        <v>5.4399999999999997E-2</v>
      </c>
      <c r="P41" s="247">
        <v>3.8199999999999998E-2</v>
      </c>
      <c r="Q41" s="247">
        <v>7.2800000000000004E-2</v>
      </c>
      <c r="R41" s="247">
        <v>-4.2799999999999998E-2</v>
      </c>
      <c r="S41" s="247">
        <v>-3.0300000000000001E-2</v>
      </c>
      <c r="T41" s="248">
        <v>453.6</v>
      </c>
      <c r="U41" s="248">
        <v>63.09</v>
      </c>
      <c r="V41" s="248">
        <v>245.4</v>
      </c>
      <c r="W41" s="248">
        <v>308.49</v>
      </c>
      <c r="X41" s="248">
        <v>762.09</v>
      </c>
      <c r="Y41" s="248">
        <v>40</v>
      </c>
      <c r="Z41" s="248">
        <v>722.09</v>
      </c>
      <c r="AA41" s="247">
        <v>5.2499999999999998E-2</v>
      </c>
      <c r="AB41" s="246">
        <v>0.71</v>
      </c>
      <c r="AC41" s="247">
        <v>0.44929999999999998</v>
      </c>
      <c r="AD41" s="247">
        <v>0.40479999999999999</v>
      </c>
      <c r="AE41" s="247">
        <v>0.81589999999999996</v>
      </c>
      <c r="AF41" s="247">
        <v>0.68010000000000004</v>
      </c>
      <c r="AG41" s="248">
        <v>18.309999999999999</v>
      </c>
      <c r="AH41" s="246">
        <v>24.3</v>
      </c>
      <c r="AI41" s="247">
        <v>0.2258</v>
      </c>
      <c r="AJ41" s="246">
        <v>1.25</v>
      </c>
      <c r="AK41" s="247">
        <v>0.2757</v>
      </c>
      <c r="AL41" s="247">
        <v>0.38350000000000001</v>
      </c>
      <c r="AM41" s="246">
        <v>0.43</v>
      </c>
      <c r="AN41" s="233">
        <v>4.2</v>
      </c>
      <c r="AO41" s="246">
        <v>25.63</v>
      </c>
      <c r="AP41" s="246">
        <v>29.08</v>
      </c>
      <c r="AQ41" s="246">
        <v>20.100000000000001</v>
      </c>
      <c r="AR41" s="246">
        <v>32.01</v>
      </c>
      <c r="AS41" s="246" t="s">
        <v>384</v>
      </c>
      <c r="AT41" s="246">
        <v>1.2</v>
      </c>
      <c r="AU41" s="246">
        <v>0.6</v>
      </c>
      <c r="AV41" s="246">
        <v>0.35</v>
      </c>
      <c r="AW41" s="246">
        <v>19.420000000000002</v>
      </c>
      <c r="AX41" s="246">
        <v>7.16</v>
      </c>
      <c r="AY41" s="246">
        <v>1.1299999999999999</v>
      </c>
      <c r="AZ41" s="246">
        <v>0.56000000000000005</v>
      </c>
      <c r="BA41" s="247">
        <v>0.25540000000000002</v>
      </c>
      <c r="BB41" s="247">
        <v>8.8000000000000005E-3</v>
      </c>
      <c r="BC41" s="247">
        <v>0.2752</v>
      </c>
      <c r="BD41" s="247">
        <v>0.112</v>
      </c>
      <c r="BE41" s="247">
        <v>0.54700000000000004</v>
      </c>
      <c r="BF41" s="247">
        <v>4.02E-2</v>
      </c>
      <c r="BG41" s="247">
        <v>3.1399999999999997E-2</v>
      </c>
      <c r="BH41" s="246" t="s">
        <v>384</v>
      </c>
      <c r="BI41" s="247">
        <v>3.0700000000000002E-2</v>
      </c>
      <c r="BJ41" s="247">
        <v>5.3499999999999999E-2</v>
      </c>
      <c r="BK41" s="247">
        <v>4.2500000000000003E-2</v>
      </c>
      <c r="BL41" s="246">
        <v>2.3199999999999998</v>
      </c>
      <c r="BM41" s="247">
        <v>1.14E-2</v>
      </c>
      <c r="BN41" s="247">
        <v>2.7199999999999998E-2</v>
      </c>
      <c r="BO41" s="247">
        <v>5.8999999999999997E-2</v>
      </c>
      <c r="BP41" s="247">
        <v>0.2974</v>
      </c>
      <c r="BQ41" s="247">
        <v>0.32819999999999999</v>
      </c>
      <c r="BR41" s="247">
        <v>8.4400000000000003E-2</v>
      </c>
      <c r="BS41" s="248">
        <v>17.7</v>
      </c>
      <c r="BT41" s="248">
        <v>15.6</v>
      </c>
      <c r="BU41" s="248">
        <v>34.6</v>
      </c>
      <c r="BV41" s="248">
        <v>37.18</v>
      </c>
      <c r="BW41" s="248">
        <v>80.599999999999994</v>
      </c>
      <c r="BX41" s="248">
        <v>1296.9000000000001</v>
      </c>
      <c r="BY41" s="248">
        <v>1365.7</v>
      </c>
      <c r="BZ41" s="248">
        <v>85.7</v>
      </c>
      <c r="CA41" s="248">
        <v>100.9</v>
      </c>
      <c r="CB41" s="248">
        <v>24.98</v>
      </c>
      <c r="CC41" s="248">
        <v>0</v>
      </c>
      <c r="CD41" s="248">
        <v>0</v>
      </c>
      <c r="CE41" s="248">
        <v>10.25</v>
      </c>
      <c r="CF41" s="247">
        <v>7.4999999999999997E-3</v>
      </c>
      <c r="CG41" s="248">
        <v>-0.86</v>
      </c>
      <c r="CH41" s="247">
        <v>-3.4299999999999997E-2</v>
      </c>
      <c r="CI41" s="248">
        <v>25.84</v>
      </c>
      <c r="CJ41" s="248">
        <v>16.46</v>
      </c>
      <c r="CK41" s="248">
        <v>16.46</v>
      </c>
      <c r="CL41" s="248">
        <v>291.5</v>
      </c>
      <c r="CM41" s="248">
        <v>587.89</v>
      </c>
      <c r="CN41" s="248">
        <v>378.1</v>
      </c>
      <c r="CO41" s="248">
        <v>637.82000000000005</v>
      </c>
      <c r="CP41" s="248">
        <v>-3.98</v>
      </c>
      <c r="CQ41" s="246">
        <v>0.88</v>
      </c>
      <c r="CR41" s="246">
        <v>-0.17</v>
      </c>
      <c r="CS41" s="246">
        <v>0.43</v>
      </c>
      <c r="CT41" s="246">
        <v>0.2</v>
      </c>
      <c r="CU41" s="246">
        <v>0.64</v>
      </c>
      <c r="CV41" s="248">
        <v>34.56</v>
      </c>
      <c r="CW41" s="248">
        <v>13.72</v>
      </c>
      <c r="CX41" s="248">
        <v>-3.98</v>
      </c>
      <c r="CY41" s="248">
        <v>28.4</v>
      </c>
      <c r="CZ41" s="248">
        <v>9.32</v>
      </c>
      <c r="DA41" s="248">
        <v>15.6</v>
      </c>
      <c r="DB41" s="248">
        <v>453.6</v>
      </c>
      <c r="DC41" s="248">
        <v>100.9</v>
      </c>
      <c r="DD41" s="248">
        <v>722.09</v>
      </c>
      <c r="DE41" s="248">
        <v>16.46</v>
      </c>
      <c r="DF41" s="248">
        <v>0</v>
      </c>
      <c r="DG41" s="248">
        <v>37.18</v>
      </c>
      <c r="DH41" s="248">
        <v>637.82000000000005</v>
      </c>
      <c r="DI41" s="248">
        <v>85.7</v>
      </c>
      <c r="DJ41" s="247">
        <v>5.3499999999999999E-2</v>
      </c>
      <c r="DK41" s="247">
        <v>4.2500000000000003E-2</v>
      </c>
      <c r="DL41" s="246">
        <v>8.43</v>
      </c>
      <c r="DM41" s="246">
        <v>0.86</v>
      </c>
      <c r="DN41" s="246">
        <v>326</v>
      </c>
      <c r="DO41" s="246">
        <v>34.56</v>
      </c>
      <c r="DP41" s="247">
        <v>7.17E-2</v>
      </c>
      <c r="DQ41" s="246" t="s">
        <v>898</v>
      </c>
      <c r="DR41" s="246" t="s">
        <v>644</v>
      </c>
      <c r="DS41" s="246" t="s">
        <v>644</v>
      </c>
      <c r="DT41" s="246" t="e">
        <v>#REF!</v>
      </c>
      <c r="DU41" s="246" t="s">
        <v>388</v>
      </c>
      <c r="DV41" s="246" t="s">
        <v>899</v>
      </c>
      <c r="DW41" s="246" t="s">
        <v>900</v>
      </c>
      <c r="DX41" s="246" t="s">
        <v>901</v>
      </c>
      <c r="DY41" s="246" t="s">
        <v>902</v>
      </c>
      <c r="DZ41" s="246">
        <v>54</v>
      </c>
      <c r="EA41" s="247">
        <v>-9.3600000000000003E-2</v>
      </c>
      <c r="EB41" s="247">
        <v>0.27729999999999999</v>
      </c>
      <c r="EC41" s="247">
        <v>2.7699999999999999E-2</v>
      </c>
      <c r="ED41" s="247">
        <v>-6.7799999999999999E-2</v>
      </c>
      <c r="EE41" s="247">
        <v>0.109</v>
      </c>
      <c r="EF41" s="247">
        <v>0.57010000000000005</v>
      </c>
      <c r="EG41" s="247">
        <v>6.4000000000000001E-2</v>
      </c>
      <c r="EH41" s="247">
        <v>2.7E-2</v>
      </c>
      <c r="EI41" s="248">
        <v>-37.9</v>
      </c>
      <c r="EJ41" s="234">
        <v>34.6</v>
      </c>
      <c r="EK41" s="234">
        <v>55.7</v>
      </c>
      <c r="EL41" s="234" t="s">
        <v>903</v>
      </c>
      <c r="EM41" s="234" t="s">
        <v>904</v>
      </c>
      <c r="EN41" s="234" t="s">
        <v>905</v>
      </c>
      <c r="EO41" s="234" t="s">
        <v>906</v>
      </c>
      <c r="EP41" s="234" t="s">
        <v>376</v>
      </c>
      <c r="EQ41" s="234" t="s">
        <v>377</v>
      </c>
      <c r="ER41" s="234">
        <v>1</v>
      </c>
      <c r="ES41" s="249">
        <v>7.2800000000000004E-2</v>
      </c>
      <c r="ET41" s="234" t="s">
        <v>384</v>
      </c>
      <c r="EU41" s="250">
        <v>1365.7</v>
      </c>
      <c r="EV41" s="234" t="s">
        <v>491</v>
      </c>
      <c r="EW41" s="250">
        <v>233.7</v>
      </c>
      <c r="EX41" s="250">
        <v>396</v>
      </c>
      <c r="EY41" s="250">
        <v>249.2</v>
      </c>
      <c r="EZ41" s="250">
        <v>278.7</v>
      </c>
      <c r="FA41" s="250">
        <v>409</v>
      </c>
      <c r="FB41" s="250">
        <v>355.7</v>
      </c>
      <c r="FC41" s="250">
        <v>115.5</v>
      </c>
      <c r="FD41" s="249">
        <v>0</v>
      </c>
      <c r="FE41" s="250">
        <v>0</v>
      </c>
      <c r="FF41" s="250">
        <v>54.1</v>
      </c>
    </row>
    <row r="42" spans="1:162">
      <c r="A42" s="234" t="s">
        <v>907</v>
      </c>
      <c r="B42" s="234" t="s">
        <v>908</v>
      </c>
      <c r="C42" s="246" t="s">
        <v>361</v>
      </c>
      <c r="D42" s="246" t="s">
        <v>362</v>
      </c>
      <c r="E42" s="246">
        <v>4210</v>
      </c>
      <c r="F42" s="246" t="s">
        <v>909</v>
      </c>
      <c r="G42" s="246" t="s">
        <v>382</v>
      </c>
      <c r="H42" s="246" t="s">
        <v>383</v>
      </c>
      <c r="I42" s="246">
        <v>0.74739999999999995</v>
      </c>
      <c r="J42" s="246">
        <v>1.7221</v>
      </c>
      <c r="K42" s="247">
        <v>4.5900000000000003E-2</v>
      </c>
      <c r="L42" s="247">
        <v>0.11849999999999999</v>
      </c>
      <c r="M42" s="246" t="s">
        <v>384</v>
      </c>
      <c r="N42" s="247">
        <v>1.34E-2</v>
      </c>
      <c r="O42" s="247">
        <v>5.2900000000000003E-2</v>
      </c>
      <c r="P42" s="247">
        <v>4.2299999999999997E-2</v>
      </c>
      <c r="Q42" s="247">
        <v>7.1300000000000002E-2</v>
      </c>
      <c r="R42" s="247">
        <v>-6.5600000000000006E-2</v>
      </c>
      <c r="S42" s="247">
        <v>-2.7000000000000001E-3</v>
      </c>
      <c r="T42" s="248">
        <v>406.8</v>
      </c>
      <c r="U42" s="248">
        <v>34.4</v>
      </c>
      <c r="V42" s="248">
        <v>628.70000000000005</v>
      </c>
      <c r="W42" s="248">
        <v>663.1</v>
      </c>
      <c r="X42" s="248">
        <v>1069.9000000000001</v>
      </c>
      <c r="Y42" s="248">
        <v>36.4</v>
      </c>
      <c r="Z42" s="248">
        <v>1033.5</v>
      </c>
      <c r="AA42" s="247">
        <v>3.4000000000000002E-2</v>
      </c>
      <c r="AB42" s="246">
        <v>2.2599999999999998</v>
      </c>
      <c r="AC42" s="247">
        <v>0.68620000000000003</v>
      </c>
      <c r="AD42" s="247">
        <v>0.61980000000000002</v>
      </c>
      <c r="AE42" s="247">
        <v>2.1869999999999998</v>
      </c>
      <c r="AF42" s="247">
        <v>1.63</v>
      </c>
      <c r="AG42" s="248">
        <v>10.06</v>
      </c>
      <c r="AH42" s="246">
        <v>50.04</v>
      </c>
      <c r="AI42" s="246" t="s">
        <v>384</v>
      </c>
      <c r="AJ42" s="246" t="s">
        <v>384</v>
      </c>
      <c r="AK42" s="246" t="s">
        <v>384</v>
      </c>
      <c r="AL42" s="246" t="s">
        <v>384</v>
      </c>
      <c r="AM42" s="246">
        <v>7.0000000000000007E-2</v>
      </c>
      <c r="AN42" s="233">
        <v>3.06</v>
      </c>
      <c r="AO42" s="246">
        <v>8.98</v>
      </c>
      <c r="AP42" s="246">
        <v>16.399999999999999</v>
      </c>
      <c r="AQ42" s="246">
        <v>0</v>
      </c>
      <c r="AR42" s="246">
        <v>7.92</v>
      </c>
      <c r="AS42" s="246">
        <v>0.96</v>
      </c>
      <c r="AT42" s="246">
        <v>1.34</v>
      </c>
      <c r="AU42" s="246">
        <v>0</v>
      </c>
      <c r="AV42" s="246">
        <v>0.26</v>
      </c>
      <c r="AW42" s="246">
        <v>15.42</v>
      </c>
      <c r="AX42" s="246">
        <v>8.59</v>
      </c>
      <c r="AY42" s="246">
        <v>1.42</v>
      </c>
      <c r="AZ42" s="246">
        <v>0.66</v>
      </c>
      <c r="BA42" s="247">
        <v>9.4113000000000007</v>
      </c>
      <c r="BB42" s="247">
        <v>0.57369999999999999</v>
      </c>
      <c r="BC42" s="246" t="s">
        <v>384</v>
      </c>
      <c r="BD42" s="246" t="s">
        <v>384</v>
      </c>
      <c r="BE42" s="247">
        <v>0.23</v>
      </c>
      <c r="BF42" s="247">
        <v>-3.9399999999999998E-2</v>
      </c>
      <c r="BG42" s="247">
        <v>-1.26E-2</v>
      </c>
      <c r="BH42" s="247">
        <v>9.3200000000000005E-2</v>
      </c>
      <c r="BI42" s="246" t="s">
        <v>384</v>
      </c>
      <c r="BJ42" s="247">
        <v>5.2999999999999999E-2</v>
      </c>
      <c r="BK42" s="247">
        <v>6.8599999999999994E-2</v>
      </c>
      <c r="BL42" s="246">
        <v>2.66</v>
      </c>
      <c r="BM42" s="247">
        <v>1.4500000000000001E-2</v>
      </c>
      <c r="BN42" s="247">
        <v>3.9100000000000003E-2</v>
      </c>
      <c r="BO42" s="247">
        <v>0.30220000000000002</v>
      </c>
      <c r="BP42" s="247">
        <v>0.2</v>
      </c>
      <c r="BQ42" s="247">
        <v>0.34129999999999999</v>
      </c>
      <c r="BR42" s="246" t="s">
        <v>384</v>
      </c>
      <c r="BS42" s="248">
        <v>45.3</v>
      </c>
      <c r="BT42" s="248">
        <v>24.8</v>
      </c>
      <c r="BU42" s="248">
        <v>63.4</v>
      </c>
      <c r="BV42" s="248">
        <v>67.02</v>
      </c>
      <c r="BW42" s="248">
        <v>518.1</v>
      </c>
      <c r="BX42" s="248">
        <v>1575.4</v>
      </c>
      <c r="BY42" s="248">
        <v>1714.3</v>
      </c>
      <c r="BZ42" s="248">
        <v>125</v>
      </c>
      <c r="CA42" s="248">
        <v>120.3</v>
      </c>
      <c r="CB42" s="248">
        <v>44.14</v>
      </c>
      <c r="CC42" s="248">
        <v>-169.8</v>
      </c>
      <c r="CD42" s="248">
        <v>47.85</v>
      </c>
      <c r="CE42" s="248">
        <v>-29.01</v>
      </c>
      <c r="CF42" s="247">
        <v>-1.6899999999999998E-2</v>
      </c>
      <c r="CG42" s="248">
        <v>-67.599999999999994</v>
      </c>
      <c r="CH42" s="247">
        <v>-0.44740000000000002</v>
      </c>
      <c r="CI42" s="248">
        <v>63.9</v>
      </c>
      <c r="CJ42" s="248">
        <v>214.35</v>
      </c>
      <c r="CK42" s="248">
        <v>44.55</v>
      </c>
      <c r="CL42" s="248">
        <v>468.2</v>
      </c>
      <c r="CM42" s="248">
        <v>643.5</v>
      </c>
      <c r="CN42" s="248">
        <v>303.2</v>
      </c>
      <c r="CO42" s="248">
        <v>730.3</v>
      </c>
      <c r="CP42" s="248">
        <v>-233.4</v>
      </c>
      <c r="CQ42" s="246" t="s">
        <v>384</v>
      </c>
      <c r="CR42" s="246" t="s">
        <v>384</v>
      </c>
      <c r="CS42" s="246">
        <v>0.55000000000000004</v>
      </c>
      <c r="CT42" s="246">
        <v>0.48</v>
      </c>
      <c r="CU42" s="246">
        <v>1.0900000000000001</v>
      </c>
      <c r="CV42" s="248">
        <v>49.91</v>
      </c>
      <c r="CW42" s="248">
        <v>6.2</v>
      </c>
      <c r="CX42" s="248">
        <v>-233.4</v>
      </c>
      <c r="CY42" s="248">
        <v>37.5</v>
      </c>
      <c r="CZ42" s="248">
        <v>12.8</v>
      </c>
      <c r="DA42" s="248">
        <v>24.8</v>
      </c>
      <c r="DB42" s="248">
        <v>406.8</v>
      </c>
      <c r="DC42" s="248">
        <v>120.3</v>
      </c>
      <c r="DD42" s="248">
        <v>1033.5</v>
      </c>
      <c r="DE42" s="248">
        <v>214.35</v>
      </c>
      <c r="DF42" s="248">
        <v>52.54</v>
      </c>
      <c r="DG42" s="248">
        <v>65.66</v>
      </c>
      <c r="DH42" s="248">
        <v>782.84</v>
      </c>
      <c r="DI42" s="248">
        <v>142.69999999999999</v>
      </c>
      <c r="DJ42" s="247">
        <v>4.4999999999999998E-2</v>
      </c>
      <c r="DK42" s="247">
        <v>6.2100000000000002E-2</v>
      </c>
      <c r="DL42" s="246">
        <v>7.24</v>
      </c>
      <c r="DM42" s="246">
        <v>148.80000000000001</v>
      </c>
      <c r="DN42" s="246">
        <v>686.6</v>
      </c>
      <c r="DO42" s="246">
        <v>49.91</v>
      </c>
      <c r="DP42" s="247">
        <v>7.0400000000000004E-2</v>
      </c>
      <c r="DQ42" s="246" t="s">
        <v>910</v>
      </c>
      <c r="DR42" s="246" t="s">
        <v>911</v>
      </c>
      <c r="DS42" s="246" t="s">
        <v>912</v>
      </c>
      <c r="DT42" s="246" t="e">
        <v>#REF!</v>
      </c>
      <c r="DU42" s="246" t="s">
        <v>388</v>
      </c>
      <c r="DV42" s="246" t="s">
        <v>913</v>
      </c>
      <c r="DW42" s="246" t="s">
        <v>816</v>
      </c>
      <c r="DX42" s="246" t="s">
        <v>569</v>
      </c>
      <c r="DY42" s="246" t="s">
        <v>914</v>
      </c>
      <c r="DZ42" s="246">
        <v>382</v>
      </c>
      <c r="EA42" s="246" t="s">
        <v>384</v>
      </c>
      <c r="EB42" s="246" t="s">
        <v>384</v>
      </c>
      <c r="EC42" s="246" t="s">
        <v>384</v>
      </c>
      <c r="ED42" s="246" t="s">
        <v>384</v>
      </c>
      <c r="EE42" s="246" t="s">
        <v>384</v>
      </c>
      <c r="EF42" s="247">
        <v>-1.0500000000000001E-2</v>
      </c>
      <c r="EG42" s="247">
        <v>3.9899999999999998E-2</v>
      </c>
      <c r="EH42" s="247">
        <v>3.9E-2</v>
      </c>
      <c r="EI42" s="246" t="s">
        <v>910</v>
      </c>
      <c r="EJ42" s="234">
        <v>63.4</v>
      </c>
      <c r="EK42" s="234">
        <v>69.099999999999994</v>
      </c>
      <c r="EL42" s="234" t="s">
        <v>377</v>
      </c>
      <c r="EM42" s="234" t="s">
        <v>377</v>
      </c>
      <c r="EN42" s="234" t="s">
        <v>377</v>
      </c>
      <c r="EO42" s="234" t="s">
        <v>377</v>
      </c>
      <c r="EP42" s="234" t="s">
        <v>915</v>
      </c>
      <c r="EQ42" s="234" t="s">
        <v>916</v>
      </c>
      <c r="ER42" s="234">
        <v>1</v>
      </c>
      <c r="ES42" s="249">
        <v>-2.1399999999999999E-2</v>
      </c>
      <c r="ET42" s="249">
        <v>9.7000000000000003E-3</v>
      </c>
      <c r="EU42" s="250">
        <v>1714.3</v>
      </c>
      <c r="EV42" s="234" t="s">
        <v>915</v>
      </c>
      <c r="EW42" s="250">
        <v>0</v>
      </c>
      <c r="EX42" s="250">
        <v>0</v>
      </c>
      <c r="EY42" s="250">
        <v>0</v>
      </c>
      <c r="EZ42" s="250">
        <v>0</v>
      </c>
      <c r="FA42" s="250">
        <v>0</v>
      </c>
      <c r="FB42" s="250">
        <v>0</v>
      </c>
      <c r="FC42" s="250">
        <v>116.6</v>
      </c>
      <c r="FD42" s="249">
        <v>0</v>
      </c>
      <c r="FE42" s="250">
        <v>211</v>
      </c>
      <c r="FF42" s="250">
        <v>0</v>
      </c>
    </row>
    <row r="43" spans="1:162">
      <c r="A43" s="234" t="s">
        <v>917</v>
      </c>
      <c r="B43" s="234" t="s">
        <v>918</v>
      </c>
      <c r="C43" s="246" t="s">
        <v>401</v>
      </c>
      <c r="D43" s="246" t="s">
        <v>362</v>
      </c>
      <c r="E43" s="246">
        <v>4210</v>
      </c>
      <c r="F43" s="246" t="s">
        <v>363</v>
      </c>
      <c r="G43" s="246" t="s">
        <v>363</v>
      </c>
      <c r="H43" s="246" t="s">
        <v>363</v>
      </c>
      <c r="I43" s="246">
        <v>0.66930000000000001</v>
      </c>
      <c r="J43" s="246">
        <v>0.77080000000000004</v>
      </c>
      <c r="K43" s="247">
        <v>4.4600000000000001E-2</v>
      </c>
      <c r="L43" s="247">
        <v>7.3899999999999993E-2</v>
      </c>
      <c r="M43" s="246" t="s">
        <v>384</v>
      </c>
      <c r="N43" s="247">
        <v>1.12E-2</v>
      </c>
      <c r="O43" s="247">
        <v>5.0700000000000002E-2</v>
      </c>
      <c r="P43" s="247">
        <v>3.7999999999999999E-2</v>
      </c>
      <c r="Q43" s="247">
        <v>6.7799999999999999E-2</v>
      </c>
      <c r="R43" s="247">
        <v>-0.13769999999999999</v>
      </c>
      <c r="S43" s="247">
        <v>0.1181</v>
      </c>
      <c r="T43" s="248">
        <v>398.6</v>
      </c>
      <c r="U43" s="248">
        <v>79.73</v>
      </c>
      <c r="V43" s="248">
        <v>0.87</v>
      </c>
      <c r="W43" s="248">
        <v>80.599999999999994</v>
      </c>
      <c r="X43" s="248">
        <v>479.2</v>
      </c>
      <c r="Y43" s="248">
        <v>27.4</v>
      </c>
      <c r="Z43" s="248">
        <v>451.8</v>
      </c>
      <c r="AA43" s="247">
        <v>5.7200000000000001E-2</v>
      </c>
      <c r="AB43" s="246">
        <v>0.5</v>
      </c>
      <c r="AC43" s="247">
        <v>0.12239999999999999</v>
      </c>
      <c r="AD43" s="247">
        <v>0.16819999999999999</v>
      </c>
      <c r="AE43" s="247">
        <v>0.1394</v>
      </c>
      <c r="AF43" s="247">
        <v>0.20219999999999999</v>
      </c>
      <c r="AG43" s="248">
        <v>15.19</v>
      </c>
      <c r="AH43" s="246">
        <v>31.61</v>
      </c>
      <c r="AI43" s="247">
        <v>-0.12970000000000001</v>
      </c>
      <c r="AJ43" s="246">
        <v>1.25</v>
      </c>
      <c r="AK43" s="247">
        <v>0.40870000000000001</v>
      </c>
      <c r="AL43" s="247">
        <v>0.48159999999999997</v>
      </c>
      <c r="AM43" s="246">
        <v>0.57999999999999996</v>
      </c>
      <c r="AN43" s="233">
        <v>1.74</v>
      </c>
      <c r="AO43" s="246">
        <v>3.07</v>
      </c>
      <c r="AP43" s="246" t="s">
        <v>384</v>
      </c>
      <c r="AQ43" s="246">
        <v>2.98</v>
      </c>
      <c r="AR43" s="246">
        <v>23.02</v>
      </c>
      <c r="AS43" s="246" t="s">
        <v>384</v>
      </c>
      <c r="AT43" s="246">
        <v>0.69</v>
      </c>
      <c r="AU43" s="246">
        <v>4.08</v>
      </c>
      <c r="AV43" s="246">
        <v>0.22</v>
      </c>
      <c r="AW43" s="246">
        <v>4.5599999999999996</v>
      </c>
      <c r="AX43" s="246">
        <v>1.75</v>
      </c>
      <c r="AY43" s="246">
        <v>0.94</v>
      </c>
      <c r="AZ43" s="246">
        <v>0.24</v>
      </c>
      <c r="BA43" s="246" t="s">
        <v>384</v>
      </c>
      <c r="BB43" s="247">
        <v>2.7799999999999998E-2</v>
      </c>
      <c r="BC43" s="247">
        <v>2.92E-2</v>
      </c>
      <c r="BD43" s="246" t="s">
        <v>384</v>
      </c>
      <c r="BE43" s="246" t="s">
        <v>384</v>
      </c>
      <c r="BF43" s="247">
        <v>-6.8099999999999994E-2</v>
      </c>
      <c r="BG43" s="247">
        <v>3.4700000000000002E-2</v>
      </c>
      <c r="BH43" s="246" t="s">
        <v>384</v>
      </c>
      <c r="BI43" s="247">
        <v>-6.9599999999999995E-2</v>
      </c>
      <c r="BJ43" s="247">
        <v>-6.3899999999999998E-2</v>
      </c>
      <c r="BK43" s="247">
        <v>0.186</v>
      </c>
      <c r="BL43" s="246">
        <v>3.07</v>
      </c>
      <c r="BM43" s="247">
        <v>-2.46E-2</v>
      </c>
      <c r="BN43" s="247">
        <v>6.0499999999999998E-2</v>
      </c>
      <c r="BO43" s="247">
        <v>0.19969999999999999</v>
      </c>
      <c r="BP43" s="247">
        <v>0.25</v>
      </c>
      <c r="BQ43" s="247">
        <v>0</v>
      </c>
      <c r="BR43" s="247">
        <v>0.28920000000000001</v>
      </c>
      <c r="BS43" s="248">
        <v>129.9</v>
      </c>
      <c r="BT43" s="248">
        <v>-40.299999999999997</v>
      </c>
      <c r="BU43" s="248">
        <v>82.3</v>
      </c>
      <c r="BV43" s="248">
        <v>99.15</v>
      </c>
      <c r="BW43" s="248">
        <v>327.2</v>
      </c>
      <c r="BX43" s="248">
        <v>1846</v>
      </c>
      <c r="BY43" s="248">
        <v>1638.1</v>
      </c>
      <c r="BZ43" s="248">
        <v>332.4</v>
      </c>
      <c r="CA43" s="248">
        <v>258.60000000000002</v>
      </c>
      <c r="CB43" s="248">
        <v>99.15</v>
      </c>
      <c r="CC43" s="248">
        <v>-265.7</v>
      </c>
      <c r="CD43" s="248">
        <v>-0.12</v>
      </c>
      <c r="CE43" s="248">
        <v>252.06</v>
      </c>
      <c r="CF43" s="247">
        <v>0.15390000000000001</v>
      </c>
      <c r="CG43" s="248">
        <v>294.3</v>
      </c>
      <c r="CH43" s="247">
        <v>2.9668999999999999</v>
      </c>
      <c r="CI43" s="248">
        <v>-195.03</v>
      </c>
      <c r="CJ43" s="248">
        <v>-68.78</v>
      </c>
      <c r="CK43" s="248">
        <v>-334.48</v>
      </c>
      <c r="CL43" s="248">
        <v>631</v>
      </c>
      <c r="CM43" s="248">
        <v>533.11</v>
      </c>
      <c r="CN43" s="248">
        <v>578.1</v>
      </c>
      <c r="CO43" s="248">
        <v>482.5</v>
      </c>
      <c r="CP43" s="248">
        <v>-11.1</v>
      </c>
      <c r="CQ43" s="246">
        <v>1.64</v>
      </c>
      <c r="CR43" s="246">
        <v>0.91</v>
      </c>
      <c r="CS43" s="246">
        <v>1.1200000000000001</v>
      </c>
      <c r="CT43" s="246">
        <v>0.61</v>
      </c>
      <c r="CU43" s="246">
        <v>0.65</v>
      </c>
      <c r="CV43" s="248">
        <v>114.88</v>
      </c>
      <c r="CW43" s="248">
        <v>62.83</v>
      </c>
      <c r="CX43" s="248">
        <v>-11.21</v>
      </c>
      <c r="CY43" s="246" t="s">
        <v>384</v>
      </c>
      <c r="CZ43" s="246" t="s">
        <v>384</v>
      </c>
      <c r="DA43" s="246" t="s">
        <v>384</v>
      </c>
      <c r="DB43" s="246" t="s">
        <v>384</v>
      </c>
      <c r="DC43" s="248">
        <v>258.60000000000002</v>
      </c>
      <c r="DD43" s="248">
        <v>451.8</v>
      </c>
      <c r="DE43" s="248">
        <v>-68.78</v>
      </c>
      <c r="DF43" s="248">
        <v>0</v>
      </c>
      <c r="DG43" s="248">
        <v>99.15</v>
      </c>
      <c r="DH43" s="248">
        <v>482.5</v>
      </c>
      <c r="DI43" s="248">
        <v>332.4</v>
      </c>
      <c r="DJ43" s="247">
        <v>-6.3899999999999998E-2</v>
      </c>
      <c r="DK43" s="247">
        <v>0.186</v>
      </c>
      <c r="DL43" s="246">
        <v>1.36</v>
      </c>
      <c r="DM43" s="246">
        <v>143.6</v>
      </c>
      <c r="DN43" s="246">
        <v>293</v>
      </c>
      <c r="DO43" s="246">
        <v>114.88</v>
      </c>
      <c r="DP43" s="247">
        <v>0.29630000000000001</v>
      </c>
      <c r="DQ43" s="246" t="s">
        <v>919</v>
      </c>
      <c r="DR43" s="246" t="s">
        <v>920</v>
      </c>
      <c r="DS43" s="246" t="s">
        <v>921</v>
      </c>
      <c r="DT43" s="246" t="e">
        <v>#REF!</v>
      </c>
      <c r="DU43" s="246" t="s">
        <v>388</v>
      </c>
      <c r="DV43" s="246" t="s">
        <v>922</v>
      </c>
      <c r="DW43" s="246" t="s">
        <v>923</v>
      </c>
      <c r="DX43" s="246" t="s">
        <v>924</v>
      </c>
      <c r="DY43" s="246" t="s">
        <v>925</v>
      </c>
      <c r="DZ43" s="246">
        <v>39</v>
      </c>
      <c r="EA43" s="247">
        <v>5.2999999999999999E-2</v>
      </c>
      <c r="EB43" s="247">
        <v>-2.9700000000000001E-2</v>
      </c>
      <c r="EC43" s="247">
        <v>-2.2200000000000001E-2</v>
      </c>
      <c r="ED43" s="247">
        <v>4.1000000000000002E-2</v>
      </c>
      <c r="EE43" s="247">
        <v>3.9899999999999998E-2</v>
      </c>
      <c r="EF43" s="247">
        <v>19.4252</v>
      </c>
      <c r="EG43" s="247">
        <v>0.1883</v>
      </c>
      <c r="EH43" s="247">
        <v>6.0999999999999999E-2</v>
      </c>
      <c r="EI43" s="248">
        <v>-0.61</v>
      </c>
      <c r="EJ43" s="234">
        <v>82.3</v>
      </c>
      <c r="EK43" s="234">
        <v>15.1</v>
      </c>
      <c r="EL43" s="234" t="s">
        <v>926</v>
      </c>
      <c r="EM43" s="234" t="s">
        <v>927</v>
      </c>
      <c r="EN43" s="234" t="s">
        <v>928</v>
      </c>
      <c r="EO43" s="234" t="s">
        <v>929</v>
      </c>
      <c r="EP43" s="234" t="s">
        <v>376</v>
      </c>
      <c r="EQ43" s="234" t="s">
        <v>377</v>
      </c>
      <c r="ER43" s="234">
        <v>0</v>
      </c>
      <c r="ES43" s="249">
        <v>0.87180000000000002</v>
      </c>
      <c r="ET43" s="234" t="s">
        <v>384</v>
      </c>
      <c r="EU43" s="250">
        <v>1638.1</v>
      </c>
      <c r="EV43" s="234" t="s">
        <v>491</v>
      </c>
      <c r="EW43" s="250">
        <v>217.5</v>
      </c>
      <c r="EX43" s="250">
        <v>501.6</v>
      </c>
      <c r="EY43" s="250">
        <v>308.7</v>
      </c>
      <c r="EZ43" s="250">
        <v>388</v>
      </c>
      <c r="FA43" s="250">
        <v>383.3</v>
      </c>
      <c r="FB43" s="250">
        <v>387.3</v>
      </c>
      <c r="FC43" s="250">
        <v>0</v>
      </c>
      <c r="FD43" s="249">
        <v>0.33200000000000002</v>
      </c>
      <c r="FE43" s="250">
        <v>0</v>
      </c>
      <c r="FF43" s="250">
        <v>0</v>
      </c>
    </row>
    <row r="44" spans="1:162">
      <c r="A44" s="234" t="s">
        <v>930</v>
      </c>
      <c r="B44" s="234" t="s">
        <v>931</v>
      </c>
      <c r="C44" s="246" t="s">
        <v>932</v>
      </c>
      <c r="D44" s="246" t="s">
        <v>362</v>
      </c>
      <c r="E44" s="246">
        <v>4210</v>
      </c>
      <c r="F44" s="246" t="s">
        <v>933</v>
      </c>
      <c r="G44" s="246" t="s">
        <v>382</v>
      </c>
      <c r="H44" s="246" t="s">
        <v>934</v>
      </c>
      <c r="I44" s="246">
        <v>0.89129999999999998</v>
      </c>
      <c r="J44" s="246">
        <v>0.99280000000000002</v>
      </c>
      <c r="K44" s="247">
        <v>5.0099999999999999E-2</v>
      </c>
      <c r="L44" s="247">
        <v>8.9200000000000002E-2</v>
      </c>
      <c r="M44" s="246" t="s">
        <v>384</v>
      </c>
      <c r="N44" s="247">
        <v>1.4E-2</v>
      </c>
      <c r="O44" s="247">
        <v>5.3499999999999999E-2</v>
      </c>
      <c r="P44" s="247">
        <v>4.0099999999999997E-2</v>
      </c>
      <c r="Q44" s="247">
        <v>8.2799999999999999E-2</v>
      </c>
      <c r="R44" s="247">
        <v>-8.0000000000000002E-3</v>
      </c>
      <c r="S44" s="247">
        <v>-1.7100000000000001E-2</v>
      </c>
      <c r="T44" s="248">
        <v>291</v>
      </c>
      <c r="U44" s="248">
        <v>0</v>
      </c>
      <c r="V44" s="248">
        <v>44.2</v>
      </c>
      <c r="W44" s="248">
        <v>44.2</v>
      </c>
      <c r="X44" s="248">
        <v>335.2</v>
      </c>
      <c r="Y44" s="248">
        <v>31.4</v>
      </c>
      <c r="Z44" s="248">
        <v>303.8</v>
      </c>
      <c r="AA44" s="247">
        <v>9.3700000000000006E-2</v>
      </c>
      <c r="AB44" s="246">
        <v>0.28999999999999998</v>
      </c>
      <c r="AC44" s="247">
        <v>0.14449999999999999</v>
      </c>
      <c r="AD44" s="247">
        <v>0.13189999999999999</v>
      </c>
      <c r="AE44" s="247">
        <v>0.16889999999999999</v>
      </c>
      <c r="AF44" s="247">
        <v>0.15190000000000001</v>
      </c>
      <c r="AG44" s="248">
        <v>8.8000000000000007</v>
      </c>
      <c r="AH44" s="246">
        <v>50.04</v>
      </c>
      <c r="AI44" s="247">
        <v>0.125</v>
      </c>
      <c r="AJ44" s="246">
        <v>0.96</v>
      </c>
      <c r="AK44" s="247">
        <v>0.251</v>
      </c>
      <c r="AL44" s="247">
        <v>0.26629999999999998</v>
      </c>
      <c r="AM44" s="246">
        <v>0.25</v>
      </c>
      <c r="AN44" s="233">
        <v>4.0199999999999996</v>
      </c>
      <c r="AO44" s="246">
        <v>14.62</v>
      </c>
      <c r="AP44" s="246">
        <v>14.62</v>
      </c>
      <c r="AQ44" s="246">
        <v>13.83</v>
      </c>
      <c r="AR44" s="246">
        <v>12.27</v>
      </c>
      <c r="AS44" s="246" t="s">
        <v>384</v>
      </c>
      <c r="AT44" s="246">
        <v>1.1100000000000001</v>
      </c>
      <c r="AU44" s="246">
        <v>1.07</v>
      </c>
      <c r="AV44" s="246">
        <v>0.82</v>
      </c>
      <c r="AW44" s="246">
        <v>15.42</v>
      </c>
      <c r="AX44" s="246">
        <v>13.04</v>
      </c>
      <c r="AY44" s="246">
        <v>1.1299999999999999</v>
      </c>
      <c r="AZ44" s="246">
        <v>0.85</v>
      </c>
      <c r="BA44" s="247">
        <v>0.81410000000000005</v>
      </c>
      <c r="BB44" s="247">
        <v>5.57E-2</v>
      </c>
      <c r="BC44" s="247">
        <v>0.1376</v>
      </c>
      <c r="BD44" s="247">
        <v>-0.248</v>
      </c>
      <c r="BE44" s="247">
        <v>0.27900000000000003</v>
      </c>
      <c r="BF44" s="247">
        <v>0.14099999999999999</v>
      </c>
      <c r="BG44" s="247">
        <v>3.5400000000000001E-2</v>
      </c>
      <c r="BH44" s="246" t="s">
        <v>384</v>
      </c>
      <c r="BI44" s="247">
        <v>1.7299999999999999E-2</v>
      </c>
      <c r="BJ44" s="247">
        <v>8.1299999999999997E-2</v>
      </c>
      <c r="BK44" s="247">
        <v>6.5699999999999995E-2</v>
      </c>
      <c r="BL44" s="246">
        <v>1.41</v>
      </c>
      <c r="BM44" s="247">
        <v>5.5899999999999998E-2</v>
      </c>
      <c r="BN44" s="247">
        <v>5.5300000000000002E-2</v>
      </c>
      <c r="BO44" s="247">
        <v>0.2074</v>
      </c>
      <c r="BP44" s="247">
        <v>0.25</v>
      </c>
      <c r="BQ44" s="247">
        <v>0.15570000000000001</v>
      </c>
      <c r="BR44" s="247">
        <v>0.78059999999999996</v>
      </c>
      <c r="BS44" s="248">
        <v>19.899999999999999</v>
      </c>
      <c r="BT44" s="248">
        <v>19.899999999999999</v>
      </c>
      <c r="BU44" s="248">
        <v>19.7</v>
      </c>
      <c r="BV44" s="248">
        <v>19.7</v>
      </c>
      <c r="BW44" s="248">
        <v>73.900000000000006</v>
      </c>
      <c r="BX44" s="248">
        <v>356.3</v>
      </c>
      <c r="BY44" s="248">
        <v>356.3</v>
      </c>
      <c r="BZ44" s="248">
        <v>23.3</v>
      </c>
      <c r="CA44" s="248">
        <v>23.3</v>
      </c>
      <c r="CB44" s="248">
        <v>16.63</v>
      </c>
      <c r="CC44" s="248">
        <v>29.2</v>
      </c>
      <c r="CD44" s="248">
        <v>21.85</v>
      </c>
      <c r="CE44" s="248">
        <v>40.6</v>
      </c>
      <c r="CF44" s="247">
        <v>0.1139</v>
      </c>
      <c r="CG44" s="248">
        <v>5.48</v>
      </c>
      <c r="CH44" s="247">
        <v>1.6433</v>
      </c>
      <c r="CI44" s="248">
        <v>-10.7</v>
      </c>
      <c r="CJ44" s="248">
        <v>-36.630000000000003</v>
      </c>
      <c r="CK44" s="248">
        <v>-7.43</v>
      </c>
      <c r="CL44" s="248">
        <v>244.8</v>
      </c>
      <c r="CM44" s="248">
        <v>253.26</v>
      </c>
      <c r="CN44" s="248">
        <v>261.7</v>
      </c>
      <c r="CO44" s="248">
        <v>268</v>
      </c>
      <c r="CP44" s="248">
        <v>-16.2</v>
      </c>
      <c r="CQ44" s="246">
        <v>0.56000000000000005</v>
      </c>
      <c r="CR44" s="246">
        <v>0.47</v>
      </c>
      <c r="CS44" s="246">
        <v>0.55000000000000004</v>
      </c>
      <c r="CT44" s="246">
        <v>1.34</v>
      </c>
      <c r="CU44" s="246">
        <v>1.27</v>
      </c>
      <c r="CV44" s="248">
        <v>7.71</v>
      </c>
      <c r="CW44" s="248">
        <v>11.76</v>
      </c>
      <c r="CX44" s="248">
        <v>-16.2</v>
      </c>
      <c r="CY44" s="248">
        <v>23.5</v>
      </c>
      <c r="CZ44" s="248">
        <v>3.66</v>
      </c>
      <c r="DA44" s="248">
        <v>19.899999999999999</v>
      </c>
      <c r="DB44" s="248">
        <v>291</v>
      </c>
      <c r="DC44" s="248">
        <v>23.3</v>
      </c>
      <c r="DD44" s="248">
        <v>303.8</v>
      </c>
      <c r="DE44" s="248">
        <v>-36.630000000000003</v>
      </c>
      <c r="DF44" s="248">
        <v>0</v>
      </c>
      <c r="DG44" s="248">
        <v>19.7</v>
      </c>
      <c r="DH44" s="248">
        <v>268</v>
      </c>
      <c r="DI44" s="248">
        <v>23.3</v>
      </c>
      <c r="DJ44" s="247">
        <v>8.1299999999999997E-2</v>
      </c>
      <c r="DK44" s="247">
        <v>6.5699999999999995E-2</v>
      </c>
      <c r="DL44" s="246">
        <v>13.04</v>
      </c>
      <c r="DM44" s="246">
        <v>3.6</v>
      </c>
      <c r="DN44" s="246">
        <v>218.5</v>
      </c>
      <c r="DO44" s="246">
        <v>7.71</v>
      </c>
      <c r="DP44" s="247">
        <v>3.1699999999999999E-2</v>
      </c>
      <c r="DQ44" s="246" t="s">
        <v>935</v>
      </c>
      <c r="DR44" s="246" t="s">
        <v>936</v>
      </c>
      <c r="DS44" s="246" t="s">
        <v>644</v>
      </c>
      <c r="DT44" s="246" t="e">
        <v>#REF!</v>
      </c>
      <c r="DU44" s="246" t="s">
        <v>388</v>
      </c>
      <c r="DV44" s="246" t="s">
        <v>937</v>
      </c>
      <c r="DW44" s="246" t="s">
        <v>938</v>
      </c>
      <c r="DX44" s="246" t="s">
        <v>939</v>
      </c>
      <c r="DY44" s="246" t="s">
        <v>940</v>
      </c>
      <c r="DZ44" s="246">
        <v>26</v>
      </c>
      <c r="EA44" s="247">
        <v>9.7100000000000006E-2</v>
      </c>
      <c r="EB44" s="247">
        <v>0.30130000000000001</v>
      </c>
      <c r="EC44" s="247">
        <v>-6.7100000000000007E-2</v>
      </c>
      <c r="ED44" s="247">
        <v>-7.7700000000000005E-2</v>
      </c>
      <c r="EE44" s="247">
        <v>0.22839999999999999</v>
      </c>
      <c r="EF44" s="247">
        <v>0.15379999999999999</v>
      </c>
      <c r="EG44" s="247">
        <v>5.21E-2</v>
      </c>
      <c r="EH44" s="247">
        <v>5.5E-2</v>
      </c>
      <c r="EI44" s="246" t="s">
        <v>935</v>
      </c>
      <c r="EJ44" s="234">
        <v>19.7</v>
      </c>
      <c r="EK44" s="234">
        <v>16.100000000000001</v>
      </c>
      <c r="EL44" s="234" t="s">
        <v>941</v>
      </c>
      <c r="EM44" s="234" t="s">
        <v>942</v>
      </c>
      <c r="EN44" s="234" t="s">
        <v>943</v>
      </c>
      <c r="EO44" s="234" t="s">
        <v>944</v>
      </c>
      <c r="EP44" s="234" t="s">
        <v>945</v>
      </c>
      <c r="EQ44" s="234" t="s">
        <v>946</v>
      </c>
      <c r="ER44" s="234">
        <v>1</v>
      </c>
      <c r="ES44" s="249">
        <v>7.0900000000000005E-2</v>
      </c>
      <c r="ET44" s="249">
        <v>1.89E-2</v>
      </c>
      <c r="EU44" s="250">
        <v>356.3</v>
      </c>
      <c r="EV44" s="234" t="s">
        <v>945</v>
      </c>
      <c r="EW44" s="250">
        <v>107.2</v>
      </c>
      <c r="EX44" s="250">
        <v>178.9</v>
      </c>
      <c r="EY44" s="250">
        <v>154.80000000000001</v>
      </c>
      <c r="EZ44" s="250">
        <v>173.4</v>
      </c>
      <c r="FA44" s="250">
        <v>236.9</v>
      </c>
      <c r="FB44" s="250">
        <v>255.8</v>
      </c>
      <c r="FC44" s="250">
        <v>0</v>
      </c>
      <c r="FD44" s="249">
        <v>0</v>
      </c>
      <c r="FE44" s="250">
        <v>0</v>
      </c>
      <c r="FF44" s="250">
        <v>44.2</v>
      </c>
    </row>
    <row r="45" spans="1:162">
      <c r="A45" s="234" t="s">
        <v>947</v>
      </c>
      <c r="B45" s="234" t="s">
        <v>948</v>
      </c>
      <c r="C45" s="246" t="s">
        <v>401</v>
      </c>
      <c r="D45" s="246" t="s">
        <v>362</v>
      </c>
      <c r="E45" s="246">
        <v>4210</v>
      </c>
      <c r="F45" s="246" t="s">
        <v>363</v>
      </c>
      <c r="G45" s="246" t="s">
        <v>363</v>
      </c>
      <c r="H45" s="246" t="s">
        <v>363</v>
      </c>
      <c r="I45" s="246">
        <v>0.66930000000000001</v>
      </c>
      <c r="J45" s="246">
        <v>0.83909999999999996</v>
      </c>
      <c r="K45" s="247">
        <v>4.4600000000000001E-2</v>
      </c>
      <c r="L45" s="247">
        <v>7.6899999999999996E-2</v>
      </c>
      <c r="M45" s="246" t="s">
        <v>384</v>
      </c>
      <c r="N45" s="247">
        <v>1.34E-2</v>
      </c>
      <c r="O45" s="247">
        <v>5.2900000000000003E-2</v>
      </c>
      <c r="P45" s="247">
        <v>3.9699999999999999E-2</v>
      </c>
      <c r="Q45" s="247">
        <v>6.7500000000000004E-2</v>
      </c>
      <c r="R45" s="247">
        <v>-0.1094</v>
      </c>
      <c r="S45" s="247">
        <v>-8.77E-2</v>
      </c>
      <c r="T45" s="248">
        <v>268.3</v>
      </c>
      <c r="U45" s="248">
        <v>11.43</v>
      </c>
      <c r="V45" s="248">
        <v>79.3</v>
      </c>
      <c r="W45" s="248">
        <v>90.73</v>
      </c>
      <c r="X45" s="248">
        <v>359.03</v>
      </c>
      <c r="Y45" s="248">
        <v>14.5</v>
      </c>
      <c r="Z45" s="248">
        <v>344.53</v>
      </c>
      <c r="AA45" s="247">
        <v>4.0399999999999998E-2</v>
      </c>
      <c r="AB45" s="246">
        <v>2.11</v>
      </c>
      <c r="AC45" s="247">
        <v>0.2114</v>
      </c>
      <c r="AD45" s="247">
        <v>0.25269999999999998</v>
      </c>
      <c r="AE45" s="247">
        <v>0.2681</v>
      </c>
      <c r="AF45" s="247">
        <v>0.3382</v>
      </c>
      <c r="AG45" s="248">
        <v>9.64</v>
      </c>
      <c r="AH45" s="246">
        <v>31.61</v>
      </c>
      <c r="AI45" s="246" t="s">
        <v>384</v>
      </c>
      <c r="AJ45" s="246">
        <v>1.46</v>
      </c>
      <c r="AK45" s="247">
        <v>0.38600000000000001</v>
      </c>
      <c r="AL45" s="247">
        <v>0.60309999999999997</v>
      </c>
      <c r="AM45" s="246">
        <v>0.33</v>
      </c>
      <c r="AN45" s="233" t="s">
        <v>384</v>
      </c>
      <c r="AO45" s="246" t="s">
        <v>384</v>
      </c>
      <c r="AP45" s="246" t="s">
        <v>384</v>
      </c>
      <c r="AQ45" s="246" t="s">
        <v>384</v>
      </c>
      <c r="AR45" s="246">
        <v>20.079999999999998</v>
      </c>
      <c r="AS45" s="246" t="s">
        <v>384</v>
      </c>
      <c r="AT45" s="246">
        <v>0.79</v>
      </c>
      <c r="AU45" s="246">
        <v>0.61</v>
      </c>
      <c r="AV45" s="246">
        <v>1.1100000000000001</v>
      </c>
      <c r="AW45" s="246" t="s">
        <v>384</v>
      </c>
      <c r="AX45" s="246">
        <v>10.01</v>
      </c>
      <c r="AY45" s="246">
        <v>1.43</v>
      </c>
      <c r="AZ45" s="246">
        <v>1.43</v>
      </c>
      <c r="BA45" s="246" t="s">
        <v>384</v>
      </c>
      <c r="BB45" s="247">
        <v>0</v>
      </c>
      <c r="BC45" s="247">
        <v>0.30430000000000001</v>
      </c>
      <c r="BD45" s="246" t="s">
        <v>384</v>
      </c>
      <c r="BE45" s="246" t="s">
        <v>384</v>
      </c>
      <c r="BF45" s="246" t="s">
        <v>384</v>
      </c>
      <c r="BG45" s="246" t="s">
        <v>384</v>
      </c>
      <c r="BH45" s="247">
        <v>0.15</v>
      </c>
      <c r="BI45" s="247">
        <v>0.39100000000000001</v>
      </c>
      <c r="BJ45" s="247">
        <v>-3.2500000000000001E-2</v>
      </c>
      <c r="BK45" s="247">
        <v>-2.0199999999999999E-2</v>
      </c>
      <c r="BL45" s="246">
        <v>1.62</v>
      </c>
      <c r="BM45" s="247">
        <v>-2.63E-2</v>
      </c>
      <c r="BN45" s="247">
        <v>-1.2500000000000001E-2</v>
      </c>
      <c r="BO45" s="247">
        <v>0.18179999999999999</v>
      </c>
      <c r="BP45" s="247">
        <v>0.25</v>
      </c>
      <c r="BQ45" s="247">
        <v>0</v>
      </c>
      <c r="BR45" s="247">
        <v>0.70089999999999997</v>
      </c>
      <c r="BS45" s="248">
        <v>-8.48</v>
      </c>
      <c r="BT45" s="248">
        <v>-11</v>
      </c>
      <c r="BU45" s="248">
        <v>-5.45</v>
      </c>
      <c r="BV45" s="248">
        <v>-5.22</v>
      </c>
      <c r="BW45" s="248">
        <v>76.099999999999994</v>
      </c>
      <c r="BX45" s="248">
        <v>240.9</v>
      </c>
      <c r="BY45" s="248">
        <v>418.5</v>
      </c>
      <c r="BZ45" s="248">
        <v>13.4</v>
      </c>
      <c r="CA45" s="248">
        <v>34.42</v>
      </c>
      <c r="CB45" s="248">
        <v>-5.22</v>
      </c>
      <c r="CC45" s="248">
        <v>16.2</v>
      </c>
      <c r="CD45" s="248">
        <v>7.96</v>
      </c>
      <c r="CE45" s="248">
        <v>20.96</v>
      </c>
      <c r="CF45" s="247">
        <v>5.0099999999999999E-2</v>
      </c>
      <c r="CG45" s="248">
        <v>-21.53</v>
      </c>
      <c r="CH45" s="246" t="s">
        <v>384</v>
      </c>
      <c r="CI45" s="248">
        <v>8.35</v>
      </c>
      <c r="CJ45" s="248">
        <v>-13.63</v>
      </c>
      <c r="CK45" s="248">
        <v>2.57</v>
      </c>
      <c r="CL45" s="248">
        <v>338.5</v>
      </c>
      <c r="CM45" s="248">
        <v>258.63</v>
      </c>
      <c r="CN45" s="248">
        <v>338.4</v>
      </c>
      <c r="CO45" s="248">
        <v>241.23</v>
      </c>
      <c r="CP45" s="248">
        <v>0</v>
      </c>
      <c r="CQ45" s="246">
        <v>1.94</v>
      </c>
      <c r="CR45" s="246" t="s">
        <v>384</v>
      </c>
      <c r="CS45" s="246">
        <v>1.1200000000000001</v>
      </c>
      <c r="CT45" s="246" t="s">
        <v>384</v>
      </c>
      <c r="CU45" s="246" t="s">
        <v>384</v>
      </c>
      <c r="CV45" s="246" t="s">
        <v>384</v>
      </c>
      <c r="CW45" s="246" t="s">
        <v>384</v>
      </c>
      <c r="CX45" s="248">
        <v>0</v>
      </c>
      <c r="CY45" s="246" t="s">
        <v>384</v>
      </c>
      <c r="CZ45" s="246" t="s">
        <v>384</v>
      </c>
      <c r="DA45" s="246" t="s">
        <v>384</v>
      </c>
      <c r="DB45" s="246" t="s">
        <v>384</v>
      </c>
      <c r="DC45" s="248">
        <v>34.42</v>
      </c>
      <c r="DD45" s="248">
        <v>344.53</v>
      </c>
      <c r="DE45" s="246" t="s">
        <v>384</v>
      </c>
      <c r="DF45" s="248">
        <v>0</v>
      </c>
      <c r="DG45" s="248">
        <v>-5.22</v>
      </c>
      <c r="DH45" s="248">
        <v>241.23</v>
      </c>
      <c r="DI45" s="248">
        <v>13.4</v>
      </c>
      <c r="DJ45" s="247">
        <v>-3.2500000000000001E-2</v>
      </c>
      <c r="DK45" s="247">
        <v>-2.0199999999999999E-2</v>
      </c>
      <c r="DL45" s="246">
        <v>25.71</v>
      </c>
      <c r="DM45" s="246">
        <v>37.299999999999997</v>
      </c>
      <c r="DN45" s="246" t="s">
        <v>384</v>
      </c>
      <c r="DO45" s="246" t="s">
        <v>384</v>
      </c>
      <c r="DP45" s="246" t="s">
        <v>384</v>
      </c>
      <c r="DQ45" s="246" t="s">
        <v>949</v>
      </c>
      <c r="DR45" s="246" t="s">
        <v>950</v>
      </c>
      <c r="DS45" s="246" t="s">
        <v>951</v>
      </c>
      <c r="DT45" s="246" t="e">
        <v>#REF!</v>
      </c>
      <c r="DU45" s="246" t="s">
        <v>388</v>
      </c>
      <c r="DV45" s="248">
        <v>-5.45</v>
      </c>
      <c r="DW45" s="246" t="s">
        <v>952</v>
      </c>
      <c r="DX45" s="246" t="s">
        <v>388</v>
      </c>
      <c r="DY45" s="246" t="s">
        <v>953</v>
      </c>
      <c r="DZ45" s="246">
        <v>-3</v>
      </c>
      <c r="EA45" s="247">
        <v>3.9E-2</v>
      </c>
      <c r="EB45" s="247">
        <v>-0.1328</v>
      </c>
      <c r="EC45" s="247">
        <v>-2.5399999999999999E-2</v>
      </c>
      <c r="ED45" s="247">
        <v>0.40100000000000002</v>
      </c>
      <c r="EE45" s="247">
        <v>0.23019999999999999</v>
      </c>
      <c r="EF45" s="247">
        <v>5.7599999999999998E-2</v>
      </c>
      <c r="EG45" s="247">
        <v>-1.9199999999999998E-2</v>
      </c>
      <c r="EH45" s="247">
        <v>-1.2E-2</v>
      </c>
      <c r="EI45" s="246" t="s">
        <v>954</v>
      </c>
      <c r="EJ45" s="234">
        <v>-5.45</v>
      </c>
      <c r="EK45" s="234">
        <v>-7.59</v>
      </c>
      <c r="EL45" s="234" t="s">
        <v>955</v>
      </c>
      <c r="EM45" s="234" t="s">
        <v>956</v>
      </c>
      <c r="EN45" s="234" t="s">
        <v>957</v>
      </c>
      <c r="EO45" s="234" t="s">
        <v>958</v>
      </c>
      <c r="EP45" s="234" t="s">
        <v>959</v>
      </c>
      <c r="EQ45" s="234" t="s">
        <v>960</v>
      </c>
      <c r="ER45" s="234">
        <v>0</v>
      </c>
      <c r="ES45" s="234" t="s">
        <v>384</v>
      </c>
      <c r="ET45" s="234" t="s">
        <v>384</v>
      </c>
      <c r="EU45" s="234" t="s">
        <v>384</v>
      </c>
      <c r="EV45" s="234" t="s">
        <v>491</v>
      </c>
      <c r="EW45" s="250">
        <v>0</v>
      </c>
      <c r="EX45" s="250">
        <v>0</v>
      </c>
      <c r="EY45" s="250">
        <v>0</v>
      </c>
      <c r="EZ45" s="250">
        <v>0</v>
      </c>
      <c r="FA45" s="250">
        <v>218.1</v>
      </c>
      <c r="FB45" s="250">
        <v>205.7</v>
      </c>
      <c r="FC45" s="250">
        <v>0</v>
      </c>
      <c r="FD45" s="249">
        <v>0.63800000000000001</v>
      </c>
      <c r="FE45" s="250">
        <v>23.3</v>
      </c>
      <c r="FF45" s="250">
        <v>0</v>
      </c>
    </row>
    <row r="46" spans="1:162">
      <c r="A46" s="234" t="s">
        <v>961</v>
      </c>
      <c r="B46" s="234" t="s">
        <v>962</v>
      </c>
      <c r="C46" s="246" t="s">
        <v>401</v>
      </c>
      <c r="D46" s="246" t="s">
        <v>362</v>
      </c>
      <c r="E46" s="246">
        <v>4210</v>
      </c>
      <c r="F46" s="246" t="s">
        <v>963</v>
      </c>
      <c r="G46" s="246" t="s">
        <v>417</v>
      </c>
      <c r="H46" s="246" t="s">
        <v>418</v>
      </c>
      <c r="I46" s="246">
        <v>0.66930000000000001</v>
      </c>
      <c r="J46" s="246">
        <v>0.85470000000000002</v>
      </c>
      <c r="K46" s="247">
        <v>4.87E-2</v>
      </c>
      <c r="L46" s="247">
        <v>8.1100000000000005E-2</v>
      </c>
      <c r="M46" s="246" t="s">
        <v>384</v>
      </c>
      <c r="N46" s="247">
        <v>9.7000000000000003E-3</v>
      </c>
      <c r="O46" s="247">
        <v>4.9200000000000001E-2</v>
      </c>
      <c r="P46" s="247">
        <v>3.6200000000000003E-2</v>
      </c>
      <c r="Q46" s="247">
        <v>6.88E-2</v>
      </c>
      <c r="R46" s="247">
        <v>-3.2599999999999997E-2</v>
      </c>
      <c r="S46" s="247">
        <v>-4.9099999999999998E-2</v>
      </c>
      <c r="T46" s="248">
        <v>203</v>
      </c>
      <c r="U46" s="248">
        <v>0</v>
      </c>
      <c r="V46" s="248">
        <v>76.400000000000006</v>
      </c>
      <c r="W46" s="248">
        <v>76.400000000000006</v>
      </c>
      <c r="X46" s="248">
        <v>279.39999999999998</v>
      </c>
      <c r="Y46" s="248">
        <v>42.8</v>
      </c>
      <c r="Z46" s="248">
        <v>236.6</v>
      </c>
      <c r="AA46" s="247">
        <v>0.1532</v>
      </c>
      <c r="AB46" s="246">
        <v>0.59</v>
      </c>
      <c r="AC46" s="247">
        <v>8.2299999999999998E-2</v>
      </c>
      <c r="AD46" s="247">
        <v>0.27339999999999998</v>
      </c>
      <c r="AE46" s="247">
        <v>8.9599999999999999E-2</v>
      </c>
      <c r="AF46" s="247">
        <v>0.37640000000000001</v>
      </c>
      <c r="AG46" s="248">
        <v>10.01</v>
      </c>
      <c r="AH46" s="246">
        <v>69.06</v>
      </c>
      <c r="AI46" s="247">
        <v>-0.18959999999999999</v>
      </c>
      <c r="AJ46" s="246">
        <v>2.11</v>
      </c>
      <c r="AK46" s="247">
        <v>0.25690000000000002</v>
      </c>
      <c r="AL46" s="247">
        <v>0.2331</v>
      </c>
      <c r="AM46" s="246">
        <v>0.23</v>
      </c>
      <c r="AN46" s="233">
        <v>5.44</v>
      </c>
      <c r="AO46" s="246">
        <v>3.51</v>
      </c>
      <c r="AP46" s="246">
        <v>4.84</v>
      </c>
      <c r="AQ46" s="246">
        <v>2.71</v>
      </c>
      <c r="AR46" s="246" t="s">
        <v>384</v>
      </c>
      <c r="AS46" s="246" t="s">
        <v>384</v>
      </c>
      <c r="AT46" s="246">
        <v>0.24</v>
      </c>
      <c r="AU46" s="246">
        <v>0.2</v>
      </c>
      <c r="AV46" s="246">
        <v>0.22</v>
      </c>
      <c r="AW46" s="246">
        <v>11.95</v>
      </c>
      <c r="AX46" s="246">
        <v>4.88</v>
      </c>
      <c r="AY46" s="246">
        <v>0.27</v>
      </c>
      <c r="AZ46" s="246">
        <v>0.25</v>
      </c>
      <c r="BA46" s="247">
        <v>0.11360000000000001</v>
      </c>
      <c r="BB46" s="247">
        <v>2.3400000000000001E-2</v>
      </c>
      <c r="BC46" s="247">
        <v>0.29549999999999998</v>
      </c>
      <c r="BD46" s="247">
        <v>2.8999999999999998E-3</v>
      </c>
      <c r="BE46" s="247">
        <v>0.78900000000000003</v>
      </c>
      <c r="BF46" s="247">
        <v>-1.6000000000000001E-3</v>
      </c>
      <c r="BG46" s="247">
        <v>9.5000000000000001E-2</v>
      </c>
      <c r="BH46" s="246" t="s">
        <v>384</v>
      </c>
      <c r="BI46" s="246" t="s">
        <v>384</v>
      </c>
      <c r="BJ46" s="247">
        <v>4.8500000000000001E-2</v>
      </c>
      <c r="BK46" s="247">
        <v>1.9699999999999999E-2</v>
      </c>
      <c r="BL46" s="246">
        <v>1.05</v>
      </c>
      <c r="BM46" s="247">
        <v>4.4999999999999998E-2</v>
      </c>
      <c r="BN46" s="247">
        <v>2.1299999999999999E-2</v>
      </c>
      <c r="BO46" s="247">
        <v>0.10059999999999999</v>
      </c>
      <c r="BP46" s="247">
        <v>0.26400000000000001</v>
      </c>
      <c r="BQ46" s="247">
        <v>0.1158</v>
      </c>
      <c r="BR46" s="247">
        <v>0.06</v>
      </c>
      <c r="BS46" s="248">
        <v>57.8</v>
      </c>
      <c r="BT46" s="248">
        <v>41.9</v>
      </c>
      <c r="BU46" s="248">
        <v>19.8</v>
      </c>
      <c r="BV46" s="248">
        <v>19.8</v>
      </c>
      <c r="BW46" s="248">
        <v>93.6</v>
      </c>
      <c r="BX46" s="248">
        <v>929.7</v>
      </c>
      <c r="BY46" s="248">
        <v>930.6</v>
      </c>
      <c r="BZ46" s="248">
        <v>41.6</v>
      </c>
      <c r="CA46" s="248">
        <v>48.5</v>
      </c>
      <c r="CB46" s="248">
        <v>17.510000000000002</v>
      </c>
      <c r="CC46" s="248">
        <v>13.13</v>
      </c>
      <c r="CD46" s="248">
        <v>5.5</v>
      </c>
      <c r="CE46" s="248">
        <v>31.48</v>
      </c>
      <c r="CF46" s="247">
        <v>3.3799999999999997E-2</v>
      </c>
      <c r="CG46" s="248">
        <v>37.549999999999997</v>
      </c>
      <c r="CH46" s="247">
        <v>2.4590999999999998</v>
      </c>
      <c r="CI46" s="248">
        <v>-25.54</v>
      </c>
      <c r="CJ46" s="248">
        <v>-14.28</v>
      </c>
      <c r="CK46" s="248">
        <v>-1.1499999999999999</v>
      </c>
      <c r="CL46" s="248">
        <v>863.9</v>
      </c>
      <c r="CM46" s="248">
        <v>887.53</v>
      </c>
      <c r="CN46" s="248">
        <v>852.4</v>
      </c>
      <c r="CO46" s="248">
        <v>877.8</v>
      </c>
      <c r="CP46" s="248">
        <v>-4.76</v>
      </c>
      <c r="CQ46" s="246">
        <v>0.5</v>
      </c>
      <c r="CR46" s="246">
        <v>1.67</v>
      </c>
      <c r="CS46" s="246">
        <v>0.42</v>
      </c>
      <c r="CT46" s="246">
        <v>0.48</v>
      </c>
      <c r="CU46" s="246">
        <v>0.51</v>
      </c>
      <c r="CV46" s="248">
        <v>17.350000000000001</v>
      </c>
      <c r="CW46" s="248">
        <v>39.67</v>
      </c>
      <c r="CX46" s="248">
        <v>-4.76</v>
      </c>
      <c r="CY46" s="248">
        <v>47.4</v>
      </c>
      <c r="CZ46" s="248">
        <v>5.49</v>
      </c>
      <c r="DA46" s="248">
        <v>41.9</v>
      </c>
      <c r="DB46" s="248">
        <v>203</v>
      </c>
      <c r="DC46" s="248">
        <v>48.5</v>
      </c>
      <c r="DD46" s="248">
        <v>236.6</v>
      </c>
      <c r="DE46" s="248">
        <v>-14.28</v>
      </c>
      <c r="DF46" s="248">
        <v>0</v>
      </c>
      <c r="DG46" s="248">
        <v>19.8</v>
      </c>
      <c r="DH46" s="248">
        <v>877.8</v>
      </c>
      <c r="DI46" s="248">
        <v>41.6</v>
      </c>
      <c r="DJ46" s="247">
        <v>4.8500000000000001E-2</v>
      </c>
      <c r="DK46" s="247">
        <v>1.9699999999999999E-2</v>
      </c>
      <c r="DL46" s="246">
        <v>5.69</v>
      </c>
      <c r="DM46" s="246">
        <v>5.69</v>
      </c>
      <c r="DN46" s="246">
        <v>643.6</v>
      </c>
      <c r="DO46" s="246">
        <v>17.350000000000001</v>
      </c>
      <c r="DP46" s="247">
        <v>2.2800000000000001E-2</v>
      </c>
      <c r="DQ46" s="248">
        <v>-10</v>
      </c>
      <c r="DR46" s="246" t="s">
        <v>964</v>
      </c>
      <c r="DS46" s="246" t="s">
        <v>965</v>
      </c>
      <c r="DT46" s="246" t="e">
        <v>#REF!</v>
      </c>
      <c r="DU46" s="246" t="s">
        <v>388</v>
      </c>
      <c r="DV46" s="246" t="s">
        <v>966</v>
      </c>
      <c r="DW46" s="246" t="s">
        <v>967</v>
      </c>
      <c r="DX46" s="246" t="s">
        <v>968</v>
      </c>
      <c r="DY46" s="246" t="s">
        <v>969</v>
      </c>
      <c r="DZ46" s="246">
        <v>55</v>
      </c>
      <c r="EA46" s="247">
        <v>3.2000000000000002E-3</v>
      </c>
      <c r="EB46" s="247">
        <v>0.44290000000000002</v>
      </c>
      <c r="EC46" s="247">
        <v>-0.11840000000000001</v>
      </c>
      <c r="ED46" s="247">
        <v>2.8899999999999999E-2</v>
      </c>
      <c r="EE46" s="247">
        <v>0.31309999999999999</v>
      </c>
      <c r="EF46" s="247">
        <v>-5.0799999999999998E-2</v>
      </c>
      <c r="EG46" s="247">
        <v>1.9300000000000001E-2</v>
      </c>
      <c r="EH46" s="247">
        <v>2.1000000000000001E-2</v>
      </c>
      <c r="EI46" s="248">
        <v>-10</v>
      </c>
      <c r="EJ46" s="234">
        <v>19.8</v>
      </c>
      <c r="EK46" s="234">
        <v>18.899999999999999</v>
      </c>
      <c r="EL46" s="234" t="s">
        <v>970</v>
      </c>
      <c r="EM46" s="234" t="s">
        <v>971</v>
      </c>
      <c r="EN46" s="234" t="s">
        <v>972</v>
      </c>
      <c r="EO46" s="234" t="s">
        <v>973</v>
      </c>
      <c r="EP46" s="234" t="s">
        <v>376</v>
      </c>
      <c r="EQ46" s="234" t="s">
        <v>377</v>
      </c>
      <c r="ER46" s="234">
        <v>1</v>
      </c>
      <c r="ES46" s="249">
        <v>3.7600000000000001E-2</v>
      </c>
      <c r="ET46" s="234" t="s">
        <v>384</v>
      </c>
      <c r="EU46" s="250">
        <v>930.6</v>
      </c>
      <c r="EV46" s="234" t="s">
        <v>491</v>
      </c>
      <c r="EW46" s="250">
        <v>267.60000000000002</v>
      </c>
      <c r="EX46" s="250">
        <v>209.3</v>
      </c>
      <c r="EY46" s="250">
        <v>450.8</v>
      </c>
      <c r="EZ46" s="250">
        <v>191.4</v>
      </c>
      <c r="FA46" s="250">
        <v>154.6</v>
      </c>
      <c r="FB46" s="250">
        <v>156.69999999999999</v>
      </c>
      <c r="FC46" s="250">
        <v>42.8</v>
      </c>
      <c r="FD46" s="249">
        <v>0</v>
      </c>
      <c r="FE46" s="250">
        <v>0</v>
      </c>
      <c r="FF46" s="250">
        <v>0</v>
      </c>
    </row>
    <row r="47" spans="1:162">
      <c r="A47" s="234" t="s">
        <v>974</v>
      </c>
      <c r="B47" s="234" t="s">
        <v>975</v>
      </c>
      <c r="C47" s="246" t="s">
        <v>401</v>
      </c>
      <c r="D47" s="246" t="s">
        <v>362</v>
      </c>
      <c r="E47" s="246">
        <v>4210</v>
      </c>
      <c r="F47" s="246" t="s">
        <v>494</v>
      </c>
      <c r="G47" s="246" t="s">
        <v>494</v>
      </c>
      <c r="H47" s="246" t="s">
        <v>494</v>
      </c>
      <c r="I47" s="246">
        <v>0.66930000000000001</v>
      </c>
      <c r="J47" s="246">
        <v>0.77949999999999997</v>
      </c>
      <c r="K47" s="247">
        <v>5.1400000000000001E-2</v>
      </c>
      <c r="L47" s="247">
        <v>7.9600000000000004E-2</v>
      </c>
      <c r="M47" s="246" t="s">
        <v>384</v>
      </c>
      <c r="N47" s="247">
        <v>1.49E-2</v>
      </c>
      <c r="O47" s="247">
        <v>5.4399999999999997E-2</v>
      </c>
      <c r="P47" s="247">
        <v>3.8199999999999998E-2</v>
      </c>
      <c r="Q47" s="247">
        <v>7.17E-2</v>
      </c>
      <c r="R47" s="247">
        <v>-3.5700000000000003E-2</v>
      </c>
      <c r="S47" s="247">
        <v>-3.8600000000000002E-2</v>
      </c>
      <c r="T47" s="248">
        <v>174.9</v>
      </c>
      <c r="U47" s="248">
        <v>0</v>
      </c>
      <c r="V47" s="248">
        <v>41</v>
      </c>
      <c r="W47" s="248">
        <v>41</v>
      </c>
      <c r="X47" s="248">
        <v>215.9</v>
      </c>
      <c r="Y47" s="248">
        <v>11</v>
      </c>
      <c r="Z47" s="248">
        <v>204.9</v>
      </c>
      <c r="AA47" s="247">
        <v>5.0900000000000001E-2</v>
      </c>
      <c r="AB47" s="246">
        <v>0.89</v>
      </c>
      <c r="AC47" s="247">
        <v>0.18770000000000001</v>
      </c>
      <c r="AD47" s="247">
        <v>0.18990000000000001</v>
      </c>
      <c r="AE47" s="247">
        <v>0.2311</v>
      </c>
      <c r="AF47" s="247">
        <v>0.2344</v>
      </c>
      <c r="AG47" s="248">
        <v>6.07</v>
      </c>
      <c r="AH47" s="246">
        <v>24.3</v>
      </c>
      <c r="AI47" s="247">
        <v>0.2666</v>
      </c>
      <c r="AJ47" s="246">
        <v>0.95</v>
      </c>
      <c r="AK47" s="247">
        <v>8.9399999999999993E-2</v>
      </c>
      <c r="AL47" s="247">
        <v>0.39850000000000002</v>
      </c>
      <c r="AM47" s="246">
        <v>0.47</v>
      </c>
      <c r="AN47" s="233">
        <v>208.72</v>
      </c>
      <c r="AO47" s="246">
        <v>23.48</v>
      </c>
      <c r="AP47" s="246">
        <v>22.86</v>
      </c>
      <c r="AQ47" s="246">
        <v>22.7</v>
      </c>
      <c r="AR47" s="246" t="s">
        <v>384</v>
      </c>
      <c r="AS47" s="246" t="s">
        <v>384</v>
      </c>
      <c r="AT47" s="246">
        <v>0.99</v>
      </c>
      <c r="AU47" s="246">
        <v>1.27</v>
      </c>
      <c r="AV47" s="246">
        <v>0.56999999999999995</v>
      </c>
      <c r="AW47" s="246">
        <v>20.89</v>
      </c>
      <c r="AX47" s="246">
        <v>8.76</v>
      </c>
      <c r="AY47" s="246">
        <v>0.99</v>
      </c>
      <c r="AZ47" s="246">
        <v>0.66</v>
      </c>
      <c r="BA47" s="247">
        <v>0.4824</v>
      </c>
      <c r="BB47" s="247">
        <v>2.1100000000000001E-2</v>
      </c>
      <c r="BC47" s="247">
        <v>0.2021</v>
      </c>
      <c r="BD47" s="247">
        <v>0.44900000000000001</v>
      </c>
      <c r="BE47" s="247">
        <v>0.14599999999999999</v>
      </c>
      <c r="BF47" s="247">
        <v>-5.9999999999999995E-4</v>
      </c>
      <c r="BG47" s="247">
        <v>-4.7999999999999996E-3</v>
      </c>
      <c r="BH47" s="246" t="s">
        <v>384</v>
      </c>
      <c r="BI47" s="246" t="s">
        <v>384</v>
      </c>
      <c r="BJ47" s="247">
        <v>4.3900000000000002E-2</v>
      </c>
      <c r="BK47" s="247">
        <v>3.3099999999999997E-2</v>
      </c>
      <c r="BL47" s="246">
        <v>1.51</v>
      </c>
      <c r="BM47" s="247">
        <v>2.4199999999999999E-2</v>
      </c>
      <c r="BN47" s="247">
        <v>3.1099999999999999E-2</v>
      </c>
      <c r="BO47" s="247">
        <v>0.10290000000000001</v>
      </c>
      <c r="BP47" s="247">
        <v>0.2974</v>
      </c>
      <c r="BQ47" s="247">
        <v>0.29459999999999997</v>
      </c>
      <c r="BR47" s="247">
        <v>5.6800000000000003E-2</v>
      </c>
      <c r="BS47" s="248">
        <v>7.45</v>
      </c>
      <c r="BT47" s="248">
        <v>7.65</v>
      </c>
      <c r="BU47" s="248">
        <v>9.81</v>
      </c>
      <c r="BV47" s="248">
        <v>9.81</v>
      </c>
      <c r="BW47" s="248">
        <v>32.5</v>
      </c>
      <c r="BX47" s="248">
        <v>308.2</v>
      </c>
      <c r="BY47" s="248">
        <v>315.89999999999998</v>
      </c>
      <c r="BZ47" s="248">
        <v>22.1</v>
      </c>
      <c r="CA47" s="248">
        <v>23.4</v>
      </c>
      <c r="CB47" s="248">
        <v>6.92</v>
      </c>
      <c r="CC47" s="248">
        <v>2.91</v>
      </c>
      <c r="CD47" s="248">
        <v>-0.19</v>
      </c>
      <c r="CE47" s="248">
        <v>14.51</v>
      </c>
      <c r="CF47" s="247">
        <v>4.5900000000000003E-2</v>
      </c>
      <c r="CG47" s="248">
        <v>16.28</v>
      </c>
      <c r="CH47" s="247">
        <v>2.3256999999999999</v>
      </c>
      <c r="CI47" s="248">
        <v>-9.17</v>
      </c>
      <c r="CJ47" s="248">
        <v>-11.35</v>
      </c>
      <c r="CK47" s="248">
        <v>-8.44</v>
      </c>
      <c r="CL47" s="248">
        <v>174.4</v>
      </c>
      <c r="CM47" s="248">
        <v>208.8</v>
      </c>
      <c r="CN47" s="248">
        <v>177.4</v>
      </c>
      <c r="CO47" s="248">
        <v>207.4</v>
      </c>
      <c r="CP47" s="248">
        <v>-3.69</v>
      </c>
      <c r="CQ47" s="246">
        <v>0.3</v>
      </c>
      <c r="CR47" s="246">
        <v>0.63</v>
      </c>
      <c r="CS47" s="246">
        <v>0.43</v>
      </c>
      <c r="CT47" s="246">
        <v>0.36</v>
      </c>
      <c r="CU47" s="246">
        <v>0.48</v>
      </c>
      <c r="CV47" s="248">
        <v>7.46</v>
      </c>
      <c r="CW47" s="248">
        <v>5.85</v>
      </c>
      <c r="CX47" s="248">
        <v>-3.69</v>
      </c>
      <c r="CY47" s="248">
        <v>11.2</v>
      </c>
      <c r="CZ47" s="248">
        <v>3.3</v>
      </c>
      <c r="DA47" s="248">
        <v>7.65</v>
      </c>
      <c r="DB47" s="248">
        <v>174.9</v>
      </c>
      <c r="DC47" s="248">
        <v>23.4</v>
      </c>
      <c r="DD47" s="248">
        <v>204.9</v>
      </c>
      <c r="DE47" s="248">
        <v>-11.35</v>
      </c>
      <c r="DF47" s="248">
        <v>0</v>
      </c>
      <c r="DG47" s="248">
        <v>9.81</v>
      </c>
      <c r="DH47" s="248">
        <v>207.4</v>
      </c>
      <c r="DI47" s="248">
        <v>22.1</v>
      </c>
      <c r="DJ47" s="247">
        <v>4.3900000000000002E-2</v>
      </c>
      <c r="DK47" s="247">
        <v>3.3099999999999997E-2</v>
      </c>
      <c r="DL47" s="246">
        <v>9.27</v>
      </c>
      <c r="DM47" s="246">
        <v>0.41</v>
      </c>
      <c r="DN47" s="246">
        <v>200.3</v>
      </c>
      <c r="DO47" s="246">
        <v>7.46</v>
      </c>
      <c r="DP47" s="247">
        <v>3.6600000000000001E-2</v>
      </c>
      <c r="DQ47" s="248">
        <v>-3.09</v>
      </c>
      <c r="DR47" s="246" t="s">
        <v>976</v>
      </c>
      <c r="DS47" s="246" t="s">
        <v>977</v>
      </c>
      <c r="DT47" s="246" t="e">
        <v>#REF!</v>
      </c>
      <c r="DU47" s="246" t="s">
        <v>388</v>
      </c>
      <c r="DV47" s="246" t="s">
        <v>978</v>
      </c>
      <c r="DW47" s="246" t="s">
        <v>979</v>
      </c>
      <c r="DX47" s="246" t="s">
        <v>980</v>
      </c>
      <c r="DY47" s="246" t="s">
        <v>981</v>
      </c>
      <c r="DZ47" s="246">
        <v>128</v>
      </c>
      <c r="EA47" s="247">
        <v>-9.5999999999999992E-3</v>
      </c>
      <c r="EB47" s="247">
        <v>2.07E-2</v>
      </c>
      <c r="EC47" s="247">
        <v>6.8900000000000003E-2</v>
      </c>
      <c r="ED47" s="247">
        <v>0.1056</v>
      </c>
      <c r="EE47" s="247">
        <v>0.19470000000000001</v>
      </c>
      <c r="EF47" s="247">
        <v>-0.67410000000000003</v>
      </c>
      <c r="EG47" s="247">
        <v>1.83E-2</v>
      </c>
      <c r="EH47" s="247">
        <v>3.1E-2</v>
      </c>
      <c r="EI47" s="248">
        <v>-8.6999999999999993</v>
      </c>
      <c r="EJ47" s="234">
        <v>9.81</v>
      </c>
      <c r="EK47" s="234">
        <v>17.7</v>
      </c>
      <c r="EL47" s="234" t="s">
        <v>982</v>
      </c>
      <c r="EM47" s="234" t="s">
        <v>983</v>
      </c>
      <c r="EN47" s="234" t="s">
        <v>984</v>
      </c>
      <c r="EO47" s="234" t="s">
        <v>985</v>
      </c>
      <c r="EP47" s="234" t="s">
        <v>376</v>
      </c>
      <c r="EQ47" s="234" t="s">
        <v>377</v>
      </c>
      <c r="ER47" s="234">
        <v>1</v>
      </c>
      <c r="ES47" s="249">
        <v>-0.22720000000000001</v>
      </c>
      <c r="ET47" s="234" t="s">
        <v>384</v>
      </c>
      <c r="EU47" s="250">
        <v>315.89999999999998</v>
      </c>
      <c r="EV47" s="234" t="s">
        <v>491</v>
      </c>
      <c r="EW47" s="250">
        <v>96.4</v>
      </c>
      <c r="EX47" s="250">
        <v>278.89999999999998</v>
      </c>
      <c r="EY47" s="250">
        <v>205.3</v>
      </c>
      <c r="EZ47" s="250">
        <v>186.4</v>
      </c>
      <c r="FA47" s="250">
        <v>146.4</v>
      </c>
      <c r="FB47" s="250">
        <v>145.5</v>
      </c>
      <c r="FC47" s="250">
        <v>2.4300000000000002</v>
      </c>
      <c r="FD47" s="249">
        <v>0</v>
      </c>
      <c r="FE47" s="250">
        <v>0</v>
      </c>
      <c r="FF47" s="250">
        <v>0</v>
      </c>
    </row>
    <row r="48" spans="1:162">
      <c r="A48" s="234" t="s">
        <v>986</v>
      </c>
      <c r="B48" s="234" t="s">
        <v>987</v>
      </c>
      <c r="C48" s="246" t="s">
        <v>401</v>
      </c>
      <c r="D48" s="246" t="s">
        <v>362</v>
      </c>
      <c r="E48" s="246">
        <v>4210</v>
      </c>
      <c r="F48" s="246" t="s">
        <v>988</v>
      </c>
      <c r="G48" s="246" t="s">
        <v>435</v>
      </c>
      <c r="H48" s="246" t="s">
        <v>989</v>
      </c>
      <c r="I48" s="246">
        <v>0.66930000000000001</v>
      </c>
      <c r="J48" s="246">
        <v>1.2433000000000001</v>
      </c>
      <c r="K48" s="247">
        <v>4.2299999999999997E-2</v>
      </c>
      <c r="L48" s="247">
        <v>9.2100000000000001E-2</v>
      </c>
      <c r="M48" s="246" t="s">
        <v>384</v>
      </c>
      <c r="N48" s="247">
        <v>8.8999999999999999E-3</v>
      </c>
      <c r="O48" s="247">
        <v>4.8399999999999999E-2</v>
      </c>
      <c r="P48" s="247">
        <v>3.39E-2</v>
      </c>
      <c r="Q48" s="247">
        <v>0.06</v>
      </c>
      <c r="R48" s="247">
        <v>2.2200000000000001E-2</v>
      </c>
      <c r="S48" s="247">
        <v>1.6500000000000001E-2</v>
      </c>
      <c r="T48" s="248">
        <v>171.4</v>
      </c>
      <c r="U48" s="248">
        <v>0</v>
      </c>
      <c r="V48" s="248">
        <v>210</v>
      </c>
      <c r="W48" s="248">
        <v>210</v>
      </c>
      <c r="X48" s="248">
        <v>381.4</v>
      </c>
      <c r="Y48" s="248">
        <v>71.400000000000006</v>
      </c>
      <c r="Z48" s="248">
        <v>310</v>
      </c>
      <c r="AA48" s="247">
        <v>0.18720000000000001</v>
      </c>
      <c r="AB48" s="246">
        <v>0.54</v>
      </c>
      <c r="AC48" s="247">
        <v>0.67330000000000001</v>
      </c>
      <c r="AD48" s="247">
        <v>0.55059999999999998</v>
      </c>
      <c r="AE48" s="247">
        <v>2.0608</v>
      </c>
      <c r="AF48" s="247">
        <v>1.2252000000000001</v>
      </c>
      <c r="AG48" s="248">
        <v>0.47</v>
      </c>
      <c r="AH48" s="246">
        <v>16.54</v>
      </c>
      <c r="AI48" s="247">
        <v>0.13669999999999999</v>
      </c>
      <c r="AJ48" s="246">
        <v>0.65</v>
      </c>
      <c r="AK48" s="247">
        <v>0.26650000000000001</v>
      </c>
      <c r="AL48" s="247">
        <v>0.29680000000000001</v>
      </c>
      <c r="AM48" s="246">
        <v>0.22</v>
      </c>
      <c r="AN48" s="233">
        <v>2.64</v>
      </c>
      <c r="AO48" s="246">
        <v>15.04</v>
      </c>
      <c r="AP48" s="246">
        <v>15.04</v>
      </c>
      <c r="AQ48" s="246">
        <v>8.5399999999999991</v>
      </c>
      <c r="AR48" s="246">
        <v>8.39</v>
      </c>
      <c r="AS48" s="246">
        <v>1.17</v>
      </c>
      <c r="AT48" s="246">
        <v>1.68</v>
      </c>
      <c r="AU48" s="246">
        <v>1.3</v>
      </c>
      <c r="AV48" s="246">
        <v>0.31</v>
      </c>
      <c r="AW48" s="246">
        <v>12.25</v>
      </c>
      <c r="AX48" s="246">
        <v>8.59</v>
      </c>
      <c r="AY48" s="246">
        <v>1.38</v>
      </c>
      <c r="AZ48" s="246">
        <v>0.55000000000000004</v>
      </c>
      <c r="BA48" s="247">
        <v>0.75609999999999999</v>
      </c>
      <c r="BB48" s="247">
        <v>5.0299999999999997E-2</v>
      </c>
      <c r="BC48" s="247">
        <v>0.35599999999999998</v>
      </c>
      <c r="BD48" s="247">
        <v>-3.3000000000000002E-2</v>
      </c>
      <c r="BE48" s="247">
        <v>0.26700000000000002</v>
      </c>
      <c r="BF48" s="247">
        <v>0.154</v>
      </c>
      <c r="BG48" s="247">
        <v>0.156</v>
      </c>
      <c r="BH48" s="247">
        <v>0.128</v>
      </c>
      <c r="BI48" s="247">
        <v>0.127</v>
      </c>
      <c r="BJ48" s="247">
        <v>0.1143</v>
      </c>
      <c r="BK48" s="247">
        <v>7.6499999999999999E-2</v>
      </c>
      <c r="BL48" s="246">
        <v>2.5299999999999998</v>
      </c>
      <c r="BM48" s="247">
        <v>2.0400000000000001E-2</v>
      </c>
      <c r="BN48" s="247">
        <v>4.5199999999999997E-2</v>
      </c>
      <c r="BO48" s="247">
        <v>0.29389999999999999</v>
      </c>
      <c r="BP48" s="247">
        <v>0.3</v>
      </c>
      <c r="BQ48" s="247">
        <v>0.3322</v>
      </c>
      <c r="BR48" s="247">
        <v>0.13800000000000001</v>
      </c>
      <c r="BS48" s="248">
        <v>11.4</v>
      </c>
      <c r="BT48" s="248">
        <v>11.4</v>
      </c>
      <c r="BU48" s="248">
        <v>25.3</v>
      </c>
      <c r="BV48" s="248">
        <v>25.3</v>
      </c>
      <c r="BW48" s="248">
        <v>164.5</v>
      </c>
      <c r="BX48" s="248">
        <v>559.70000000000005</v>
      </c>
      <c r="BY48" s="248">
        <v>559.70000000000005</v>
      </c>
      <c r="BZ48" s="248">
        <v>36.1</v>
      </c>
      <c r="CA48" s="248">
        <v>36.1</v>
      </c>
      <c r="CB48" s="248">
        <v>16.899999999999999</v>
      </c>
      <c r="CC48" s="248">
        <v>-23.3</v>
      </c>
      <c r="CD48" s="248">
        <v>-0.77</v>
      </c>
      <c r="CE48" s="248">
        <v>41.4</v>
      </c>
      <c r="CF48" s="247">
        <v>7.3999999999999996E-2</v>
      </c>
      <c r="CG48" s="248">
        <v>-17.2</v>
      </c>
      <c r="CH48" s="247">
        <v>-1.0638000000000001</v>
      </c>
      <c r="CI48" s="248">
        <v>34.869999999999997</v>
      </c>
      <c r="CJ48" s="248">
        <v>52.67</v>
      </c>
      <c r="CK48" s="248">
        <v>29.37</v>
      </c>
      <c r="CL48" s="248">
        <v>99.7</v>
      </c>
      <c r="CM48" s="248">
        <v>220.8</v>
      </c>
      <c r="CN48" s="248">
        <v>101.9</v>
      </c>
      <c r="CO48" s="248">
        <v>224.7</v>
      </c>
      <c r="CP48" s="248">
        <v>-8.6199999999999992</v>
      </c>
      <c r="CQ48" s="246">
        <v>0.66</v>
      </c>
      <c r="CR48" s="246">
        <v>0.23</v>
      </c>
      <c r="CS48" s="246">
        <v>0.79</v>
      </c>
      <c r="CT48" s="246">
        <v>0.68</v>
      </c>
      <c r="CU48" s="246">
        <v>0.74</v>
      </c>
      <c r="CV48" s="248">
        <v>16.96</v>
      </c>
      <c r="CW48" s="248">
        <v>8.7200000000000006</v>
      </c>
      <c r="CX48" s="248">
        <v>-8.6199999999999992</v>
      </c>
      <c r="CY48" s="248">
        <v>17.100000000000001</v>
      </c>
      <c r="CZ48" s="248">
        <v>5.68</v>
      </c>
      <c r="DA48" s="248">
        <v>11.4</v>
      </c>
      <c r="DB48" s="248">
        <v>171.4</v>
      </c>
      <c r="DC48" s="248">
        <v>36.1</v>
      </c>
      <c r="DD48" s="248">
        <v>310</v>
      </c>
      <c r="DE48" s="248">
        <v>52.67</v>
      </c>
      <c r="DF48" s="248">
        <v>0</v>
      </c>
      <c r="DG48" s="248">
        <v>25.3</v>
      </c>
      <c r="DH48" s="248">
        <v>224.7</v>
      </c>
      <c r="DI48" s="248">
        <v>36.1</v>
      </c>
      <c r="DJ48" s="247">
        <v>0.1143</v>
      </c>
      <c r="DK48" s="247">
        <v>7.6499999999999999E-2</v>
      </c>
      <c r="DL48" s="246">
        <v>8.59</v>
      </c>
      <c r="DM48" s="246">
        <v>37.9</v>
      </c>
      <c r="DN48" s="246">
        <v>111.98</v>
      </c>
      <c r="DO48" s="246">
        <v>16.96</v>
      </c>
      <c r="DP48" s="247">
        <v>0.1007</v>
      </c>
      <c r="DQ48" s="246" t="s">
        <v>990</v>
      </c>
      <c r="DR48" s="246" t="s">
        <v>991</v>
      </c>
      <c r="DS48" s="246" t="s">
        <v>992</v>
      </c>
      <c r="DT48" s="246" t="e">
        <v>#REF!</v>
      </c>
      <c r="DU48" s="246" t="s">
        <v>388</v>
      </c>
      <c r="DV48" s="246" t="s">
        <v>553</v>
      </c>
      <c r="DW48" s="246" t="s">
        <v>993</v>
      </c>
      <c r="DX48" s="246" t="s">
        <v>994</v>
      </c>
      <c r="DY48" s="246" t="s">
        <v>995</v>
      </c>
      <c r="DZ48" s="246">
        <v>27</v>
      </c>
      <c r="EA48" s="247">
        <v>-0.17649999999999999</v>
      </c>
      <c r="EB48" s="247">
        <v>6.6199999999999995E-2</v>
      </c>
      <c r="EC48" s="247">
        <v>5.28E-2</v>
      </c>
      <c r="ED48" s="247">
        <v>8.7599999999999997E-2</v>
      </c>
      <c r="EE48" s="247">
        <v>5.3E-3</v>
      </c>
      <c r="EF48" s="247">
        <v>6.9800000000000001E-2</v>
      </c>
      <c r="EG48" s="247">
        <v>4.87E-2</v>
      </c>
      <c r="EH48" s="247">
        <v>4.4999999999999998E-2</v>
      </c>
      <c r="EI48" s="246" t="s">
        <v>990</v>
      </c>
      <c r="EJ48" s="234">
        <v>25.3</v>
      </c>
      <c r="EK48" s="234">
        <v>25.5</v>
      </c>
      <c r="EL48" s="234" t="s">
        <v>996</v>
      </c>
      <c r="EM48" s="234" t="s">
        <v>997</v>
      </c>
      <c r="EN48" s="234" t="s">
        <v>998</v>
      </c>
      <c r="EO48" s="234" t="s">
        <v>999</v>
      </c>
      <c r="EP48" s="234" t="s">
        <v>1000</v>
      </c>
      <c r="EQ48" s="234" t="s">
        <v>1001</v>
      </c>
      <c r="ER48" s="234">
        <v>1</v>
      </c>
      <c r="ES48" s="249">
        <v>0.11749999999999999</v>
      </c>
      <c r="ET48" s="249">
        <v>6.5000000000000002E-2</v>
      </c>
      <c r="EU48" s="250">
        <v>559.70000000000005</v>
      </c>
      <c r="EV48" s="234" t="s">
        <v>1000</v>
      </c>
      <c r="EW48" s="250">
        <v>82</v>
      </c>
      <c r="EX48" s="250">
        <v>87.3</v>
      </c>
      <c r="EY48" s="250">
        <v>157.4</v>
      </c>
      <c r="EZ48" s="250">
        <v>247.4</v>
      </c>
      <c r="FA48" s="250">
        <v>170.5</v>
      </c>
      <c r="FB48" s="250">
        <v>126.4</v>
      </c>
      <c r="FC48" s="250">
        <v>0</v>
      </c>
      <c r="FD48" s="249">
        <v>0</v>
      </c>
      <c r="FE48" s="250">
        <v>67.2</v>
      </c>
      <c r="FF48" s="250">
        <v>0</v>
      </c>
    </row>
    <row r="49" spans="1:162">
      <c r="A49" s="234" t="s">
        <v>1002</v>
      </c>
      <c r="B49" s="234" t="s">
        <v>1003</v>
      </c>
      <c r="C49" s="246" t="s">
        <v>401</v>
      </c>
      <c r="D49" s="246" t="s">
        <v>362</v>
      </c>
      <c r="E49" s="246">
        <v>4210</v>
      </c>
      <c r="F49" s="246" t="s">
        <v>494</v>
      </c>
      <c r="G49" s="246" t="s">
        <v>494</v>
      </c>
      <c r="H49" s="246" t="s">
        <v>494</v>
      </c>
      <c r="I49" s="246">
        <v>0.66930000000000001</v>
      </c>
      <c r="J49" s="246">
        <v>2.0169999999999999</v>
      </c>
      <c r="K49" s="247">
        <v>5.1400000000000001E-2</v>
      </c>
      <c r="L49" s="247">
        <v>0.14319999999999999</v>
      </c>
      <c r="M49" s="246" t="s">
        <v>384</v>
      </c>
      <c r="N49" s="247">
        <v>1.15E-2</v>
      </c>
      <c r="O49" s="247">
        <v>5.0999999999999997E-2</v>
      </c>
      <c r="P49" s="247">
        <v>3.5799999999999998E-2</v>
      </c>
      <c r="Q49" s="247">
        <v>6.3600000000000004E-2</v>
      </c>
      <c r="R49" s="247">
        <v>-4.2700000000000002E-2</v>
      </c>
      <c r="S49" s="247">
        <v>-3.2000000000000001E-2</v>
      </c>
      <c r="T49" s="248">
        <v>171.2</v>
      </c>
      <c r="U49" s="248">
        <v>20.84</v>
      </c>
      <c r="V49" s="248">
        <v>469.8</v>
      </c>
      <c r="W49" s="248">
        <v>490.64</v>
      </c>
      <c r="X49" s="248">
        <v>661.84</v>
      </c>
      <c r="Y49" s="248">
        <v>40.200000000000003</v>
      </c>
      <c r="Z49" s="248">
        <v>621.64</v>
      </c>
      <c r="AA49" s="247">
        <v>6.0699999999999997E-2</v>
      </c>
      <c r="AB49" s="246">
        <v>0.13</v>
      </c>
      <c r="AC49" s="247">
        <v>0.75290000000000001</v>
      </c>
      <c r="AD49" s="247">
        <v>0.74129999999999996</v>
      </c>
      <c r="AE49" s="247">
        <v>3.0474000000000001</v>
      </c>
      <c r="AF49" s="247">
        <v>2.8658999999999999</v>
      </c>
      <c r="AG49" s="248">
        <v>22.97</v>
      </c>
      <c r="AH49" s="246">
        <v>24.3</v>
      </c>
      <c r="AI49" s="247">
        <v>5.5999999999999999E-3</v>
      </c>
      <c r="AJ49" s="246">
        <v>0.5</v>
      </c>
      <c r="AK49" s="247">
        <v>0.1265</v>
      </c>
      <c r="AL49" s="247">
        <v>0.1366</v>
      </c>
      <c r="AM49" s="246">
        <v>0.18</v>
      </c>
      <c r="AN49" s="233">
        <v>45.45</v>
      </c>
      <c r="AO49" s="246">
        <v>10.7</v>
      </c>
      <c r="AP49" s="246">
        <v>10.97</v>
      </c>
      <c r="AQ49" s="246">
        <v>10.71</v>
      </c>
      <c r="AR49" s="246" t="s">
        <v>384</v>
      </c>
      <c r="AS49" s="246" t="s">
        <v>384</v>
      </c>
      <c r="AT49" s="246">
        <v>1.06</v>
      </c>
      <c r="AU49" s="246">
        <v>0.67</v>
      </c>
      <c r="AV49" s="246">
        <v>0.53</v>
      </c>
      <c r="AW49" s="246">
        <v>25.94</v>
      </c>
      <c r="AX49" s="246">
        <v>17.02</v>
      </c>
      <c r="AY49" s="246">
        <v>1.02</v>
      </c>
      <c r="AZ49" s="246">
        <v>1.91</v>
      </c>
      <c r="BA49" s="247">
        <v>0.31090000000000001</v>
      </c>
      <c r="BB49" s="247">
        <v>2.8299999999999999E-2</v>
      </c>
      <c r="BC49" s="247">
        <v>1.84E-2</v>
      </c>
      <c r="BD49" s="247">
        <v>3.0300000000000001E-2</v>
      </c>
      <c r="BE49" s="247">
        <v>5.16E-2</v>
      </c>
      <c r="BF49" s="247">
        <v>3.6400000000000002E-2</v>
      </c>
      <c r="BG49" s="247">
        <v>6.3600000000000004E-2</v>
      </c>
      <c r="BH49" s="246" t="s">
        <v>384</v>
      </c>
      <c r="BI49" s="246" t="s">
        <v>384</v>
      </c>
      <c r="BJ49" s="247">
        <v>0.10050000000000001</v>
      </c>
      <c r="BK49" s="247">
        <v>3.1600000000000003E-2</v>
      </c>
      <c r="BL49" s="246">
        <v>0.62</v>
      </c>
      <c r="BM49" s="247">
        <v>4.6899999999999997E-2</v>
      </c>
      <c r="BN49" s="247">
        <v>7.2099999999999997E-2</v>
      </c>
      <c r="BO49" s="247">
        <v>9.0300000000000005E-2</v>
      </c>
      <c r="BP49" s="247">
        <v>0.2974</v>
      </c>
      <c r="BQ49" s="247">
        <v>0.29099999999999998</v>
      </c>
      <c r="BR49" s="247">
        <v>7.5999999999999998E-2</v>
      </c>
      <c r="BS49" s="248">
        <v>16</v>
      </c>
      <c r="BT49" s="248">
        <v>15.6</v>
      </c>
      <c r="BU49" s="248">
        <v>21.5</v>
      </c>
      <c r="BV49" s="248">
        <v>23.96</v>
      </c>
      <c r="BW49" s="248">
        <v>30</v>
      </c>
      <c r="BX49" s="248">
        <v>324.8</v>
      </c>
      <c r="BY49" s="248">
        <v>332.4</v>
      </c>
      <c r="BZ49" s="248">
        <v>29.6</v>
      </c>
      <c r="CA49" s="248">
        <v>36.53</v>
      </c>
      <c r="CB49" s="248">
        <v>16.989999999999998</v>
      </c>
      <c r="CC49" s="248">
        <v>8.48</v>
      </c>
      <c r="CD49" s="248">
        <v>1.64</v>
      </c>
      <c r="CE49" s="248">
        <v>7.03</v>
      </c>
      <c r="CF49" s="247">
        <v>2.1100000000000001E-2</v>
      </c>
      <c r="CG49" s="248">
        <v>8.73</v>
      </c>
      <c r="CH49" s="247">
        <v>0.61060000000000003</v>
      </c>
      <c r="CI49" s="248">
        <v>6.62</v>
      </c>
      <c r="CJ49" s="248">
        <v>-3.25</v>
      </c>
      <c r="CK49" s="248">
        <v>5.23</v>
      </c>
      <c r="CL49" s="248">
        <v>155.19999999999999</v>
      </c>
      <c r="CM49" s="248">
        <v>537.34</v>
      </c>
      <c r="CN49" s="248">
        <v>161</v>
      </c>
      <c r="CO49" s="248">
        <v>611.44000000000005</v>
      </c>
      <c r="CP49" s="248">
        <v>-4.8499999999999996</v>
      </c>
      <c r="CQ49" s="246">
        <v>0.14000000000000001</v>
      </c>
      <c r="CR49" s="246">
        <v>0.35</v>
      </c>
      <c r="CS49" s="246">
        <v>0.43</v>
      </c>
      <c r="CT49" s="246">
        <v>0.4</v>
      </c>
      <c r="CU49" s="246">
        <v>0.48</v>
      </c>
      <c r="CV49" s="248">
        <v>18.309999999999999</v>
      </c>
      <c r="CW49" s="248">
        <v>12.33</v>
      </c>
      <c r="CX49" s="248">
        <v>-4.8499999999999996</v>
      </c>
      <c r="CY49" s="248">
        <v>22.1</v>
      </c>
      <c r="CZ49" s="248">
        <v>6.43</v>
      </c>
      <c r="DA49" s="248">
        <v>15.6</v>
      </c>
      <c r="DB49" s="248">
        <v>171.2</v>
      </c>
      <c r="DC49" s="248">
        <v>36.53</v>
      </c>
      <c r="DD49" s="248">
        <v>621.64</v>
      </c>
      <c r="DE49" s="248">
        <v>-3.25</v>
      </c>
      <c r="DF49" s="248">
        <v>0</v>
      </c>
      <c r="DG49" s="248">
        <v>23.96</v>
      </c>
      <c r="DH49" s="248">
        <v>611.44000000000005</v>
      </c>
      <c r="DI49" s="248">
        <v>29.6</v>
      </c>
      <c r="DJ49" s="247">
        <v>0.10050000000000001</v>
      </c>
      <c r="DK49" s="247">
        <v>3.1600000000000003E-2</v>
      </c>
      <c r="DL49" s="246">
        <v>21</v>
      </c>
      <c r="DM49" s="246">
        <v>0.43</v>
      </c>
      <c r="DN49" s="246">
        <v>153.84</v>
      </c>
      <c r="DO49" s="246">
        <v>18.309999999999999</v>
      </c>
      <c r="DP49" s="247">
        <v>4.7800000000000002E-2</v>
      </c>
      <c r="DQ49" s="248">
        <v>-10.8</v>
      </c>
      <c r="DR49" s="246" t="s">
        <v>1004</v>
      </c>
      <c r="DS49" s="246" t="s">
        <v>1005</v>
      </c>
      <c r="DT49" s="246" t="e">
        <v>#REF!</v>
      </c>
      <c r="DU49" s="246" t="s">
        <v>388</v>
      </c>
      <c r="DV49" s="246" t="s">
        <v>1006</v>
      </c>
      <c r="DW49" s="246" t="s">
        <v>1007</v>
      </c>
      <c r="DX49" s="246" t="s">
        <v>1008</v>
      </c>
      <c r="DY49" s="246" t="s">
        <v>1009</v>
      </c>
      <c r="DZ49" s="246">
        <v>55</v>
      </c>
      <c r="EA49" s="247">
        <v>-0.18779999999999999</v>
      </c>
      <c r="EB49" s="247">
        <v>7.0699999999999999E-2</v>
      </c>
      <c r="EC49" s="247">
        <v>-0.15379999999999999</v>
      </c>
      <c r="ED49" s="247">
        <v>0.1234</v>
      </c>
      <c r="EE49" s="247">
        <v>-0.17330000000000001</v>
      </c>
      <c r="EF49" s="247">
        <v>0.20830000000000001</v>
      </c>
      <c r="EG49" s="247">
        <v>0.17050000000000001</v>
      </c>
      <c r="EH49" s="247">
        <v>7.1999999999999995E-2</v>
      </c>
      <c r="EI49" s="246" t="s">
        <v>1010</v>
      </c>
      <c r="EJ49" s="234">
        <v>21.5</v>
      </c>
      <c r="EK49" s="234">
        <v>46.9</v>
      </c>
      <c r="EL49" s="234" t="s">
        <v>1011</v>
      </c>
      <c r="EM49" s="234" t="s">
        <v>1012</v>
      </c>
      <c r="EN49" s="234" t="s">
        <v>1013</v>
      </c>
      <c r="EO49" s="234" t="s">
        <v>1014</v>
      </c>
      <c r="EP49" s="234" t="s">
        <v>376</v>
      </c>
      <c r="EQ49" s="234" t="s">
        <v>377</v>
      </c>
      <c r="ER49" s="234">
        <v>1</v>
      </c>
      <c r="ES49" s="249">
        <v>0.18859999999999999</v>
      </c>
      <c r="ET49" s="234" t="s">
        <v>384</v>
      </c>
      <c r="EU49" s="250">
        <v>332.4</v>
      </c>
      <c r="EV49" s="234" t="s">
        <v>491</v>
      </c>
      <c r="EW49" s="250">
        <v>0</v>
      </c>
      <c r="EX49" s="250">
        <v>207.9</v>
      </c>
      <c r="EY49" s="250">
        <v>205.6</v>
      </c>
      <c r="EZ49" s="250">
        <v>219.7</v>
      </c>
      <c r="FA49" s="250">
        <v>207.1</v>
      </c>
      <c r="FB49" s="250">
        <v>168.1</v>
      </c>
      <c r="FC49" s="250">
        <v>13.3</v>
      </c>
      <c r="FD49" s="249">
        <v>0</v>
      </c>
      <c r="FE49" s="250">
        <v>237.2</v>
      </c>
      <c r="FF49" s="250">
        <v>191.1</v>
      </c>
    </row>
    <row r="50" spans="1:162">
      <c r="A50" s="234" t="s">
        <v>1015</v>
      </c>
      <c r="B50" s="234" t="s">
        <v>1016</v>
      </c>
      <c r="C50" s="246" t="s">
        <v>1017</v>
      </c>
      <c r="D50" s="246" t="s">
        <v>1018</v>
      </c>
      <c r="E50" s="246">
        <v>4210</v>
      </c>
      <c r="F50" s="246" t="s">
        <v>1019</v>
      </c>
      <c r="G50" s="246" t="s">
        <v>417</v>
      </c>
      <c r="H50" s="246" t="s">
        <v>418</v>
      </c>
      <c r="I50" s="246">
        <v>1.133</v>
      </c>
      <c r="J50" s="246">
        <v>1.2824</v>
      </c>
      <c r="K50" s="247">
        <v>6.6900000000000001E-2</v>
      </c>
      <c r="L50" s="247">
        <v>0.12529999999999999</v>
      </c>
      <c r="M50" s="246" t="s">
        <v>384</v>
      </c>
      <c r="N50" s="247">
        <v>2.5100000000000001E-2</v>
      </c>
      <c r="O50" s="247">
        <v>6.4600000000000005E-2</v>
      </c>
      <c r="P50" s="247">
        <v>5.04E-2</v>
      </c>
      <c r="Q50" s="247">
        <v>0.1145</v>
      </c>
      <c r="R50" s="247">
        <v>-4.6800000000000001E-2</v>
      </c>
      <c r="S50" s="247">
        <v>-5.0000000000000001E-4</v>
      </c>
      <c r="T50" s="248">
        <v>169.2</v>
      </c>
      <c r="U50" s="248">
        <v>0</v>
      </c>
      <c r="V50" s="248">
        <v>28.6</v>
      </c>
      <c r="W50" s="248">
        <v>28.6</v>
      </c>
      <c r="X50" s="248">
        <v>197.8</v>
      </c>
      <c r="Y50" s="248">
        <v>25.8</v>
      </c>
      <c r="Z50" s="248">
        <v>172</v>
      </c>
      <c r="AA50" s="247">
        <v>0.13039999999999999</v>
      </c>
      <c r="AB50" s="246">
        <v>0.28000000000000003</v>
      </c>
      <c r="AC50" s="247">
        <v>0.215</v>
      </c>
      <c r="AD50" s="247">
        <v>0.14460000000000001</v>
      </c>
      <c r="AE50" s="247">
        <v>0.27389999999999998</v>
      </c>
      <c r="AF50" s="247">
        <v>0.16900000000000001</v>
      </c>
      <c r="AG50" s="248">
        <v>0.01</v>
      </c>
      <c r="AH50" s="246">
        <v>69.06</v>
      </c>
      <c r="AI50" s="246" t="s">
        <v>384</v>
      </c>
      <c r="AJ50" s="246">
        <v>0.56000000000000005</v>
      </c>
      <c r="AK50" s="247">
        <v>5.4800000000000001E-2</v>
      </c>
      <c r="AL50" s="247">
        <v>0.27610000000000001</v>
      </c>
      <c r="AM50" s="246">
        <v>0.24</v>
      </c>
      <c r="AN50" s="233">
        <v>8.86</v>
      </c>
      <c r="AO50" s="246">
        <v>9.1999999999999993</v>
      </c>
      <c r="AP50" s="246">
        <v>18</v>
      </c>
      <c r="AQ50" s="246">
        <v>8.91</v>
      </c>
      <c r="AR50" s="246" t="s">
        <v>384</v>
      </c>
      <c r="AS50" s="246" t="s">
        <v>384</v>
      </c>
      <c r="AT50" s="246">
        <v>1.62</v>
      </c>
      <c r="AU50" s="246">
        <v>1.41</v>
      </c>
      <c r="AV50" s="246">
        <v>1.07</v>
      </c>
      <c r="AW50" s="246">
        <v>7.93</v>
      </c>
      <c r="AX50" s="246">
        <v>5.38</v>
      </c>
      <c r="AY50" s="246">
        <v>1.6</v>
      </c>
      <c r="AZ50" s="246">
        <v>1.0900000000000001</v>
      </c>
      <c r="BA50" s="247">
        <v>1.2553000000000001</v>
      </c>
      <c r="BB50" s="247">
        <v>6.9699999999999998E-2</v>
      </c>
      <c r="BC50" s="247">
        <v>3.1699999999999999E-2</v>
      </c>
      <c r="BD50" s="246" t="s">
        <v>384</v>
      </c>
      <c r="BE50" s="246" t="s">
        <v>384</v>
      </c>
      <c r="BF50" s="246" t="s">
        <v>384</v>
      </c>
      <c r="BG50" s="246" t="s">
        <v>384</v>
      </c>
      <c r="BH50" s="246" t="s">
        <v>384</v>
      </c>
      <c r="BI50" s="246" t="s">
        <v>384</v>
      </c>
      <c r="BJ50" s="247">
        <v>7.85E-2</v>
      </c>
      <c r="BK50" s="247">
        <v>0.1139</v>
      </c>
      <c r="BL50" s="246">
        <v>1.31</v>
      </c>
      <c r="BM50" s="247">
        <v>5.8200000000000002E-2</v>
      </c>
      <c r="BN50" s="247">
        <v>0.1343</v>
      </c>
      <c r="BO50" s="247">
        <v>0.185</v>
      </c>
      <c r="BP50" s="247">
        <v>0.22</v>
      </c>
      <c r="BQ50" s="247">
        <v>0.35110000000000002</v>
      </c>
      <c r="BR50" s="246" t="s">
        <v>384</v>
      </c>
      <c r="BS50" s="248">
        <v>18.399999999999999</v>
      </c>
      <c r="BT50" s="248">
        <v>9.4</v>
      </c>
      <c r="BU50" s="248">
        <v>21.7</v>
      </c>
      <c r="BV50" s="248">
        <v>21.7</v>
      </c>
      <c r="BW50" s="248">
        <v>29.9</v>
      </c>
      <c r="BX50" s="248">
        <v>158</v>
      </c>
      <c r="BY50" s="248">
        <v>161.6</v>
      </c>
      <c r="BZ50" s="248">
        <v>32.1</v>
      </c>
      <c r="CA50" s="248">
        <v>32</v>
      </c>
      <c r="CB50" s="248">
        <v>14.08</v>
      </c>
      <c r="CC50" s="248">
        <v>15.54</v>
      </c>
      <c r="CD50" s="248">
        <v>0</v>
      </c>
      <c r="CE50" s="248">
        <v>8.3800000000000008</v>
      </c>
      <c r="CF50" s="247">
        <v>5.1799999999999999E-2</v>
      </c>
      <c r="CG50" s="248">
        <v>11.76</v>
      </c>
      <c r="CH50" s="247">
        <v>0.83520000000000005</v>
      </c>
      <c r="CI50" s="248">
        <v>2.3199999999999998</v>
      </c>
      <c r="CJ50" s="248">
        <v>-17.899999999999999</v>
      </c>
      <c r="CK50" s="248">
        <v>-2.36</v>
      </c>
      <c r="CL50" s="248">
        <v>119.8</v>
      </c>
      <c r="CM50" s="248">
        <v>123.6</v>
      </c>
      <c r="CN50" s="248">
        <v>104.4</v>
      </c>
      <c r="CO50" s="248">
        <v>107.2</v>
      </c>
      <c r="CP50" s="248">
        <v>-11.8</v>
      </c>
      <c r="CQ50" s="246">
        <v>0.13</v>
      </c>
      <c r="CR50" s="246">
        <v>0.46</v>
      </c>
      <c r="CS50" s="246">
        <v>0.42</v>
      </c>
      <c r="CT50" s="246" t="s">
        <v>384</v>
      </c>
      <c r="CU50" s="246" t="s">
        <v>384</v>
      </c>
      <c r="CV50" s="246" t="s">
        <v>384</v>
      </c>
      <c r="CW50" s="246" t="s">
        <v>384</v>
      </c>
      <c r="CX50" s="248">
        <v>-14.57</v>
      </c>
      <c r="CY50" s="248">
        <v>13.9</v>
      </c>
      <c r="CZ50" s="248">
        <v>4.88</v>
      </c>
      <c r="DA50" s="248">
        <v>9.4</v>
      </c>
      <c r="DB50" s="248">
        <v>169.2</v>
      </c>
      <c r="DC50" s="248">
        <v>32</v>
      </c>
      <c r="DD50" s="248">
        <v>172</v>
      </c>
      <c r="DE50" s="248">
        <v>-17.899999999999999</v>
      </c>
      <c r="DF50" s="248">
        <v>0</v>
      </c>
      <c r="DG50" s="248">
        <v>21.7</v>
      </c>
      <c r="DH50" s="248">
        <v>107.2</v>
      </c>
      <c r="DI50" s="248">
        <v>32.1</v>
      </c>
      <c r="DJ50" s="247">
        <v>7.85E-2</v>
      </c>
      <c r="DK50" s="247">
        <v>0.1139</v>
      </c>
      <c r="DL50" s="246">
        <v>5.36</v>
      </c>
      <c r="DM50" s="246">
        <v>10.3</v>
      </c>
      <c r="DN50" s="246" t="s">
        <v>384</v>
      </c>
      <c r="DO50" s="246" t="s">
        <v>384</v>
      </c>
      <c r="DP50" s="246" t="s">
        <v>384</v>
      </c>
      <c r="DQ50" s="246" t="s">
        <v>1020</v>
      </c>
      <c r="DR50" s="246" t="s">
        <v>1021</v>
      </c>
      <c r="DS50" s="246" t="s">
        <v>1022</v>
      </c>
      <c r="DT50" s="246" t="e">
        <v>#REF!</v>
      </c>
      <c r="DU50" s="246" t="s">
        <v>388</v>
      </c>
      <c r="DV50" s="246" t="s">
        <v>1023</v>
      </c>
      <c r="DW50" s="246" t="s">
        <v>1024</v>
      </c>
      <c r="DX50" s="246" t="s">
        <v>1025</v>
      </c>
      <c r="DY50" s="246" t="s">
        <v>1026</v>
      </c>
      <c r="DZ50" s="246">
        <v>26</v>
      </c>
      <c r="EA50" s="247">
        <v>-0.15679999999999999</v>
      </c>
      <c r="EB50" s="247">
        <v>3.7600000000000001E-2</v>
      </c>
      <c r="EC50" s="247">
        <v>-3.95E-2</v>
      </c>
      <c r="ED50" s="247">
        <v>0.1394</v>
      </c>
      <c r="EE50" s="247">
        <v>-4.24E-2</v>
      </c>
      <c r="EF50" s="247">
        <v>3.32E-2</v>
      </c>
      <c r="EG50" s="247">
        <v>0.1221</v>
      </c>
      <c r="EH50" s="247">
        <v>0.13400000000000001</v>
      </c>
      <c r="EI50" s="246" t="s">
        <v>1020</v>
      </c>
      <c r="EJ50" s="234">
        <v>21.7</v>
      </c>
      <c r="EK50" s="234">
        <v>19.100000000000001</v>
      </c>
      <c r="EL50" s="234" t="s">
        <v>1027</v>
      </c>
      <c r="EM50" s="234" t="s">
        <v>1028</v>
      </c>
      <c r="EN50" s="234" t="s">
        <v>970</v>
      </c>
      <c r="EO50" s="234" t="s">
        <v>1029</v>
      </c>
      <c r="EP50" s="234" t="s">
        <v>1030</v>
      </c>
      <c r="EQ50" s="234" t="s">
        <v>1031</v>
      </c>
      <c r="ER50" s="234">
        <v>1</v>
      </c>
      <c r="ES50" s="249">
        <v>0.17680000000000001</v>
      </c>
      <c r="ET50" s="234" t="s">
        <v>384</v>
      </c>
      <c r="EU50" s="250">
        <v>161.6</v>
      </c>
      <c r="EV50" s="234" t="s">
        <v>491</v>
      </c>
      <c r="EW50" s="250">
        <v>0</v>
      </c>
      <c r="EX50" s="250">
        <v>0</v>
      </c>
      <c r="EY50" s="250">
        <v>0</v>
      </c>
      <c r="EZ50" s="250">
        <v>209.1</v>
      </c>
      <c r="FA50" s="250">
        <v>176.7</v>
      </c>
      <c r="FB50" s="250">
        <v>164</v>
      </c>
      <c r="FC50" s="250">
        <v>0</v>
      </c>
      <c r="FD50" s="249">
        <v>0</v>
      </c>
      <c r="FE50" s="250">
        <v>0</v>
      </c>
      <c r="FF50" s="250">
        <v>0</v>
      </c>
    </row>
    <row r="51" spans="1:162">
      <c r="A51" s="234" t="s">
        <v>1032</v>
      </c>
      <c r="B51" s="234" t="s">
        <v>1033</v>
      </c>
      <c r="C51" s="246" t="s">
        <v>361</v>
      </c>
      <c r="D51" s="246" t="s">
        <v>362</v>
      </c>
      <c r="E51" s="246">
        <v>4210</v>
      </c>
      <c r="F51" s="246" t="s">
        <v>1034</v>
      </c>
      <c r="G51" s="246" t="s">
        <v>417</v>
      </c>
      <c r="H51" s="246" t="s">
        <v>418</v>
      </c>
      <c r="I51" s="246">
        <v>0.74739999999999995</v>
      </c>
      <c r="J51" s="246">
        <v>0.82920000000000005</v>
      </c>
      <c r="K51" s="247">
        <v>5.7799999999999997E-2</v>
      </c>
      <c r="L51" s="247">
        <v>8.7400000000000005E-2</v>
      </c>
      <c r="M51" s="246" t="s">
        <v>384</v>
      </c>
      <c r="N51" s="247">
        <v>1.9099999999999999E-2</v>
      </c>
      <c r="O51" s="247">
        <v>5.8599999999999999E-2</v>
      </c>
      <c r="P51" s="247">
        <v>4.4499999999999998E-2</v>
      </c>
      <c r="Q51" s="247">
        <v>8.2000000000000003E-2</v>
      </c>
      <c r="R51" s="247">
        <v>-8.8200000000000001E-2</v>
      </c>
      <c r="S51" s="247">
        <v>-7.0699999999999999E-2</v>
      </c>
      <c r="T51" s="248">
        <v>156.30000000000001</v>
      </c>
      <c r="U51" s="248">
        <v>0</v>
      </c>
      <c r="V51" s="248">
        <v>22.5</v>
      </c>
      <c r="W51" s="248">
        <v>22.5</v>
      </c>
      <c r="X51" s="248">
        <v>178.8</v>
      </c>
      <c r="Y51" s="248">
        <v>33.4</v>
      </c>
      <c r="Z51" s="248">
        <v>145.4</v>
      </c>
      <c r="AA51" s="247">
        <v>0.18679999999999999</v>
      </c>
      <c r="AB51" s="246">
        <v>0.05</v>
      </c>
      <c r="AC51" s="247">
        <v>0.18729999999999999</v>
      </c>
      <c r="AD51" s="247">
        <v>0.1258</v>
      </c>
      <c r="AE51" s="247">
        <v>0.23050000000000001</v>
      </c>
      <c r="AF51" s="247">
        <v>0.14399999999999999</v>
      </c>
      <c r="AG51" s="248">
        <v>0.03</v>
      </c>
      <c r="AH51" s="246">
        <v>69.06</v>
      </c>
      <c r="AI51" s="247">
        <v>-0.37480000000000002</v>
      </c>
      <c r="AJ51" s="246">
        <v>1.39</v>
      </c>
      <c r="AK51" s="247">
        <v>0.18440000000000001</v>
      </c>
      <c r="AL51" s="247">
        <v>0.27660000000000001</v>
      </c>
      <c r="AM51" s="246">
        <v>0.4</v>
      </c>
      <c r="AN51" s="233">
        <v>1.93</v>
      </c>
      <c r="AO51" s="246" t="s">
        <v>384</v>
      </c>
      <c r="AP51" s="246" t="s">
        <v>384</v>
      </c>
      <c r="AQ51" s="246" t="s">
        <v>384</v>
      </c>
      <c r="AR51" s="246" t="s">
        <v>384</v>
      </c>
      <c r="AS51" s="246" t="s">
        <v>384</v>
      </c>
      <c r="AT51" s="246">
        <v>1.6</v>
      </c>
      <c r="AU51" s="246">
        <v>2.02</v>
      </c>
      <c r="AV51" s="246">
        <v>1.67</v>
      </c>
      <c r="AW51" s="246">
        <v>63.22</v>
      </c>
      <c r="AX51" s="246">
        <v>19.21</v>
      </c>
      <c r="AY51" s="246">
        <v>1.83</v>
      </c>
      <c r="AZ51" s="246">
        <v>1.55</v>
      </c>
      <c r="BA51" s="246" t="s">
        <v>384</v>
      </c>
      <c r="BB51" s="247">
        <v>1.6299999999999999E-2</v>
      </c>
      <c r="BC51" s="247">
        <v>-0.19470000000000001</v>
      </c>
      <c r="BD51" s="246" t="s">
        <v>384</v>
      </c>
      <c r="BE51" s="246" t="s">
        <v>384</v>
      </c>
      <c r="BF51" s="247">
        <v>2.47E-2</v>
      </c>
      <c r="BG51" s="246" t="s">
        <v>384</v>
      </c>
      <c r="BH51" s="246" t="s">
        <v>384</v>
      </c>
      <c r="BI51" s="246" t="s">
        <v>384</v>
      </c>
      <c r="BJ51" s="247">
        <v>-6.9999999999999999E-4</v>
      </c>
      <c r="BK51" s="247">
        <v>1.14E-2</v>
      </c>
      <c r="BL51" s="246">
        <v>0.98</v>
      </c>
      <c r="BM51" s="247">
        <v>-6.9999999999999999E-4</v>
      </c>
      <c r="BN51" s="247">
        <v>2.3099999999999999E-2</v>
      </c>
      <c r="BO51" s="247">
        <v>0.21260000000000001</v>
      </c>
      <c r="BP51" s="247">
        <v>0.24</v>
      </c>
      <c r="BQ51" s="247">
        <v>0.5</v>
      </c>
      <c r="BR51" s="247">
        <v>0.13139999999999999</v>
      </c>
      <c r="BS51" s="248">
        <v>-0.42</v>
      </c>
      <c r="BT51" s="248">
        <v>-7.0000000000000007E-2</v>
      </c>
      <c r="BU51" s="248">
        <v>2.2999999999999998</v>
      </c>
      <c r="BV51" s="248">
        <v>2.2999999999999998</v>
      </c>
      <c r="BW51" s="248">
        <v>21.2</v>
      </c>
      <c r="BX51" s="248">
        <v>93.7</v>
      </c>
      <c r="BY51" s="248">
        <v>99.7</v>
      </c>
      <c r="BZ51" s="248">
        <v>7.46</v>
      </c>
      <c r="CA51" s="248">
        <v>7.57</v>
      </c>
      <c r="CB51" s="248">
        <v>1.1499999999999999</v>
      </c>
      <c r="CC51" s="248">
        <v>5.27</v>
      </c>
      <c r="CD51" s="248">
        <v>5.05</v>
      </c>
      <c r="CE51" s="248">
        <v>2.42</v>
      </c>
      <c r="CF51" s="247">
        <v>2.4199999999999999E-2</v>
      </c>
      <c r="CG51" s="248">
        <v>-12.13</v>
      </c>
      <c r="CH51" s="247">
        <v>-6.1529999999999996</v>
      </c>
      <c r="CI51" s="248">
        <v>8.23</v>
      </c>
      <c r="CJ51" s="248">
        <v>1.74</v>
      </c>
      <c r="CK51" s="248">
        <v>7.01</v>
      </c>
      <c r="CL51" s="248">
        <v>96.8</v>
      </c>
      <c r="CM51" s="248">
        <v>101.23</v>
      </c>
      <c r="CN51" s="248">
        <v>97.6</v>
      </c>
      <c r="CO51" s="248">
        <v>79.34</v>
      </c>
      <c r="CP51" s="248">
        <v>-2.5499999999999998</v>
      </c>
      <c r="CQ51" s="246">
        <v>0.43</v>
      </c>
      <c r="CR51" s="246">
        <v>0.91</v>
      </c>
      <c r="CS51" s="246">
        <v>0.42</v>
      </c>
      <c r="CT51" s="246">
        <v>0.85</v>
      </c>
      <c r="CU51" s="246">
        <v>0.95</v>
      </c>
      <c r="CV51" s="248">
        <v>5.64</v>
      </c>
      <c r="CW51" s="248">
        <v>4.12</v>
      </c>
      <c r="CX51" s="248">
        <v>-2.5499999999999998</v>
      </c>
      <c r="CY51" s="248">
        <v>1.06</v>
      </c>
      <c r="CZ51" s="248">
        <v>1.4</v>
      </c>
      <c r="DA51" s="246" t="s">
        <v>384</v>
      </c>
      <c r="DB51" s="246" t="s">
        <v>384</v>
      </c>
      <c r="DC51" s="248">
        <v>7.57</v>
      </c>
      <c r="DD51" s="248">
        <v>145.4</v>
      </c>
      <c r="DE51" s="248">
        <v>1.74</v>
      </c>
      <c r="DF51" s="248">
        <v>0.16</v>
      </c>
      <c r="DG51" s="248">
        <v>2.31</v>
      </c>
      <c r="DH51" s="248">
        <v>79.5</v>
      </c>
      <c r="DI51" s="248">
        <v>7.52</v>
      </c>
      <c r="DJ51" s="247">
        <v>-5.9999999999999995E-4</v>
      </c>
      <c r="DK51" s="247">
        <v>1.14E-2</v>
      </c>
      <c r="DL51" s="246">
        <v>19.350000000000001</v>
      </c>
      <c r="DM51" s="246">
        <v>12.8</v>
      </c>
      <c r="DN51" s="246">
        <v>36.64</v>
      </c>
      <c r="DO51" s="246">
        <v>5.64</v>
      </c>
      <c r="DP51" s="247">
        <v>9.7299999999999998E-2</v>
      </c>
      <c r="DQ51" s="248">
        <v>-2.7</v>
      </c>
      <c r="DR51" s="246" t="s">
        <v>1035</v>
      </c>
      <c r="DS51" s="246" t="s">
        <v>644</v>
      </c>
      <c r="DT51" s="246" t="e">
        <v>#REF!</v>
      </c>
      <c r="DU51" s="246" t="s">
        <v>388</v>
      </c>
      <c r="DV51" s="246" t="s">
        <v>1036</v>
      </c>
      <c r="DW51" s="246" t="s">
        <v>1037</v>
      </c>
      <c r="DX51" s="246" t="s">
        <v>388</v>
      </c>
      <c r="DY51" s="246" t="s">
        <v>1038</v>
      </c>
      <c r="DZ51" s="246">
        <v>23</v>
      </c>
      <c r="EA51" s="247">
        <v>6.6000000000000003E-2</v>
      </c>
      <c r="EB51" s="247">
        <v>-8.9599999999999999E-2</v>
      </c>
      <c r="EC51" s="247">
        <v>-0.3745</v>
      </c>
      <c r="ED51" s="247">
        <v>0.18770000000000001</v>
      </c>
      <c r="EE51" s="247">
        <v>-0.27910000000000001</v>
      </c>
      <c r="EF51" s="247">
        <v>-1.5800000000000002E-2</v>
      </c>
      <c r="EG51" s="247">
        <v>3.0200000000000001E-2</v>
      </c>
      <c r="EH51" s="247">
        <v>2.3E-2</v>
      </c>
      <c r="EI51" s="248">
        <v>-2.7</v>
      </c>
      <c r="EJ51" s="234">
        <v>2.2999999999999998</v>
      </c>
      <c r="EK51" s="234">
        <v>3.06</v>
      </c>
      <c r="EL51" s="234" t="s">
        <v>1039</v>
      </c>
      <c r="EM51" s="234" t="s">
        <v>1040</v>
      </c>
      <c r="EN51" s="234" t="s">
        <v>1041</v>
      </c>
      <c r="EO51" s="234" t="s">
        <v>1042</v>
      </c>
      <c r="EP51" s="234" t="s">
        <v>376</v>
      </c>
      <c r="EQ51" s="234" t="s">
        <v>377</v>
      </c>
      <c r="ER51" s="234">
        <v>0</v>
      </c>
      <c r="ES51" s="249">
        <v>-5.3E-3</v>
      </c>
      <c r="ET51" s="234" t="s">
        <v>384</v>
      </c>
      <c r="EU51" s="250">
        <v>99.7</v>
      </c>
      <c r="EV51" s="234" t="s">
        <v>491</v>
      </c>
      <c r="EW51" s="250">
        <v>521.29999999999995</v>
      </c>
      <c r="EX51" s="250">
        <v>380.8</v>
      </c>
      <c r="EY51" s="250">
        <v>190.6</v>
      </c>
      <c r="EZ51" s="250">
        <v>235.5</v>
      </c>
      <c r="FA51" s="250">
        <v>216.8</v>
      </c>
      <c r="FB51" s="250">
        <v>194.1</v>
      </c>
      <c r="FC51" s="250">
        <v>0</v>
      </c>
      <c r="FD51" s="249">
        <v>0</v>
      </c>
      <c r="FE51" s="250">
        <v>0</v>
      </c>
      <c r="FF51" s="250">
        <v>0.18</v>
      </c>
    </row>
    <row r="52" spans="1:162">
      <c r="A52" s="234" t="s">
        <v>1043</v>
      </c>
      <c r="B52" s="234" t="s">
        <v>1044</v>
      </c>
      <c r="C52" s="246" t="s">
        <v>1045</v>
      </c>
      <c r="D52" s="246" t="s">
        <v>1046</v>
      </c>
      <c r="E52" s="246">
        <v>4210</v>
      </c>
      <c r="F52" s="246" t="s">
        <v>1019</v>
      </c>
      <c r="G52" s="246" t="s">
        <v>417</v>
      </c>
      <c r="H52" s="246" t="s">
        <v>418</v>
      </c>
      <c r="I52" s="246">
        <v>0.2949</v>
      </c>
      <c r="J52" s="246">
        <v>2.6840000000000002</v>
      </c>
      <c r="K52" s="247">
        <v>6.6900000000000001E-2</v>
      </c>
      <c r="L52" s="247">
        <v>0.21909999999999999</v>
      </c>
      <c r="M52" s="246" t="s">
        <v>384</v>
      </c>
      <c r="N52" s="247">
        <v>2.7300000000000001E-2</v>
      </c>
      <c r="O52" s="247">
        <v>6.6799999999999998E-2</v>
      </c>
      <c r="P52" s="247">
        <v>5.21E-2</v>
      </c>
      <c r="Q52" s="247">
        <v>6.6799999999999998E-2</v>
      </c>
      <c r="R52" s="247">
        <v>-0.17269999999999999</v>
      </c>
      <c r="S52" s="247">
        <v>-6.6799999999999998E-2</v>
      </c>
      <c r="T52" s="248">
        <v>146.4</v>
      </c>
      <c r="U52" s="248">
        <v>0</v>
      </c>
      <c r="V52" s="248">
        <v>1520.3</v>
      </c>
      <c r="W52" s="248">
        <v>1520.3</v>
      </c>
      <c r="X52" s="248">
        <v>1666.7</v>
      </c>
      <c r="Y52" s="248">
        <v>85.4</v>
      </c>
      <c r="Z52" s="248">
        <v>1581.3</v>
      </c>
      <c r="AA52" s="247">
        <v>5.1200000000000002E-2</v>
      </c>
      <c r="AB52" s="246">
        <v>0.75</v>
      </c>
      <c r="AC52" s="247">
        <v>0.8458</v>
      </c>
      <c r="AD52" s="247">
        <v>0.91220000000000001</v>
      </c>
      <c r="AE52" s="247">
        <v>5.4865000000000004</v>
      </c>
      <c r="AF52" s="247">
        <v>10.384600000000001</v>
      </c>
      <c r="AG52" s="248">
        <v>0.02</v>
      </c>
      <c r="AH52" s="246">
        <v>69.06</v>
      </c>
      <c r="AI52" s="247">
        <v>-0.25829999999999997</v>
      </c>
      <c r="AJ52" s="246">
        <v>1.68</v>
      </c>
      <c r="AK52" s="247">
        <v>0.16120000000000001</v>
      </c>
      <c r="AL52" s="247">
        <v>0.64300000000000002</v>
      </c>
      <c r="AM52" s="246">
        <v>0.61</v>
      </c>
      <c r="AN52" s="233" t="s">
        <v>384</v>
      </c>
      <c r="AO52" s="246">
        <v>10.31</v>
      </c>
      <c r="AP52" s="246">
        <v>10.84</v>
      </c>
      <c r="AQ52" s="246">
        <v>5.85</v>
      </c>
      <c r="AR52" s="246" t="s">
        <v>384</v>
      </c>
      <c r="AS52" s="246" t="s">
        <v>384</v>
      </c>
      <c r="AT52" s="246">
        <v>0.53</v>
      </c>
      <c r="AU52" s="246">
        <v>0.28000000000000003</v>
      </c>
      <c r="AV52" s="246">
        <v>0.51</v>
      </c>
      <c r="AW52" s="246" t="s">
        <v>384</v>
      </c>
      <c r="AX52" s="246" t="s">
        <v>384</v>
      </c>
      <c r="AY52" s="246">
        <v>0.92</v>
      </c>
      <c r="AZ52" s="246">
        <v>5.5</v>
      </c>
      <c r="BA52" s="247">
        <v>1.5800000000000002E-2</v>
      </c>
      <c r="BB52" s="247">
        <v>1.5E-3</v>
      </c>
      <c r="BC52" s="247">
        <v>0.76170000000000004</v>
      </c>
      <c r="BD52" s="247">
        <v>0.30599999999999999</v>
      </c>
      <c r="BE52" s="246" t="s">
        <v>384</v>
      </c>
      <c r="BF52" s="247">
        <v>3.6900000000000002E-2</v>
      </c>
      <c r="BG52" s="247">
        <v>4.1399999999999999E-2</v>
      </c>
      <c r="BH52" s="246" t="s">
        <v>384</v>
      </c>
      <c r="BI52" s="246" t="s">
        <v>384</v>
      </c>
      <c r="BJ52" s="247">
        <v>4.6399999999999997E-2</v>
      </c>
      <c r="BK52" s="247">
        <v>0</v>
      </c>
      <c r="BL52" s="246">
        <v>0.17</v>
      </c>
      <c r="BM52" s="247">
        <v>4.6899999999999997E-2</v>
      </c>
      <c r="BN52" s="247">
        <v>0</v>
      </c>
      <c r="BO52" s="247">
        <v>0.2873</v>
      </c>
      <c r="BP52" s="247">
        <v>0.22</v>
      </c>
      <c r="BQ52" s="247">
        <v>0.42499999999999999</v>
      </c>
      <c r="BR52" s="246" t="s">
        <v>384</v>
      </c>
      <c r="BS52" s="248">
        <v>14.2</v>
      </c>
      <c r="BT52" s="248">
        <v>13.5</v>
      </c>
      <c r="BU52" s="248">
        <v>0</v>
      </c>
      <c r="BV52" s="248">
        <v>0</v>
      </c>
      <c r="BW52" s="248">
        <v>82.7</v>
      </c>
      <c r="BX52" s="248">
        <v>287.5</v>
      </c>
      <c r="BY52" s="248">
        <v>287.89999999999998</v>
      </c>
      <c r="BZ52" s="248">
        <v>0</v>
      </c>
      <c r="CA52" s="248">
        <v>0</v>
      </c>
      <c r="CB52" s="248">
        <v>0</v>
      </c>
      <c r="CC52" s="248">
        <v>5.6</v>
      </c>
      <c r="CD52" s="248">
        <v>0</v>
      </c>
      <c r="CE52" s="248">
        <v>936.6</v>
      </c>
      <c r="CF52" s="247">
        <v>3.2532000000000001</v>
      </c>
      <c r="CG52" s="248">
        <v>113.8</v>
      </c>
      <c r="CH52" s="246" t="s">
        <v>384</v>
      </c>
      <c r="CI52" s="248">
        <v>-113.8</v>
      </c>
      <c r="CJ52" s="248">
        <v>-105.9</v>
      </c>
      <c r="CK52" s="248">
        <v>-100.3</v>
      </c>
      <c r="CL52" s="248">
        <v>291.2</v>
      </c>
      <c r="CM52" s="248">
        <v>1666</v>
      </c>
      <c r="CN52" s="248">
        <v>277.10000000000002</v>
      </c>
      <c r="CO52" s="248">
        <v>1712</v>
      </c>
      <c r="CP52" s="248">
        <v>-0.21</v>
      </c>
      <c r="CQ52" s="246">
        <v>0.86</v>
      </c>
      <c r="CR52" s="246">
        <v>0.39</v>
      </c>
      <c r="CS52" s="246">
        <v>0.42</v>
      </c>
      <c r="CT52" s="246" t="s">
        <v>384</v>
      </c>
      <c r="CU52" s="246">
        <v>0.8</v>
      </c>
      <c r="CV52" s="246" t="s">
        <v>384</v>
      </c>
      <c r="CW52" s="248">
        <v>8.11</v>
      </c>
      <c r="CX52" s="248">
        <v>-0.21</v>
      </c>
      <c r="CY52" s="248">
        <v>13.2</v>
      </c>
      <c r="CZ52" s="248">
        <v>5.61</v>
      </c>
      <c r="DA52" s="248">
        <v>13.5</v>
      </c>
      <c r="DB52" s="248">
        <v>146.4</v>
      </c>
      <c r="DC52" s="246" t="s">
        <v>384</v>
      </c>
      <c r="DD52" s="246" t="s">
        <v>384</v>
      </c>
      <c r="DE52" s="248">
        <v>-105.9</v>
      </c>
      <c r="DF52" s="248">
        <v>0</v>
      </c>
      <c r="DG52" s="248">
        <v>0</v>
      </c>
      <c r="DH52" s="248">
        <v>1712</v>
      </c>
      <c r="DI52" s="248">
        <v>0</v>
      </c>
      <c r="DJ52" s="247">
        <v>4.6399999999999997E-2</v>
      </c>
      <c r="DK52" s="247">
        <v>0</v>
      </c>
      <c r="DL52" s="246" t="s">
        <v>384</v>
      </c>
      <c r="DM52" s="246">
        <v>0</v>
      </c>
      <c r="DN52" s="246">
        <v>742.3</v>
      </c>
      <c r="DO52" s="246" t="s">
        <v>384</v>
      </c>
      <c r="DP52" s="246" t="s">
        <v>384</v>
      </c>
      <c r="DQ52" s="248">
        <v>-125.7</v>
      </c>
      <c r="DR52" s="246" t="s">
        <v>1047</v>
      </c>
      <c r="DS52" s="246" t="s">
        <v>1048</v>
      </c>
      <c r="DT52" s="246" t="e">
        <v>#REF!</v>
      </c>
      <c r="DU52" s="246" t="s">
        <v>388</v>
      </c>
      <c r="DV52" s="246" t="s">
        <v>376</v>
      </c>
      <c r="DW52" s="246" t="s">
        <v>388</v>
      </c>
      <c r="DX52" s="246" t="s">
        <v>748</v>
      </c>
      <c r="DY52" s="246" t="s">
        <v>1049</v>
      </c>
      <c r="DZ52" s="246">
        <v>16</v>
      </c>
      <c r="EA52" s="247">
        <v>0.1051</v>
      </c>
      <c r="EB52" s="247">
        <v>0.14269999999999999</v>
      </c>
      <c r="EC52" s="247">
        <v>0.25569999999999998</v>
      </c>
      <c r="ED52" s="247">
        <v>0.1555</v>
      </c>
      <c r="EE52" s="247">
        <v>0.83230000000000004</v>
      </c>
      <c r="EF52" s="247">
        <v>-3.0999999999999999E-3</v>
      </c>
      <c r="EG52" s="247">
        <v>0</v>
      </c>
      <c r="EH52" s="247">
        <v>0</v>
      </c>
      <c r="EI52" s="248">
        <v>-125.7</v>
      </c>
      <c r="EJ52" s="234">
        <v>0</v>
      </c>
      <c r="EK52" s="234">
        <v>0</v>
      </c>
      <c r="EL52" s="234" t="s">
        <v>1050</v>
      </c>
      <c r="EM52" s="234" t="s">
        <v>1051</v>
      </c>
      <c r="EN52" s="234" t="s">
        <v>1052</v>
      </c>
      <c r="EO52" s="234" t="s">
        <v>1053</v>
      </c>
      <c r="EP52" s="234" t="s">
        <v>1054</v>
      </c>
      <c r="EQ52" s="234" t="s">
        <v>982</v>
      </c>
      <c r="ER52" s="234">
        <v>1</v>
      </c>
      <c r="ES52" s="249">
        <v>8.0000000000000002E-3</v>
      </c>
      <c r="ET52" s="234" t="s">
        <v>384</v>
      </c>
      <c r="EU52" s="250">
        <v>287.89999999999998</v>
      </c>
      <c r="EV52" s="234" t="s">
        <v>491</v>
      </c>
      <c r="EW52" s="250">
        <v>101.1</v>
      </c>
      <c r="EX52" s="250">
        <v>254.4</v>
      </c>
      <c r="EY52" s="250">
        <v>175</v>
      </c>
      <c r="EZ52" s="250">
        <v>157.5</v>
      </c>
      <c r="FA52" s="250">
        <v>79.900000000000006</v>
      </c>
      <c r="FB52" s="250">
        <v>83.1</v>
      </c>
      <c r="FC52" s="250">
        <v>278.39999999999998</v>
      </c>
      <c r="FD52" s="249">
        <v>0</v>
      </c>
      <c r="FE52" s="250">
        <v>0</v>
      </c>
      <c r="FF52" s="250">
        <v>0</v>
      </c>
    </row>
    <row r="53" spans="1:162">
      <c r="A53" s="234" t="s">
        <v>1055</v>
      </c>
      <c r="B53" s="234" t="s">
        <v>1056</v>
      </c>
      <c r="C53" s="246" t="s">
        <v>361</v>
      </c>
      <c r="D53" s="246" t="s">
        <v>362</v>
      </c>
      <c r="E53" s="246">
        <v>4210</v>
      </c>
      <c r="F53" s="246" t="s">
        <v>509</v>
      </c>
      <c r="G53" s="246" t="s">
        <v>417</v>
      </c>
      <c r="H53" s="246" t="s">
        <v>509</v>
      </c>
      <c r="I53" s="246">
        <v>0.74739999999999995</v>
      </c>
      <c r="J53" s="246">
        <v>0.87649999999999995</v>
      </c>
      <c r="K53" s="247">
        <v>5.1400000000000001E-2</v>
      </c>
      <c r="L53" s="247">
        <v>8.4500000000000006E-2</v>
      </c>
      <c r="M53" s="246" t="s">
        <v>384</v>
      </c>
      <c r="N53" s="247">
        <v>1.7100000000000001E-2</v>
      </c>
      <c r="O53" s="247">
        <v>5.6599999999999998E-2</v>
      </c>
      <c r="P53" s="247">
        <v>4.2500000000000003E-2</v>
      </c>
      <c r="Q53" s="247">
        <v>7.6700000000000004E-2</v>
      </c>
      <c r="R53" s="247">
        <v>-4.0000000000000001E-3</v>
      </c>
      <c r="S53" s="247">
        <v>5.1700000000000003E-2</v>
      </c>
      <c r="T53" s="248">
        <v>132.5</v>
      </c>
      <c r="U53" s="248">
        <v>0</v>
      </c>
      <c r="V53" s="248">
        <v>30.5</v>
      </c>
      <c r="W53" s="248">
        <v>30.5</v>
      </c>
      <c r="X53" s="248">
        <v>163</v>
      </c>
      <c r="Y53" s="248">
        <v>51.6</v>
      </c>
      <c r="Z53" s="248">
        <v>111.4</v>
      </c>
      <c r="AA53" s="247">
        <v>0.31659999999999999</v>
      </c>
      <c r="AB53" s="246">
        <v>0.03</v>
      </c>
      <c r="AC53" s="247">
        <v>0.22969999999999999</v>
      </c>
      <c r="AD53" s="247">
        <v>0.18709999999999999</v>
      </c>
      <c r="AE53" s="247">
        <v>0.29809999999999998</v>
      </c>
      <c r="AF53" s="247">
        <v>0.23019999999999999</v>
      </c>
      <c r="AG53" s="248">
        <v>0.1</v>
      </c>
      <c r="AH53" s="246">
        <v>69.06</v>
      </c>
      <c r="AI53" s="246" t="s">
        <v>384</v>
      </c>
      <c r="AJ53" s="246">
        <v>-0.99</v>
      </c>
      <c r="AK53" s="247">
        <v>3.1600000000000003E-2</v>
      </c>
      <c r="AL53" s="246" t="s">
        <v>384</v>
      </c>
      <c r="AM53" s="246">
        <v>0.42</v>
      </c>
      <c r="AN53" s="233">
        <v>6.52</v>
      </c>
      <c r="AO53" s="246">
        <v>19.34</v>
      </c>
      <c r="AP53" s="246">
        <v>17.57</v>
      </c>
      <c r="AQ53" s="246">
        <v>40.39</v>
      </c>
      <c r="AR53" s="246" t="s">
        <v>384</v>
      </c>
      <c r="AS53" s="246" t="s">
        <v>384</v>
      </c>
      <c r="AT53" s="246">
        <v>1.3</v>
      </c>
      <c r="AU53" s="246">
        <v>2.86</v>
      </c>
      <c r="AV53" s="246">
        <v>0.13</v>
      </c>
      <c r="AW53" s="246">
        <v>9.1300000000000008</v>
      </c>
      <c r="AX53" s="246">
        <v>8.64</v>
      </c>
      <c r="AY53" s="246">
        <v>1.37</v>
      </c>
      <c r="AZ53" s="246">
        <v>0.11</v>
      </c>
      <c r="BA53" s="247">
        <v>0</v>
      </c>
      <c r="BB53" s="247">
        <v>0</v>
      </c>
      <c r="BC53" s="247">
        <v>-0.52110000000000001</v>
      </c>
      <c r="BD53" s="246" t="s">
        <v>384</v>
      </c>
      <c r="BE53" s="246" t="s">
        <v>384</v>
      </c>
      <c r="BF53" s="246" t="s">
        <v>384</v>
      </c>
      <c r="BG53" s="246" t="s">
        <v>384</v>
      </c>
      <c r="BH53" s="246" t="s">
        <v>384</v>
      </c>
      <c r="BI53" s="246" t="s">
        <v>384</v>
      </c>
      <c r="BJ53" s="247">
        <v>8.0600000000000005E-2</v>
      </c>
      <c r="BK53" s="247">
        <v>0.12839999999999999</v>
      </c>
      <c r="BL53" s="246">
        <v>19.940000000000001</v>
      </c>
      <c r="BM53" s="247">
        <v>7.4000000000000003E-3</v>
      </c>
      <c r="BN53" s="247">
        <v>1.1900000000000001E-2</v>
      </c>
      <c r="BO53" s="247">
        <v>5.8200000000000002E-2</v>
      </c>
      <c r="BP53" s="247">
        <v>0.25</v>
      </c>
      <c r="BQ53" s="247">
        <v>0.46110000000000001</v>
      </c>
      <c r="BR53" s="246" t="s">
        <v>384</v>
      </c>
      <c r="BS53" s="248">
        <v>6.85</v>
      </c>
      <c r="BT53" s="248">
        <v>7.54</v>
      </c>
      <c r="BU53" s="248">
        <v>12.2</v>
      </c>
      <c r="BV53" s="248">
        <v>12.2</v>
      </c>
      <c r="BW53" s="248">
        <v>59.4</v>
      </c>
      <c r="BX53" s="248">
        <v>1033.3</v>
      </c>
      <c r="BY53" s="248">
        <v>1021.1</v>
      </c>
      <c r="BZ53" s="248">
        <v>9.1</v>
      </c>
      <c r="CA53" s="248">
        <v>12.9</v>
      </c>
      <c r="CB53" s="248">
        <v>6.57</v>
      </c>
      <c r="CC53" s="248">
        <v>11.2</v>
      </c>
      <c r="CD53" s="248">
        <v>1.1200000000000001</v>
      </c>
      <c r="CE53" s="248">
        <v>-18.21</v>
      </c>
      <c r="CF53" s="247">
        <v>-1.78E-2</v>
      </c>
      <c r="CG53" s="248">
        <v>0.02</v>
      </c>
      <c r="CH53" s="247">
        <v>0.17319999999999999</v>
      </c>
      <c r="CI53" s="248">
        <v>5.44</v>
      </c>
      <c r="CJ53" s="248">
        <v>-4.8</v>
      </c>
      <c r="CK53" s="248">
        <v>6.4</v>
      </c>
      <c r="CL53" s="248">
        <v>93.6</v>
      </c>
      <c r="CM53" s="248">
        <v>51.2</v>
      </c>
      <c r="CN53" s="248">
        <v>102.3</v>
      </c>
      <c r="CO53" s="248">
        <v>81.2</v>
      </c>
      <c r="CP53" s="248">
        <v>0</v>
      </c>
      <c r="CQ53" s="246">
        <v>-0.21</v>
      </c>
      <c r="CR53" s="246">
        <v>-0.85</v>
      </c>
      <c r="CS53" s="246">
        <v>0.42</v>
      </c>
      <c r="CT53" s="246" t="s">
        <v>384</v>
      </c>
      <c r="CU53" s="246" t="s">
        <v>384</v>
      </c>
      <c r="CV53" s="246" t="s">
        <v>384</v>
      </c>
      <c r="CW53" s="246" t="s">
        <v>384</v>
      </c>
      <c r="CX53" s="248">
        <v>0</v>
      </c>
      <c r="CY53" s="248">
        <v>12.6</v>
      </c>
      <c r="CZ53" s="248">
        <v>5.81</v>
      </c>
      <c r="DA53" s="248">
        <v>7.54</v>
      </c>
      <c r="DB53" s="248">
        <v>132.5</v>
      </c>
      <c r="DC53" s="248">
        <v>12.9</v>
      </c>
      <c r="DD53" s="248">
        <v>111.4</v>
      </c>
      <c r="DE53" s="246" t="s">
        <v>384</v>
      </c>
      <c r="DF53" s="248">
        <v>36.5</v>
      </c>
      <c r="DG53" s="248">
        <v>13.44</v>
      </c>
      <c r="DH53" s="248">
        <v>117.7</v>
      </c>
      <c r="DI53" s="248">
        <v>21.9</v>
      </c>
      <c r="DJ53" s="247">
        <v>6.7500000000000004E-2</v>
      </c>
      <c r="DK53" s="247">
        <v>8.2600000000000007E-2</v>
      </c>
      <c r="DL53" s="246">
        <v>5.09</v>
      </c>
      <c r="DM53" s="246">
        <v>0.7</v>
      </c>
      <c r="DN53" s="246" t="s">
        <v>384</v>
      </c>
      <c r="DO53" s="246" t="s">
        <v>384</v>
      </c>
      <c r="DP53" s="246" t="s">
        <v>384</v>
      </c>
      <c r="DQ53" s="248">
        <v>-9.6</v>
      </c>
      <c r="DR53" s="246" t="s">
        <v>1057</v>
      </c>
      <c r="DS53" s="246" t="s">
        <v>1058</v>
      </c>
      <c r="DT53" s="246" t="e">
        <v>#REF!</v>
      </c>
      <c r="DU53" s="246" t="s">
        <v>388</v>
      </c>
      <c r="DV53" s="246" t="s">
        <v>1059</v>
      </c>
      <c r="DW53" s="246" t="s">
        <v>1060</v>
      </c>
      <c r="DX53" s="246" t="s">
        <v>1061</v>
      </c>
      <c r="DY53" s="246" t="s">
        <v>1062</v>
      </c>
      <c r="DZ53" s="246">
        <v>18</v>
      </c>
      <c r="EA53" s="247">
        <v>0.98360000000000003</v>
      </c>
      <c r="EB53" s="247">
        <v>-0.38600000000000001</v>
      </c>
      <c r="EC53" s="247">
        <v>-3.3399999999999999E-2</v>
      </c>
      <c r="ED53" s="247">
        <v>-0.19600000000000001</v>
      </c>
      <c r="EE53" s="247">
        <v>-5.3600000000000002E-2</v>
      </c>
      <c r="EF53" s="247">
        <v>-2.5000000000000001E-3</v>
      </c>
      <c r="EG53" s="247">
        <v>0.01</v>
      </c>
      <c r="EH53" s="247">
        <v>1.2E-2</v>
      </c>
      <c r="EI53" s="248">
        <v>-9.6</v>
      </c>
      <c r="EJ53" s="234">
        <v>12.2</v>
      </c>
      <c r="EK53" s="234">
        <v>10.199999999999999</v>
      </c>
      <c r="EL53" s="234" t="s">
        <v>1063</v>
      </c>
      <c r="EM53" s="234" t="s">
        <v>1064</v>
      </c>
      <c r="EN53" s="234" t="s">
        <v>996</v>
      </c>
      <c r="EO53" s="234" t="s">
        <v>1065</v>
      </c>
      <c r="EP53" s="234" t="s">
        <v>1066</v>
      </c>
      <c r="EQ53" s="234" t="s">
        <v>1067</v>
      </c>
      <c r="ER53" s="234">
        <v>1</v>
      </c>
      <c r="ES53" s="249">
        <v>7.3999999999999996E-2</v>
      </c>
      <c r="ET53" s="234" t="s">
        <v>384</v>
      </c>
      <c r="EU53" s="250">
        <v>1021.1</v>
      </c>
      <c r="EV53" s="234" t="s">
        <v>491</v>
      </c>
      <c r="EW53" s="250">
        <v>0</v>
      </c>
      <c r="EX53" s="250">
        <v>0</v>
      </c>
      <c r="EY53" s="250">
        <v>0</v>
      </c>
      <c r="EZ53" s="250">
        <v>196.3</v>
      </c>
      <c r="FA53" s="250">
        <v>140</v>
      </c>
      <c r="FB53" s="250">
        <v>276.7</v>
      </c>
      <c r="FC53" s="250">
        <v>27.5</v>
      </c>
      <c r="FD53" s="249">
        <v>0</v>
      </c>
      <c r="FE53" s="250">
        <v>0</v>
      </c>
      <c r="FF53" s="250">
        <v>0</v>
      </c>
    </row>
    <row r="54" spans="1:162">
      <c r="A54" s="234" t="s">
        <v>1068</v>
      </c>
      <c r="B54" s="234" t="s">
        <v>1069</v>
      </c>
      <c r="C54" s="246" t="s">
        <v>1070</v>
      </c>
      <c r="D54" s="246" t="s">
        <v>1071</v>
      </c>
      <c r="E54" s="246">
        <v>4210</v>
      </c>
      <c r="F54" s="246" t="s">
        <v>730</v>
      </c>
      <c r="G54" s="246" t="s">
        <v>417</v>
      </c>
      <c r="H54" s="246" t="s">
        <v>418</v>
      </c>
      <c r="I54" s="246">
        <v>0.51</v>
      </c>
      <c r="J54" s="246">
        <v>0.51139999999999997</v>
      </c>
      <c r="K54" s="247">
        <v>5.0099999999999999E-2</v>
      </c>
      <c r="L54" s="247">
        <v>6.5100000000000005E-2</v>
      </c>
      <c r="M54" s="246" t="s">
        <v>384</v>
      </c>
      <c r="N54" s="247">
        <v>1.06E-2</v>
      </c>
      <c r="O54" s="247">
        <v>5.0099999999999999E-2</v>
      </c>
      <c r="P54" s="247">
        <v>4.0099999999999997E-2</v>
      </c>
      <c r="Q54" s="247">
        <v>6.5000000000000002E-2</v>
      </c>
      <c r="R54" s="247">
        <v>-2.24E-2</v>
      </c>
      <c r="S54" s="247">
        <v>-2.5100000000000001E-2</v>
      </c>
      <c r="T54" s="248">
        <v>128.5</v>
      </c>
      <c r="U54" s="248">
        <v>0</v>
      </c>
      <c r="V54" s="248">
        <v>0.44</v>
      </c>
      <c r="W54" s="248">
        <v>0.44</v>
      </c>
      <c r="X54" s="248">
        <v>128.94</v>
      </c>
      <c r="Y54" s="248">
        <v>0.19</v>
      </c>
      <c r="Z54" s="248">
        <v>128.75</v>
      </c>
      <c r="AA54" s="247">
        <v>1.5E-3</v>
      </c>
      <c r="AB54" s="246">
        <v>0.06</v>
      </c>
      <c r="AC54" s="247">
        <v>6.4000000000000003E-3</v>
      </c>
      <c r="AD54" s="247">
        <v>3.3999999999999998E-3</v>
      </c>
      <c r="AE54" s="247">
        <v>6.4000000000000003E-3</v>
      </c>
      <c r="AF54" s="247">
        <v>3.3999999999999998E-3</v>
      </c>
      <c r="AG54" s="248">
        <v>1.18</v>
      </c>
      <c r="AH54" s="246">
        <v>69.06</v>
      </c>
      <c r="AI54" s="247">
        <v>-0.1749</v>
      </c>
      <c r="AJ54" s="246">
        <v>0.57999999999999996</v>
      </c>
      <c r="AK54" s="247">
        <v>0.17319999999999999</v>
      </c>
      <c r="AL54" s="247">
        <v>0.12889999999999999</v>
      </c>
      <c r="AM54" s="246">
        <v>0.12</v>
      </c>
      <c r="AN54" s="233">
        <v>184.21</v>
      </c>
      <c r="AO54" s="246">
        <v>15.48</v>
      </c>
      <c r="AP54" s="246">
        <v>42.69</v>
      </c>
      <c r="AQ54" s="246">
        <v>15.11</v>
      </c>
      <c r="AR54" s="246" t="s">
        <v>384</v>
      </c>
      <c r="AS54" s="246" t="s">
        <v>384</v>
      </c>
      <c r="AT54" s="246">
        <v>1.88</v>
      </c>
      <c r="AU54" s="246">
        <v>1.82</v>
      </c>
      <c r="AV54" s="246">
        <v>26.55</v>
      </c>
      <c r="AW54" s="246">
        <v>36.79</v>
      </c>
      <c r="AX54" s="246">
        <v>35.08</v>
      </c>
      <c r="AY54" s="246">
        <v>1.88</v>
      </c>
      <c r="AZ54" s="246">
        <v>26.6</v>
      </c>
      <c r="BA54" s="247">
        <v>2.7275999999999998</v>
      </c>
      <c r="BB54" s="247">
        <v>6.3899999999999998E-2</v>
      </c>
      <c r="BC54" s="247">
        <v>2.47E-2</v>
      </c>
      <c r="BD54" s="247">
        <v>-6.7000000000000004E-2</v>
      </c>
      <c r="BE54" s="247">
        <v>-0.38800000000000001</v>
      </c>
      <c r="BF54" s="247">
        <v>-3.8E-3</v>
      </c>
      <c r="BG54" s="247">
        <v>5.04E-2</v>
      </c>
      <c r="BH54" s="246" t="s">
        <v>384</v>
      </c>
      <c r="BI54" s="246" t="s">
        <v>384</v>
      </c>
      <c r="BJ54" s="247">
        <v>4.2700000000000002E-2</v>
      </c>
      <c r="BK54" s="247">
        <v>0.04</v>
      </c>
      <c r="BL54" s="246">
        <v>7.0000000000000007E-2</v>
      </c>
      <c r="BM54" s="247">
        <v>0.57769999999999999</v>
      </c>
      <c r="BN54" s="247">
        <v>0.67179999999999995</v>
      </c>
      <c r="BO54" s="247">
        <v>0.81189999999999996</v>
      </c>
      <c r="BP54" s="247">
        <v>0.2</v>
      </c>
      <c r="BQ54" s="247">
        <v>0.19059999999999999</v>
      </c>
      <c r="BR54" s="247">
        <v>2.8899999999999999E-2</v>
      </c>
      <c r="BS54" s="248">
        <v>8.3000000000000007</v>
      </c>
      <c r="BT54" s="248">
        <v>3.01</v>
      </c>
      <c r="BU54" s="248">
        <v>3.5</v>
      </c>
      <c r="BV54" s="248">
        <v>3.5</v>
      </c>
      <c r="BW54" s="248">
        <v>4.2300000000000004</v>
      </c>
      <c r="BX54" s="248">
        <v>4.84</v>
      </c>
      <c r="BY54" s="248">
        <v>5.21</v>
      </c>
      <c r="BZ54" s="248">
        <v>3.49</v>
      </c>
      <c r="CA54" s="248">
        <v>3.67</v>
      </c>
      <c r="CB54" s="248">
        <v>2.83</v>
      </c>
      <c r="CC54" s="248">
        <v>0.09</v>
      </c>
      <c r="CD54" s="248">
        <v>0</v>
      </c>
      <c r="CE54" s="248">
        <v>-0.06</v>
      </c>
      <c r="CF54" s="247">
        <v>-1.23E-2</v>
      </c>
      <c r="CG54" s="248">
        <v>0</v>
      </c>
      <c r="CH54" s="247">
        <v>0</v>
      </c>
      <c r="CI54" s="248">
        <v>2.83</v>
      </c>
      <c r="CJ54" s="248">
        <v>2.92</v>
      </c>
      <c r="CK54" s="248">
        <v>3.01</v>
      </c>
      <c r="CL54" s="248">
        <v>70.5</v>
      </c>
      <c r="CM54" s="248">
        <v>70.89</v>
      </c>
      <c r="CN54" s="248">
        <v>68.2</v>
      </c>
      <c r="CO54" s="248">
        <v>68.45</v>
      </c>
      <c r="CP54" s="248">
        <v>-8.2100000000000009</v>
      </c>
      <c r="CQ54" s="246">
        <v>0.19</v>
      </c>
      <c r="CR54" s="246">
        <v>0.36</v>
      </c>
      <c r="CS54" s="246">
        <v>0.42</v>
      </c>
      <c r="CT54" s="246">
        <v>0.52</v>
      </c>
      <c r="CU54" s="246">
        <v>0.91</v>
      </c>
      <c r="CV54" s="248">
        <v>2.66</v>
      </c>
      <c r="CW54" s="248">
        <v>13.48</v>
      </c>
      <c r="CX54" s="248">
        <v>-8.2100000000000009</v>
      </c>
      <c r="CY54" s="248">
        <v>3.72</v>
      </c>
      <c r="CZ54" s="248">
        <v>0.71</v>
      </c>
      <c r="DA54" s="248">
        <v>3.01</v>
      </c>
      <c r="DB54" s="248">
        <v>128.5</v>
      </c>
      <c r="DC54" s="248">
        <v>3.67</v>
      </c>
      <c r="DD54" s="248">
        <v>128.75</v>
      </c>
      <c r="DE54" s="248">
        <v>2.92</v>
      </c>
      <c r="DF54" s="248">
        <v>0</v>
      </c>
      <c r="DG54" s="248">
        <v>3.5</v>
      </c>
      <c r="DH54" s="248">
        <v>68.45</v>
      </c>
      <c r="DI54" s="248">
        <v>3.49</v>
      </c>
      <c r="DJ54" s="247">
        <v>4.2700000000000002E-2</v>
      </c>
      <c r="DK54" s="247">
        <v>0.04</v>
      </c>
      <c r="DL54" s="246">
        <v>36.89</v>
      </c>
      <c r="DM54" s="246">
        <v>0</v>
      </c>
      <c r="DN54" s="246">
        <v>68.17</v>
      </c>
      <c r="DO54" s="246">
        <v>2.66</v>
      </c>
      <c r="DP54" s="247">
        <v>3.8899999999999997E-2</v>
      </c>
      <c r="DQ54" s="248">
        <v>-7.0000000000000007E-2</v>
      </c>
      <c r="DR54" s="246" t="s">
        <v>628</v>
      </c>
      <c r="DS54" s="246" t="s">
        <v>644</v>
      </c>
      <c r="DT54" s="246" t="e">
        <v>#REF!</v>
      </c>
      <c r="DU54" s="246" t="s">
        <v>388</v>
      </c>
      <c r="DV54" s="246" t="s">
        <v>1072</v>
      </c>
      <c r="DW54" s="246" t="s">
        <v>1073</v>
      </c>
      <c r="DX54" s="246" t="s">
        <v>1074</v>
      </c>
      <c r="DY54" s="246" t="s">
        <v>1075</v>
      </c>
      <c r="DZ54" s="246">
        <v>66</v>
      </c>
      <c r="EA54" s="247">
        <v>-6.7699999999999996E-2</v>
      </c>
      <c r="EB54" s="247">
        <v>8.5699999999999998E-2</v>
      </c>
      <c r="EC54" s="247">
        <v>-4.9799999999999997E-2</v>
      </c>
      <c r="ED54" s="247">
        <v>-3.8199999999999998E-2</v>
      </c>
      <c r="EE54" s="247">
        <v>-7.4899999999999994E-2</v>
      </c>
      <c r="EF54" s="247">
        <v>-3.6999999999999998E-2</v>
      </c>
      <c r="EG54" s="247">
        <v>0.6784</v>
      </c>
      <c r="EH54" s="247">
        <v>0.67200000000000004</v>
      </c>
      <c r="EI54" s="248">
        <v>-7.0000000000000007E-2</v>
      </c>
      <c r="EJ54" s="234">
        <v>3.5</v>
      </c>
      <c r="EK54" s="234">
        <v>3.67</v>
      </c>
      <c r="EL54" s="234" t="s">
        <v>1076</v>
      </c>
      <c r="EM54" s="234" t="s">
        <v>1077</v>
      </c>
      <c r="EN54" s="234" t="s">
        <v>1078</v>
      </c>
      <c r="EO54" s="234" t="s">
        <v>1079</v>
      </c>
      <c r="EP54" s="234" t="s">
        <v>376</v>
      </c>
      <c r="EQ54" s="234" t="s">
        <v>377</v>
      </c>
      <c r="ER54" s="234">
        <v>1</v>
      </c>
      <c r="ES54" s="249">
        <v>3.1600000000000003E-2</v>
      </c>
      <c r="ET54" s="234" t="s">
        <v>384</v>
      </c>
      <c r="EU54" s="250">
        <v>5.21</v>
      </c>
      <c r="EV54" s="234" t="s">
        <v>491</v>
      </c>
      <c r="EW54" s="250">
        <v>102.7</v>
      </c>
      <c r="EX54" s="250">
        <v>316.89999999999998</v>
      </c>
      <c r="EY54" s="250">
        <v>184.8</v>
      </c>
      <c r="EZ54" s="250">
        <v>156.80000000000001</v>
      </c>
      <c r="FA54" s="250">
        <v>138.9</v>
      </c>
      <c r="FB54" s="250">
        <v>125.4</v>
      </c>
      <c r="FC54" s="250">
        <v>0</v>
      </c>
      <c r="FD54" s="249">
        <v>0</v>
      </c>
      <c r="FE54" s="250">
        <v>0</v>
      </c>
      <c r="FF54" s="250">
        <v>0</v>
      </c>
    </row>
    <row r="55" spans="1:162">
      <c r="A55" s="234" t="s">
        <v>1080</v>
      </c>
      <c r="B55" s="234" t="s">
        <v>1081</v>
      </c>
      <c r="C55" s="246" t="s">
        <v>1082</v>
      </c>
      <c r="D55" s="246" t="s">
        <v>1018</v>
      </c>
      <c r="E55" s="246">
        <v>4210</v>
      </c>
      <c r="F55" s="246" t="s">
        <v>494</v>
      </c>
      <c r="G55" s="246" t="s">
        <v>494</v>
      </c>
      <c r="H55" s="246" t="s">
        <v>494</v>
      </c>
      <c r="I55" s="246">
        <v>0.45400000000000001</v>
      </c>
      <c r="J55" s="246">
        <v>0.61799999999999999</v>
      </c>
      <c r="K55" s="247">
        <v>5.1400000000000001E-2</v>
      </c>
      <c r="L55" s="247">
        <v>7.1300000000000002E-2</v>
      </c>
      <c r="M55" s="246" t="s">
        <v>384</v>
      </c>
      <c r="N55" s="247">
        <v>1.15E-2</v>
      </c>
      <c r="O55" s="247">
        <v>5.0999999999999997E-2</v>
      </c>
      <c r="P55" s="247">
        <v>3.5799999999999998E-2</v>
      </c>
      <c r="Q55" s="247">
        <v>5.9200000000000003E-2</v>
      </c>
      <c r="R55" s="247">
        <v>-1.5599999999999999E-2</v>
      </c>
      <c r="S55" s="247">
        <v>-8.5000000000000006E-3</v>
      </c>
      <c r="T55" s="248">
        <v>116.4</v>
      </c>
      <c r="U55" s="248">
        <v>0.15</v>
      </c>
      <c r="V55" s="248">
        <v>59.7</v>
      </c>
      <c r="W55" s="248">
        <v>59.85</v>
      </c>
      <c r="X55" s="248">
        <v>176.25</v>
      </c>
      <c r="Y55" s="248">
        <v>36</v>
      </c>
      <c r="Z55" s="248">
        <v>140.25</v>
      </c>
      <c r="AA55" s="247">
        <v>0.20430000000000001</v>
      </c>
      <c r="AB55" s="246">
        <v>0.45</v>
      </c>
      <c r="AC55" s="247">
        <v>0.24679999999999999</v>
      </c>
      <c r="AD55" s="247">
        <v>0.33960000000000001</v>
      </c>
      <c r="AE55" s="247">
        <v>0.3276</v>
      </c>
      <c r="AF55" s="247">
        <v>0.51419999999999999</v>
      </c>
      <c r="AG55" s="248">
        <v>35.32</v>
      </c>
      <c r="AH55" s="246">
        <v>24.3</v>
      </c>
      <c r="AI55" s="247">
        <v>0.11650000000000001</v>
      </c>
      <c r="AJ55" s="246">
        <v>0.97</v>
      </c>
      <c r="AK55" s="247">
        <v>0.31940000000000002</v>
      </c>
      <c r="AL55" s="247">
        <v>0.1867</v>
      </c>
      <c r="AM55" s="246">
        <v>0.36</v>
      </c>
      <c r="AN55" s="233">
        <v>14.91</v>
      </c>
      <c r="AO55" s="246">
        <v>13.81</v>
      </c>
      <c r="AP55" s="246">
        <v>11.95</v>
      </c>
      <c r="AQ55" s="246">
        <v>7.3</v>
      </c>
      <c r="AR55" s="246" t="s">
        <v>384</v>
      </c>
      <c r="AS55" s="246" t="s">
        <v>384</v>
      </c>
      <c r="AT55" s="246">
        <v>0.64</v>
      </c>
      <c r="AU55" s="246">
        <v>0.4</v>
      </c>
      <c r="AV55" s="246">
        <v>0.47</v>
      </c>
      <c r="AW55" s="246">
        <v>10.75</v>
      </c>
      <c r="AX55" s="246">
        <v>3.59</v>
      </c>
      <c r="AY55" s="246">
        <v>0.68</v>
      </c>
      <c r="AZ55" s="246">
        <v>0.56999999999999995</v>
      </c>
      <c r="BA55" s="247">
        <v>0.22900000000000001</v>
      </c>
      <c r="BB55" s="247">
        <v>1.9199999999999998E-2</v>
      </c>
      <c r="BC55" s="247">
        <v>0.76629999999999998</v>
      </c>
      <c r="BD55" s="247">
        <v>9.4799999999999995E-2</v>
      </c>
      <c r="BE55" s="247">
        <v>7.3800000000000004E-2</v>
      </c>
      <c r="BF55" s="247">
        <v>2.41E-2</v>
      </c>
      <c r="BG55" s="247">
        <v>2.81E-2</v>
      </c>
      <c r="BH55" s="246" t="s">
        <v>384</v>
      </c>
      <c r="BI55" s="246" t="s">
        <v>384</v>
      </c>
      <c r="BJ55" s="247">
        <v>5.57E-2</v>
      </c>
      <c r="BK55" s="247">
        <v>5.0700000000000002E-2</v>
      </c>
      <c r="BL55" s="246">
        <v>1.48</v>
      </c>
      <c r="BM55" s="247">
        <v>3.7999999999999999E-2</v>
      </c>
      <c r="BN55" s="247">
        <v>5.0900000000000001E-2</v>
      </c>
      <c r="BO55" s="247">
        <v>0.12180000000000001</v>
      </c>
      <c r="BP55" s="247">
        <v>0.2974</v>
      </c>
      <c r="BQ55" s="247">
        <v>0.32479999999999998</v>
      </c>
      <c r="BR55" s="247">
        <v>4.87E-2</v>
      </c>
      <c r="BS55" s="248">
        <v>8.43</v>
      </c>
      <c r="BT55" s="248">
        <v>9.74</v>
      </c>
      <c r="BU55" s="248">
        <v>13</v>
      </c>
      <c r="BV55" s="248">
        <v>13.04</v>
      </c>
      <c r="BW55" s="248">
        <v>31.2</v>
      </c>
      <c r="BX55" s="248">
        <v>247.7</v>
      </c>
      <c r="BY55" s="248">
        <v>256.10000000000002</v>
      </c>
      <c r="BZ55" s="248">
        <v>35.6</v>
      </c>
      <c r="CA55" s="248">
        <v>39.07</v>
      </c>
      <c r="CB55" s="248">
        <v>8.81</v>
      </c>
      <c r="CC55" s="248">
        <v>-0.12</v>
      </c>
      <c r="CD55" s="248">
        <v>0.38</v>
      </c>
      <c r="CE55" s="248">
        <v>9.5399999999999991</v>
      </c>
      <c r="CF55" s="247">
        <v>3.73E-2</v>
      </c>
      <c r="CG55" s="248">
        <v>12.49</v>
      </c>
      <c r="CH55" s="247">
        <v>1.4611000000000001</v>
      </c>
      <c r="CI55" s="248">
        <v>-4.0599999999999996</v>
      </c>
      <c r="CJ55" s="248">
        <v>-3.01</v>
      </c>
      <c r="CK55" s="248">
        <v>-3.13</v>
      </c>
      <c r="CL55" s="248">
        <v>174.9</v>
      </c>
      <c r="CM55" s="248">
        <v>173.55</v>
      </c>
      <c r="CN55" s="248">
        <v>182.7</v>
      </c>
      <c r="CO55" s="248">
        <v>206.55</v>
      </c>
      <c r="CP55" s="248">
        <v>-2.23</v>
      </c>
      <c r="CQ55" s="246">
        <v>0.5</v>
      </c>
      <c r="CR55" s="246">
        <v>0.24</v>
      </c>
      <c r="CS55" s="246">
        <v>0.43</v>
      </c>
      <c r="CT55" s="246">
        <v>0.12</v>
      </c>
      <c r="CU55" s="246">
        <v>0.12</v>
      </c>
      <c r="CV55" s="248">
        <v>10.39</v>
      </c>
      <c r="CW55" s="248">
        <v>8.3699999999999992</v>
      </c>
      <c r="CX55" s="248">
        <v>-2.23</v>
      </c>
      <c r="CY55" s="248">
        <v>14.5</v>
      </c>
      <c r="CZ55" s="248">
        <v>4.71</v>
      </c>
      <c r="DA55" s="248">
        <v>9.74</v>
      </c>
      <c r="DB55" s="248">
        <v>116.4</v>
      </c>
      <c r="DC55" s="248">
        <v>39.07</v>
      </c>
      <c r="DD55" s="248">
        <v>140.25</v>
      </c>
      <c r="DE55" s="248">
        <v>-3.01</v>
      </c>
      <c r="DF55" s="248">
        <v>0</v>
      </c>
      <c r="DG55" s="248">
        <v>13.04</v>
      </c>
      <c r="DH55" s="248">
        <v>206.55</v>
      </c>
      <c r="DI55" s="248">
        <v>35.6</v>
      </c>
      <c r="DJ55" s="247">
        <v>5.57E-2</v>
      </c>
      <c r="DK55" s="247">
        <v>5.0700000000000002E-2</v>
      </c>
      <c r="DL55" s="246">
        <v>3.94</v>
      </c>
      <c r="DM55" s="246">
        <v>0.61</v>
      </c>
      <c r="DN55" s="246">
        <v>165.71</v>
      </c>
      <c r="DO55" s="246">
        <v>10.39</v>
      </c>
      <c r="DP55" s="247">
        <v>5.5800000000000002E-2</v>
      </c>
      <c r="DQ55" s="246" t="s">
        <v>1083</v>
      </c>
      <c r="DR55" s="246" t="s">
        <v>644</v>
      </c>
      <c r="DS55" s="246" t="s">
        <v>628</v>
      </c>
      <c r="DT55" s="246" t="e">
        <v>#REF!</v>
      </c>
      <c r="DU55" s="246" t="s">
        <v>388</v>
      </c>
      <c r="DV55" s="246" t="s">
        <v>1084</v>
      </c>
      <c r="DW55" s="246" t="s">
        <v>1085</v>
      </c>
      <c r="DX55" s="246" t="s">
        <v>1086</v>
      </c>
      <c r="DY55" s="246" t="s">
        <v>1087</v>
      </c>
      <c r="DZ55" s="246">
        <v>74</v>
      </c>
      <c r="EA55" s="247">
        <v>0.121</v>
      </c>
      <c r="EB55" s="247">
        <v>4.4999999999999998E-2</v>
      </c>
      <c r="EC55" s="247">
        <v>0.25540000000000002</v>
      </c>
      <c r="ED55" s="247">
        <v>0.33029999999999998</v>
      </c>
      <c r="EE55" s="247">
        <v>0.95630000000000004</v>
      </c>
      <c r="EF55" s="247">
        <v>-1.7299999999999999E-2</v>
      </c>
      <c r="EG55" s="247">
        <v>4.9099999999999998E-2</v>
      </c>
      <c r="EH55" s="247">
        <v>5.0999999999999997E-2</v>
      </c>
      <c r="EI55" s="246" t="s">
        <v>1083</v>
      </c>
      <c r="EJ55" s="234">
        <v>13</v>
      </c>
      <c r="EK55" s="234">
        <v>12.8</v>
      </c>
      <c r="EL55" s="234" t="s">
        <v>1088</v>
      </c>
      <c r="EM55" s="234" t="s">
        <v>1089</v>
      </c>
      <c r="EN55" s="234" t="s">
        <v>1090</v>
      </c>
      <c r="EO55" s="234" t="s">
        <v>1091</v>
      </c>
      <c r="EP55" s="234" t="s">
        <v>376</v>
      </c>
      <c r="EQ55" s="234" t="s">
        <v>377</v>
      </c>
      <c r="ER55" s="234">
        <v>1</v>
      </c>
      <c r="ES55" s="249">
        <v>-4.1099999999999998E-2</v>
      </c>
      <c r="ET55" s="234" t="s">
        <v>384</v>
      </c>
      <c r="EU55" s="250">
        <v>256.10000000000002</v>
      </c>
      <c r="EV55" s="234" t="s">
        <v>491</v>
      </c>
      <c r="EW55" s="250">
        <v>68.7</v>
      </c>
      <c r="EX55" s="250">
        <v>75.8</v>
      </c>
      <c r="EY55" s="250">
        <v>54.7</v>
      </c>
      <c r="EZ55" s="250">
        <v>67.2</v>
      </c>
      <c r="FA55" s="250">
        <v>59.5</v>
      </c>
      <c r="FB55" s="250">
        <v>65.900000000000006</v>
      </c>
      <c r="FC55" s="250">
        <v>2.4300000000000002</v>
      </c>
      <c r="FD55" s="249">
        <v>0</v>
      </c>
      <c r="FE55" s="250">
        <v>0</v>
      </c>
      <c r="FF55" s="250">
        <v>0</v>
      </c>
    </row>
    <row r="56" spans="1:162">
      <c r="A56" s="234" t="s">
        <v>1092</v>
      </c>
      <c r="B56" s="234" t="s">
        <v>1093</v>
      </c>
      <c r="C56" s="246" t="s">
        <v>361</v>
      </c>
      <c r="D56" s="246" t="s">
        <v>362</v>
      </c>
      <c r="E56" s="246">
        <v>4210</v>
      </c>
      <c r="F56" s="246" t="s">
        <v>494</v>
      </c>
      <c r="G56" s="246" t="s">
        <v>494</v>
      </c>
      <c r="H56" s="246" t="s">
        <v>494</v>
      </c>
      <c r="I56" s="246">
        <v>0.74739999999999995</v>
      </c>
      <c r="J56" s="246">
        <v>1.1758</v>
      </c>
      <c r="K56" s="247">
        <v>5.1400000000000001E-2</v>
      </c>
      <c r="L56" s="247">
        <v>9.9900000000000003E-2</v>
      </c>
      <c r="M56" s="246" t="s">
        <v>384</v>
      </c>
      <c r="N56" s="247">
        <v>1.15E-2</v>
      </c>
      <c r="O56" s="247">
        <v>5.0999999999999997E-2</v>
      </c>
      <c r="P56" s="247">
        <v>3.5799999999999998E-2</v>
      </c>
      <c r="Q56" s="247">
        <v>7.1099999999999997E-2</v>
      </c>
      <c r="R56" s="247">
        <v>-1.7899999999999999E-2</v>
      </c>
      <c r="S56" s="247">
        <v>1.3100000000000001E-2</v>
      </c>
      <c r="T56" s="248">
        <v>116.4</v>
      </c>
      <c r="U56" s="248">
        <v>40.86</v>
      </c>
      <c r="V56" s="248">
        <v>54.1</v>
      </c>
      <c r="W56" s="248">
        <v>94.96</v>
      </c>
      <c r="X56" s="248">
        <v>211.36</v>
      </c>
      <c r="Y56" s="248">
        <v>73.2</v>
      </c>
      <c r="Z56" s="248">
        <v>138.16</v>
      </c>
      <c r="AA56" s="247">
        <v>0.3463</v>
      </c>
      <c r="AB56" s="246">
        <v>0.31</v>
      </c>
      <c r="AC56" s="247">
        <v>0.307</v>
      </c>
      <c r="AD56" s="247">
        <v>0.44929999999999998</v>
      </c>
      <c r="AE56" s="247">
        <v>0.44290000000000002</v>
      </c>
      <c r="AF56" s="247">
        <v>0.81579999999999997</v>
      </c>
      <c r="AG56" s="248">
        <v>17.89</v>
      </c>
      <c r="AH56" s="246">
        <v>24.3</v>
      </c>
      <c r="AI56" s="247">
        <v>0.12230000000000001</v>
      </c>
      <c r="AJ56" s="246">
        <v>0.84</v>
      </c>
      <c r="AK56" s="247">
        <v>0.249</v>
      </c>
      <c r="AL56" s="247">
        <v>0.17299999999999999</v>
      </c>
      <c r="AM56" s="246">
        <v>0.2</v>
      </c>
      <c r="AN56" s="233">
        <v>42.61</v>
      </c>
      <c r="AO56" s="246">
        <v>7.97</v>
      </c>
      <c r="AP56" s="246">
        <v>7.01</v>
      </c>
      <c r="AQ56" s="246">
        <v>6.72</v>
      </c>
      <c r="AR56" s="246" t="s">
        <v>384</v>
      </c>
      <c r="AS56" s="246" t="s">
        <v>384</v>
      </c>
      <c r="AT56" s="246">
        <v>0.54</v>
      </c>
      <c r="AU56" s="246">
        <v>0.52</v>
      </c>
      <c r="AV56" s="246">
        <v>0.35</v>
      </c>
      <c r="AW56" s="246">
        <v>4.76</v>
      </c>
      <c r="AX56" s="246">
        <v>2.73</v>
      </c>
      <c r="AY56" s="246">
        <v>0.59</v>
      </c>
      <c r="AZ56" s="246">
        <v>0.41</v>
      </c>
      <c r="BA56" s="247">
        <v>0.21329999999999999</v>
      </c>
      <c r="BB56" s="247">
        <v>3.04E-2</v>
      </c>
      <c r="BC56" s="247">
        <v>0.1951</v>
      </c>
      <c r="BD56" s="247">
        <v>-2.4400000000000002E-2</v>
      </c>
      <c r="BE56" s="247">
        <v>8.6999999999999994E-2</v>
      </c>
      <c r="BF56" s="247">
        <v>-4.7199999999999999E-2</v>
      </c>
      <c r="BG56" s="247">
        <v>1.34E-2</v>
      </c>
      <c r="BH56" s="246" t="s">
        <v>384</v>
      </c>
      <c r="BI56" s="246" t="s">
        <v>384</v>
      </c>
      <c r="BJ56" s="247">
        <v>8.2100000000000006E-2</v>
      </c>
      <c r="BK56" s="247">
        <v>8.43E-2</v>
      </c>
      <c r="BL56" s="246">
        <v>1.43</v>
      </c>
      <c r="BM56" s="247">
        <v>4.82E-2</v>
      </c>
      <c r="BN56" s="247">
        <v>8.43E-2</v>
      </c>
      <c r="BO56" s="247">
        <v>0.1066</v>
      </c>
      <c r="BP56" s="247">
        <v>0.2974</v>
      </c>
      <c r="BQ56" s="247">
        <v>0.30249999999999999</v>
      </c>
      <c r="BR56" s="247">
        <v>0.31569999999999998</v>
      </c>
      <c r="BS56" s="248">
        <v>14.6</v>
      </c>
      <c r="BT56" s="248">
        <v>16.600000000000001</v>
      </c>
      <c r="BU56" s="248">
        <v>21.9</v>
      </c>
      <c r="BV56" s="248">
        <v>29.03</v>
      </c>
      <c r="BW56" s="248">
        <v>36.700000000000003</v>
      </c>
      <c r="BX56" s="248">
        <v>336.9</v>
      </c>
      <c r="BY56" s="248">
        <v>344.2</v>
      </c>
      <c r="BZ56" s="248">
        <v>32.9</v>
      </c>
      <c r="CA56" s="248">
        <v>50.6</v>
      </c>
      <c r="CB56" s="248">
        <v>20.25</v>
      </c>
      <c r="CC56" s="248">
        <v>7.47</v>
      </c>
      <c r="CD56" s="248">
        <v>0.85</v>
      </c>
      <c r="CE56" s="248">
        <v>-3.43</v>
      </c>
      <c r="CF56" s="247">
        <v>-0.01</v>
      </c>
      <c r="CG56" s="248">
        <v>8.01</v>
      </c>
      <c r="CH56" s="247">
        <v>0.4375</v>
      </c>
      <c r="CI56" s="248">
        <v>11.39</v>
      </c>
      <c r="CJ56" s="248">
        <v>0.27</v>
      </c>
      <c r="CK56" s="248">
        <v>7.74</v>
      </c>
      <c r="CL56" s="248">
        <v>202.3</v>
      </c>
      <c r="CM56" s="248">
        <v>240.26</v>
      </c>
      <c r="CN56" s="248">
        <v>214.4</v>
      </c>
      <c r="CO56" s="248">
        <v>236.16</v>
      </c>
      <c r="CP56" s="248">
        <v>-3.54</v>
      </c>
      <c r="CQ56" s="246">
        <v>0.36</v>
      </c>
      <c r="CR56" s="246">
        <v>0.36</v>
      </c>
      <c r="CS56" s="246">
        <v>0.43</v>
      </c>
      <c r="CT56" s="246">
        <v>0.35</v>
      </c>
      <c r="CU56" s="246">
        <v>0.52</v>
      </c>
      <c r="CV56" s="248">
        <v>18.190000000000001</v>
      </c>
      <c r="CW56" s="248">
        <v>12.04</v>
      </c>
      <c r="CX56" s="248">
        <v>-3.54</v>
      </c>
      <c r="CY56" s="248">
        <v>23.8</v>
      </c>
      <c r="CZ56" s="248">
        <v>7.2</v>
      </c>
      <c r="DA56" s="248">
        <v>16.600000000000001</v>
      </c>
      <c r="DB56" s="248">
        <v>116.4</v>
      </c>
      <c r="DC56" s="248">
        <v>50.6</v>
      </c>
      <c r="DD56" s="248">
        <v>138.16</v>
      </c>
      <c r="DE56" s="248">
        <v>0.27</v>
      </c>
      <c r="DF56" s="248">
        <v>0</v>
      </c>
      <c r="DG56" s="248">
        <v>29.03</v>
      </c>
      <c r="DH56" s="248">
        <v>236.16</v>
      </c>
      <c r="DI56" s="248">
        <v>32.9</v>
      </c>
      <c r="DJ56" s="247">
        <v>8.2100000000000006E-2</v>
      </c>
      <c r="DK56" s="247">
        <v>8.43E-2</v>
      </c>
      <c r="DL56" s="246">
        <v>4.2</v>
      </c>
      <c r="DM56" s="246">
        <v>0.27</v>
      </c>
      <c r="DN56" s="246">
        <v>266.10000000000002</v>
      </c>
      <c r="DO56" s="246">
        <v>18.190000000000001</v>
      </c>
      <c r="DP56" s="247">
        <v>7.2400000000000006E-2</v>
      </c>
      <c r="DQ56" s="248">
        <v>-8.8000000000000007</v>
      </c>
      <c r="DR56" s="246" t="s">
        <v>1094</v>
      </c>
      <c r="DS56" s="246" t="s">
        <v>1095</v>
      </c>
      <c r="DT56" s="246" t="e">
        <v>#REF!</v>
      </c>
      <c r="DU56" s="246" t="s">
        <v>388</v>
      </c>
      <c r="DV56" s="246" t="s">
        <v>1096</v>
      </c>
      <c r="DW56" s="246" t="s">
        <v>1097</v>
      </c>
      <c r="DX56" s="246" t="s">
        <v>1098</v>
      </c>
      <c r="DY56" s="246" t="s">
        <v>1099</v>
      </c>
      <c r="DZ56" s="246">
        <v>73</v>
      </c>
      <c r="EA56" s="247">
        <v>0.24060000000000001</v>
      </c>
      <c r="EB56" s="247">
        <v>0.12479999999999999</v>
      </c>
      <c r="EC56" s="247">
        <v>-3.5000000000000001E-3</v>
      </c>
      <c r="ED56" s="247">
        <v>1.2200000000000001E-2</v>
      </c>
      <c r="EE56" s="247">
        <v>0.40749999999999997</v>
      </c>
      <c r="EF56" s="247">
        <v>-2.1299999999999999E-2</v>
      </c>
      <c r="EG56" s="247">
        <v>5.8900000000000001E-2</v>
      </c>
      <c r="EH56" s="247">
        <v>8.4000000000000005E-2</v>
      </c>
      <c r="EI56" s="248">
        <v>-8.8000000000000007</v>
      </c>
      <c r="EJ56" s="234">
        <v>21.9</v>
      </c>
      <c r="EK56" s="234">
        <v>20.7</v>
      </c>
      <c r="EL56" s="234" t="s">
        <v>1100</v>
      </c>
      <c r="EM56" s="234" t="s">
        <v>1101</v>
      </c>
      <c r="EN56" s="234" t="s">
        <v>1102</v>
      </c>
      <c r="EO56" s="234" t="s">
        <v>1103</v>
      </c>
      <c r="EP56" s="234" t="s">
        <v>376</v>
      </c>
      <c r="EQ56" s="234" t="s">
        <v>377</v>
      </c>
      <c r="ER56" s="234">
        <v>1</v>
      </c>
      <c r="ES56" s="249">
        <v>-5.7299999999999997E-2</v>
      </c>
      <c r="ET56" s="234" t="s">
        <v>384</v>
      </c>
      <c r="EU56" s="250">
        <v>344.2</v>
      </c>
      <c r="EV56" s="234" t="s">
        <v>491</v>
      </c>
      <c r="EW56" s="250">
        <v>85.6</v>
      </c>
      <c r="EX56" s="250">
        <v>79.900000000000006</v>
      </c>
      <c r="EY56" s="250">
        <v>71.400000000000006</v>
      </c>
      <c r="EZ56" s="250">
        <v>81.2</v>
      </c>
      <c r="FA56" s="250">
        <v>82.7</v>
      </c>
      <c r="FB56" s="250">
        <v>97.4</v>
      </c>
      <c r="FC56" s="250">
        <v>18.3</v>
      </c>
      <c r="FD56" s="249">
        <v>6.0600000000000001E-2</v>
      </c>
      <c r="FE56" s="250">
        <v>0</v>
      </c>
      <c r="FF56" s="250">
        <v>0</v>
      </c>
    </row>
    <row r="57" spans="1:162">
      <c r="A57" s="234" t="s">
        <v>1104</v>
      </c>
      <c r="B57" s="234" t="s">
        <v>1105</v>
      </c>
      <c r="C57" s="246" t="s">
        <v>361</v>
      </c>
      <c r="D57" s="246" t="s">
        <v>362</v>
      </c>
      <c r="E57" s="246">
        <v>4210</v>
      </c>
      <c r="F57" s="246" t="s">
        <v>626</v>
      </c>
      <c r="G57" s="246" t="s">
        <v>417</v>
      </c>
      <c r="H57" s="246" t="s">
        <v>509</v>
      </c>
      <c r="I57" s="246">
        <v>0.74739999999999995</v>
      </c>
      <c r="J57" s="246">
        <v>0.93610000000000004</v>
      </c>
      <c r="K57" s="247">
        <v>5.0099999999999999E-2</v>
      </c>
      <c r="L57" s="247">
        <v>8.6400000000000005E-2</v>
      </c>
      <c r="M57" s="246" t="s">
        <v>384</v>
      </c>
      <c r="N57" s="247">
        <v>1.4E-2</v>
      </c>
      <c r="O57" s="247">
        <v>5.3499999999999999E-2</v>
      </c>
      <c r="P57" s="247">
        <v>4.4600000000000001E-2</v>
      </c>
      <c r="Q57" s="247">
        <v>7.6700000000000004E-2</v>
      </c>
      <c r="R57" s="247">
        <v>-4.99E-2</v>
      </c>
      <c r="S57" s="247">
        <v>-1.54E-2</v>
      </c>
      <c r="T57" s="248">
        <v>99.9</v>
      </c>
      <c r="U57" s="248">
        <v>0</v>
      </c>
      <c r="V57" s="248">
        <v>30.2</v>
      </c>
      <c r="W57" s="248">
        <v>30.2</v>
      </c>
      <c r="X57" s="248">
        <v>130.1</v>
      </c>
      <c r="Y57" s="248">
        <v>151.80000000000001</v>
      </c>
      <c r="Z57" s="248">
        <v>-21.7</v>
      </c>
      <c r="AA57" s="247">
        <v>1.1668000000000001</v>
      </c>
      <c r="AB57" s="246">
        <v>0.11</v>
      </c>
      <c r="AC57" s="247">
        <v>8.4500000000000006E-2</v>
      </c>
      <c r="AD57" s="247">
        <v>0.2321</v>
      </c>
      <c r="AE57" s="247">
        <v>9.2299999999999993E-2</v>
      </c>
      <c r="AF57" s="247">
        <v>0.30230000000000001</v>
      </c>
      <c r="AG57" s="248">
        <v>0.5</v>
      </c>
      <c r="AH57" s="246">
        <v>69.06</v>
      </c>
      <c r="AI57" s="247">
        <v>2.8299999999999999E-2</v>
      </c>
      <c r="AJ57" s="246">
        <v>0.72</v>
      </c>
      <c r="AK57" s="247">
        <v>8.9399999999999993E-2</v>
      </c>
      <c r="AL57" s="247">
        <v>0.32329999999999998</v>
      </c>
      <c r="AM57" s="246">
        <v>0.36</v>
      </c>
      <c r="AN57" s="233">
        <v>12.78</v>
      </c>
      <c r="AO57" s="246">
        <v>12.17</v>
      </c>
      <c r="AP57" s="246">
        <v>9.89</v>
      </c>
      <c r="AQ57" s="246">
        <v>6.66</v>
      </c>
      <c r="AR57" s="246" t="s">
        <v>384</v>
      </c>
      <c r="AS57" s="246" t="s">
        <v>384</v>
      </c>
      <c r="AT57" s="246">
        <v>0.31</v>
      </c>
      <c r="AU57" s="246">
        <v>0.18</v>
      </c>
      <c r="AV57" s="246">
        <v>0.08</v>
      </c>
      <c r="AW57" s="246" t="s">
        <v>384</v>
      </c>
      <c r="AX57" s="246" t="s">
        <v>384</v>
      </c>
      <c r="AY57" s="246" t="s">
        <v>384</v>
      </c>
      <c r="AZ57" s="246" t="s">
        <v>384</v>
      </c>
      <c r="BA57" s="247">
        <v>0.48809999999999998</v>
      </c>
      <c r="BB57" s="247">
        <v>4.9299999999999997E-2</v>
      </c>
      <c r="BC57" s="247">
        <v>0.82630000000000003</v>
      </c>
      <c r="BD57" s="247">
        <v>0.17899999999999999</v>
      </c>
      <c r="BE57" s="246" t="s">
        <v>384</v>
      </c>
      <c r="BF57" s="247">
        <v>0.125</v>
      </c>
      <c r="BG57" s="247">
        <v>0.161</v>
      </c>
      <c r="BH57" s="246" t="s">
        <v>384</v>
      </c>
      <c r="BI57" s="246" t="s">
        <v>384</v>
      </c>
      <c r="BJ57" s="247">
        <v>3.6499999999999998E-2</v>
      </c>
      <c r="BK57" s="247">
        <v>6.13E-2</v>
      </c>
      <c r="BL57" s="246">
        <v>7.99</v>
      </c>
      <c r="BM57" s="247">
        <v>8.0999999999999996E-3</v>
      </c>
      <c r="BN57" s="247">
        <v>1.0999999999999999E-2</v>
      </c>
      <c r="BO57" s="247">
        <v>4.9200000000000001E-2</v>
      </c>
      <c r="BP57" s="247">
        <v>0.16500000000000001</v>
      </c>
      <c r="BQ57" s="247">
        <v>0.3049</v>
      </c>
      <c r="BR57" s="247">
        <v>0.19800000000000001</v>
      </c>
      <c r="BS57" s="248">
        <v>8.2100000000000009</v>
      </c>
      <c r="BT57" s="248">
        <v>10.1</v>
      </c>
      <c r="BU57" s="248">
        <v>13.8</v>
      </c>
      <c r="BV57" s="248">
        <v>13.8</v>
      </c>
      <c r="BW57" s="248">
        <v>61.5</v>
      </c>
      <c r="BX57" s="248">
        <v>1228</v>
      </c>
      <c r="BY57" s="248">
        <v>1251</v>
      </c>
      <c r="BZ57" s="248">
        <v>23.7</v>
      </c>
      <c r="CA57" s="248">
        <v>29.5</v>
      </c>
      <c r="CB57" s="248">
        <v>9.59</v>
      </c>
      <c r="CC57" s="248">
        <v>12</v>
      </c>
      <c r="CD57" s="248">
        <v>-9.36</v>
      </c>
      <c r="CE57" s="248">
        <v>40.46</v>
      </c>
      <c r="CF57" s="247">
        <v>3.2300000000000002E-2</v>
      </c>
      <c r="CG57" s="248">
        <v>9.85</v>
      </c>
      <c r="CH57" s="247">
        <v>5.11E-2</v>
      </c>
      <c r="CI57" s="248">
        <v>9.1</v>
      </c>
      <c r="CJ57" s="248">
        <v>-2.39</v>
      </c>
      <c r="CK57" s="248">
        <v>9.61</v>
      </c>
      <c r="CL57" s="248">
        <v>276.89999999999998</v>
      </c>
      <c r="CM57" s="248">
        <v>156.51</v>
      </c>
      <c r="CN57" s="248">
        <v>327.10000000000002</v>
      </c>
      <c r="CO57" s="248">
        <v>204.8</v>
      </c>
      <c r="CP57" s="248">
        <v>-4.93</v>
      </c>
      <c r="CQ57" s="246">
        <v>0.24</v>
      </c>
      <c r="CR57" s="246">
        <v>0.43</v>
      </c>
      <c r="CS57" s="246">
        <v>0.42</v>
      </c>
      <c r="CT57" s="246">
        <v>1.19</v>
      </c>
      <c r="CU57" s="246">
        <v>1.1299999999999999</v>
      </c>
      <c r="CV57" s="248">
        <v>12.84</v>
      </c>
      <c r="CW57" s="248">
        <v>9.94</v>
      </c>
      <c r="CX57" s="248">
        <v>-4.93</v>
      </c>
      <c r="CY57" s="248">
        <v>16.2</v>
      </c>
      <c r="CZ57" s="248">
        <v>4.9400000000000004</v>
      </c>
      <c r="DA57" s="248">
        <v>10.1</v>
      </c>
      <c r="DB57" s="248">
        <v>99.9</v>
      </c>
      <c r="DC57" s="248">
        <v>29.5</v>
      </c>
      <c r="DD57" s="248">
        <v>-21.7</v>
      </c>
      <c r="DE57" s="248">
        <v>-2.39</v>
      </c>
      <c r="DF57" s="248">
        <v>8.99</v>
      </c>
      <c r="DG57" s="248">
        <v>13.19</v>
      </c>
      <c r="DH57" s="248">
        <v>213.79</v>
      </c>
      <c r="DI57" s="248">
        <v>26.4</v>
      </c>
      <c r="DJ57" s="247">
        <v>3.32E-2</v>
      </c>
      <c r="DK57" s="247">
        <v>5.5399999999999998E-2</v>
      </c>
      <c r="DL57" s="246">
        <v>-0.82</v>
      </c>
      <c r="DM57" s="246">
        <v>15.7</v>
      </c>
      <c r="DN57" s="246">
        <v>113.95</v>
      </c>
      <c r="DO57" s="246">
        <v>12.84</v>
      </c>
      <c r="DP57" s="247">
        <v>8.0600000000000005E-2</v>
      </c>
      <c r="DQ57" s="248">
        <v>-18.3</v>
      </c>
      <c r="DR57" s="246" t="s">
        <v>1106</v>
      </c>
      <c r="DS57" s="246" t="s">
        <v>1107</v>
      </c>
      <c r="DT57" s="246" t="e">
        <v>#REF!</v>
      </c>
      <c r="DU57" s="246" t="s">
        <v>1108</v>
      </c>
      <c r="DV57" s="246" t="s">
        <v>1109</v>
      </c>
      <c r="DW57" s="246" t="s">
        <v>1110</v>
      </c>
      <c r="DX57" s="246" t="s">
        <v>1111</v>
      </c>
      <c r="DY57" s="246" t="s">
        <v>1112</v>
      </c>
      <c r="DZ57" s="246">
        <v>19</v>
      </c>
      <c r="EA57" s="247">
        <v>0.21809999999999999</v>
      </c>
      <c r="EB57" s="247">
        <v>0.30070000000000002</v>
      </c>
      <c r="EC57" s="247">
        <v>0.53510000000000002</v>
      </c>
      <c r="ED57" s="247">
        <v>-0.15479999999999999</v>
      </c>
      <c r="EE57" s="247">
        <v>1.0556000000000001</v>
      </c>
      <c r="EF57" s="247">
        <v>1.29E-2</v>
      </c>
      <c r="EG57" s="247">
        <v>8.8000000000000005E-3</v>
      </c>
      <c r="EH57" s="247">
        <v>1.0999999999999999E-2</v>
      </c>
      <c r="EI57" s="248">
        <v>-18.3</v>
      </c>
      <c r="EJ57" s="234">
        <v>13.8</v>
      </c>
      <c r="EK57" s="234">
        <v>10.9</v>
      </c>
      <c r="EL57" s="234" t="s">
        <v>1113</v>
      </c>
      <c r="EM57" s="234" t="s">
        <v>1114</v>
      </c>
      <c r="EN57" s="234" t="s">
        <v>1115</v>
      </c>
      <c r="EO57" s="234" t="s">
        <v>1116</v>
      </c>
      <c r="EP57" s="234" t="s">
        <v>1117</v>
      </c>
      <c r="EQ57" s="234" t="s">
        <v>1118</v>
      </c>
      <c r="ER57" s="234">
        <v>1</v>
      </c>
      <c r="ES57" s="249">
        <v>0.11749999999999999</v>
      </c>
      <c r="ET57" s="234" t="s">
        <v>384</v>
      </c>
      <c r="EU57" s="250">
        <v>1251</v>
      </c>
      <c r="EV57" s="234" t="s">
        <v>491</v>
      </c>
      <c r="EW57" s="250">
        <v>129.19999999999999</v>
      </c>
      <c r="EX57" s="250">
        <v>39.299999999999997</v>
      </c>
      <c r="EY57" s="250">
        <v>38.5</v>
      </c>
      <c r="EZ57" s="250">
        <v>41.7</v>
      </c>
      <c r="FA57" s="250">
        <v>48.6</v>
      </c>
      <c r="FB57" s="250">
        <v>54.7</v>
      </c>
      <c r="FC57" s="250">
        <v>5.73</v>
      </c>
      <c r="FD57" s="249">
        <v>0</v>
      </c>
      <c r="FE57" s="250">
        <v>2.3199999999999998</v>
      </c>
      <c r="FF57" s="250">
        <v>4.13</v>
      </c>
    </row>
    <row r="58" spans="1:162">
      <c r="A58" s="234" t="s">
        <v>1119</v>
      </c>
      <c r="B58" s="234" t="s">
        <v>1120</v>
      </c>
      <c r="C58" s="246" t="s">
        <v>401</v>
      </c>
      <c r="D58" s="246" t="s">
        <v>362</v>
      </c>
      <c r="E58" s="246">
        <v>4210</v>
      </c>
      <c r="F58" s="246" t="s">
        <v>494</v>
      </c>
      <c r="G58" s="246" t="s">
        <v>494</v>
      </c>
      <c r="H58" s="246" t="s">
        <v>494</v>
      </c>
      <c r="I58" s="246">
        <v>0.66930000000000001</v>
      </c>
      <c r="J58" s="246">
        <v>0.90980000000000005</v>
      </c>
      <c r="K58" s="247">
        <v>5.1400000000000001E-2</v>
      </c>
      <c r="L58" s="247">
        <v>8.6300000000000002E-2</v>
      </c>
      <c r="M58" s="246" t="s">
        <v>384</v>
      </c>
      <c r="N58" s="247">
        <v>1.15E-2</v>
      </c>
      <c r="O58" s="247">
        <v>5.0999999999999997E-2</v>
      </c>
      <c r="P58" s="247">
        <v>3.5799999999999998E-2</v>
      </c>
      <c r="Q58" s="247">
        <v>6.9199999999999998E-2</v>
      </c>
      <c r="R58" s="247">
        <v>-3.1199999999999999E-2</v>
      </c>
      <c r="S58" s="247">
        <v>-2.0299999999999999E-2</v>
      </c>
      <c r="T58" s="248">
        <v>98.8</v>
      </c>
      <c r="U58" s="248">
        <v>1.1399999999999999</v>
      </c>
      <c r="V58" s="248">
        <v>49.4</v>
      </c>
      <c r="W58" s="248">
        <v>50.54</v>
      </c>
      <c r="X58" s="248">
        <v>149.34</v>
      </c>
      <c r="Y58" s="248">
        <v>24.8</v>
      </c>
      <c r="Z58" s="248">
        <v>124.54</v>
      </c>
      <c r="AA58" s="247">
        <v>0.1661</v>
      </c>
      <c r="AB58" s="246">
        <v>0.19</v>
      </c>
      <c r="AC58" s="247">
        <v>0.24879999999999999</v>
      </c>
      <c r="AD58" s="247">
        <v>0.33839999999999998</v>
      </c>
      <c r="AE58" s="247">
        <v>0.33119999999999999</v>
      </c>
      <c r="AF58" s="247">
        <v>0.51149999999999995</v>
      </c>
      <c r="AG58" s="248">
        <v>10.49</v>
      </c>
      <c r="AH58" s="246">
        <v>24.3</v>
      </c>
      <c r="AI58" s="247">
        <v>0.18379999999999999</v>
      </c>
      <c r="AJ58" s="246">
        <v>0.75</v>
      </c>
      <c r="AK58" s="247">
        <v>0.25879999999999997</v>
      </c>
      <c r="AL58" s="247">
        <v>0.1739</v>
      </c>
      <c r="AM58" s="246">
        <v>0.26</v>
      </c>
      <c r="AN58" s="233">
        <v>32.770000000000003</v>
      </c>
      <c r="AO58" s="246">
        <v>10.8</v>
      </c>
      <c r="AP58" s="246">
        <v>11.53</v>
      </c>
      <c r="AQ58" s="246">
        <v>7.63</v>
      </c>
      <c r="AR58" s="246" t="s">
        <v>384</v>
      </c>
      <c r="AS58" s="246" t="s">
        <v>384</v>
      </c>
      <c r="AT58" s="246">
        <v>0.65</v>
      </c>
      <c r="AU58" s="246">
        <v>0.49</v>
      </c>
      <c r="AV58" s="246">
        <v>0.92</v>
      </c>
      <c r="AW58" s="246">
        <v>9.1300000000000008</v>
      </c>
      <c r="AX58" s="246">
        <v>5.72</v>
      </c>
      <c r="AY58" s="246">
        <v>0.7</v>
      </c>
      <c r="AZ58" s="246">
        <v>1.1599999999999999</v>
      </c>
      <c r="BA58" s="247">
        <v>0.38159999999999999</v>
      </c>
      <c r="BB58" s="247">
        <v>3.3099999999999997E-2</v>
      </c>
      <c r="BC58" s="247">
        <v>0.42570000000000002</v>
      </c>
      <c r="BD58" s="247">
        <v>5.7200000000000001E-2</v>
      </c>
      <c r="BE58" s="247">
        <v>0.13300000000000001</v>
      </c>
      <c r="BF58" s="247">
        <v>4.58E-2</v>
      </c>
      <c r="BG58" s="247">
        <v>3.32E-2</v>
      </c>
      <c r="BH58" s="246" t="s">
        <v>384</v>
      </c>
      <c r="BI58" s="246" t="s">
        <v>384</v>
      </c>
      <c r="BJ58" s="247">
        <v>5.5100000000000003E-2</v>
      </c>
      <c r="BK58" s="247">
        <v>4.8899999999999999E-2</v>
      </c>
      <c r="BL58" s="246">
        <v>0.6</v>
      </c>
      <c r="BM58" s="247">
        <v>7.7700000000000005E-2</v>
      </c>
      <c r="BN58" s="247">
        <v>0.1236</v>
      </c>
      <c r="BO58" s="247">
        <v>0.17860000000000001</v>
      </c>
      <c r="BP58" s="247">
        <v>0.2974</v>
      </c>
      <c r="BQ58" s="247">
        <v>0.34229999999999999</v>
      </c>
      <c r="BR58" s="247">
        <v>3.39E-2</v>
      </c>
      <c r="BS58" s="248">
        <v>9.15</v>
      </c>
      <c r="BT58" s="248">
        <v>8.57</v>
      </c>
      <c r="BU58" s="248">
        <v>13.5</v>
      </c>
      <c r="BV58" s="248">
        <v>13.64</v>
      </c>
      <c r="BW58" s="248">
        <v>19.7</v>
      </c>
      <c r="BX58" s="248">
        <v>107.6</v>
      </c>
      <c r="BY58" s="248">
        <v>110.3</v>
      </c>
      <c r="BZ58" s="248">
        <v>20.8</v>
      </c>
      <c r="CA58" s="248">
        <v>21.76</v>
      </c>
      <c r="CB58" s="248">
        <v>8.9700000000000006</v>
      </c>
      <c r="CC58" s="248">
        <v>10.199999999999999</v>
      </c>
      <c r="CD58" s="248">
        <v>1.65</v>
      </c>
      <c r="CE58" s="248">
        <v>4.28</v>
      </c>
      <c r="CF58" s="247">
        <v>3.8800000000000001E-2</v>
      </c>
      <c r="CG58" s="248">
        <v>5.87</v>
      </c>
      <c r="CH58" s="247">
        <v>0.83850000000000002</v>
      </c>
      <c r="CI58" s="248">
        <v>1.45</v>
      </c>
      <c r="CJ58" s="248">
        <v>-9.15</v>
      </c>
      <c r="CK58" s="248">
        <v>1.05</v>
      </c>
      <c r="CL58" s="248">
        <v>155.6</v>
      </c>
      <c r="CM58" s="248">
        <v>183.34</v>
      </c>
      <c r="CN58" s="248">
        <v>152.6</v>
      </c>
      <c r="CO58" s="248">
        <v>178.34</v>
      </c>
      <c r="CP58" s="248">
        <v>-3.27</v>
      </c>
      <c r="CQ58" s="246">
        <v>0.38</v>
      </c>
      <c r="CR58" s="246">
        <v>0.21</v>
      </c>
      <c r="CS58" s="246">
        <v>0.43</v>
      </c>
      <c r="CT58" s="246">
        <v>0.11</v>
      </c>
      <c r="CU58" s="246">
        <v>0.19</v>
      </c>
      <c r="CV58" s="248">
        <v>12.62</v>
      </c>
      <c r="CW58" s="248">
        <v>8.2799999999999994</v>
      </c>
      <c r="CX58" s="248">
        <v>-7.17</v>
      </c>
      <c r="CY58" s="248">
        <v>13</v>
      </c>
      <c r="CZ58" s="248">
        <v>4.45</v>
      </c>
      <c r="DA58" s="248">
        <v>8.57</v>
      </c>
      <c r="DB58" s="248">
        <v>98.8</v>
      </c>
      <c r="DC58" s="248">
        <v>21.76</v>
      </c>
      <c r="DD58" s="248">
        <v>124.54</v>
      </c>
      <c r="DE58" s="248">
        <v>-9.15</v>
      </c>
      <c r="DF58" s="248">
        <v>0</v>
      </c>
      <c r="DG58" s="248">
        <v>13.64</v>
      </c>
      <c r="DH58" s="248">
        <v>178.34</v>
      </c>
      <c r="DI58" s="248">
        <v>20.8</v>
      </c>
      <c r="DJ58" s="247">
        <v>5.5100000000000003E-2</v>
      </c>
      <c r="DK58" s="247">
        <v>4.8899999999999999E-2</v>
      </c>
      <c r="DL58" s="246">
        <v>5.99</v>
      </c>
      <c r="DM58" s="246">
        <v>0.14000000000000001</v>
      </c>
      <c r="DN58" s="246">
        <v>164</v>
      </c>
      <c r="DO58" s="246">
        <v>12.62</v>
      </c>
      <c r="DP58" s="247">
        <v>7.3700000000000002E-2</v>
      </c>
      <c r="DQ58" s="248">
        <v>-12.2</v>
      </c>
      <c r="DR58" s="246" t="s">
        <v>839</v>
      </c>
      <c r="DS58" s="246" t="s">
        <v>644</v>
      </c>
      <c r="DT58" s="246" t="e">
        <v>#REF!</v>
      </c>
      <c r="DU58" s="246" t="s">
        <v>388</v>
      </c>
      <c r="DV58" s="246" t="s">
        <v>1121</v>
      </c>
      <c r="DW58" s="246" t="s">
        <v>1122</v>
      </c>
      <c r="DX58" s="246" t="s">
        <v>1123</v>
      </c>
      <c r="DY58" s="246" t="s">
        <v>1124</v>
      </c>
      <c r="DZ58" s="246">
        <v>78</v>
      </c>
      <c r="EA58" s="247">
        <v>1.4800000000000001E-2</v>
      </c>
      <c r="EB58" s="247">
        <v>0.24640000000000001</v>
      </c>
      <c r="EC58" s="247">
        <v>8.0699999999999994E-2</v>
      </c>
      <c r="ED58" s="247">
        <v>6.93E-2</v>
      </c>
      <c r="EE58" s="247">
        <v>0.46150000000000002</v>
      </c>
      <c r="EF58" s="247">
        <v>-1.61E-2</v>
      </c>
      <c r="EG58" s="247">
        <v>0.1231</v>
      </c>
      <c r="EH58" s="247">
        <v>0.124</v>
      </c>
      <c r="EI58" s="248">
        <v>-12.2</v>
      </c>
      <c r="EJ58" s="234">
        <v>13.5</v>
      </c>
      <c r="EK58" s="234">
        <v>13.8</v>
      </c>
      <c r="EL58" s="234" t="s">
        <v>925</v>
      </c>
      <c r="EM58" s="234" t="s">
        <v>1125</v>
      </c>
      <c r="EN58" s="234" t="s">
        <v>1126</v>
      </c>
      <c r="EO58" s="234" t="s">
        <v>1127</v>
      </c>
      <c r="EP58" s="234" t="s">
        <v>376</v>
      </c>
      <c r="EQ58" s="234" t="s">
        <v>377</v>
      </c>
      <c r="ER58" s="234">
        <v>1</v>
      </c>
      <c r="ES58" s="249">
        <v>-3.2500000000000001E-2</v>
      </c>
      <c r="ET58" s="234" t="s">
        <v>384</v>
      </c>
      <c r="EU58" s="250">
        <v>110.3</v>
      </c>
      <c r="EV58" s="234" t="s">
        <v>491</v>
      </c>
      <c r="EW58" s="250">
        <v>38.4</v>
      </c>
      <c r="EX58" s="250">
        <v>46.9</v>
      </c>
      <c r="EY58" s="250">
        <v>47.8</v>
      </c>
      <c r="EZ58" s="250">
        <v>72.8</v>
      </c>
      <c r="FA58" s="250">
        <v>67.599999999999994</v>
      </c>
      <c r="FB58" s="250">
        <v>69.3</v>
      </c>
      <c r="FC58" s="250">
        <v>5.39</v>
      </c>
      <c r="FD58" s="249">
        <v>0</v>
      </c>
      <c r="FE58" s="250">
        <v>0</v>
      </c>
      <c r="FF58" s="250">
        <v>0</v>
      </c>
    </row>
    <row r="59" spans="1:162">
      <c r="A59" s="234" t="s">
        <v>1128</v>
      </c>
      <c r="B59" s="234" t="s">
        <v>1129</v>
      </c>
      <c r="C59" s="246" t="s">
        <v>401</v>
      </c>
      <c r="D59" s="246" t="s">
        <v>362</v>
      </c>
      <c r="E59" s="246">
        <v>4210</v>
      </c>
      <c r="F59" s="246" t="s">
        <v>1019</v>
      </c>
      <c r="G59" s="246" t="s">
        <v>417</v>
      </c>
      <c r="H59" s="246" t="s">
        <v>418</v>
      </c>
      <c r="I59" s="246">
        <v>0.66930000000000001</v>
      </c>
      <c r="J59" s="246">
        <v>0.7883</v>
      </c>
      <c r="K59" s="247">
        <v>6.6900000000000001E-2</v>
      </c>
      <c r="L59" s="247">
        <v>9.2200000000000004E-2</v>
      </c>
      <c r="M59" s="246" t="s">
        <v>384</v>
      </c>
      <c r="N59" s="247">
        <v>2.7300000000000001E-2</v>
      </c>
      <c r="O59" s="247">
        <v>6.6799999999999998E-2</v>
      </c>
      <c r="P59" s="247">
        <v>5.21E-2</v>
      </c>
      <c r="Q59" s="247">
        <v>8.48E-2</v>
      </c>
      <c r="R59" s="246" t="s">
        <v>384</v>
      </c>
      <c r="S59" s="246" t="s">
        <v>384</v>
      </c>
      <c r="T59" s="248">
        <v>90.4</v>
      </c>
      <c r="U59" s="248">
        <v>0</v>
      </c>
      <c r="V59" s="248">
        <v>20.6</v>
      </c>
      <c r="W59" s="248">
        <v>20.6</v>
      </c>
      <c r="X59" s="248">
        <v>111</v>
      </c>
      <c r="Y59" s="248">
        <v>11.9</v>
      </c>
      <c r="Z59" s="248">
        <v>99.1</v>
      </c>
      <c r="AA59" s="247">
        <v>0.1072</v>
      </c>
      <c r="AB59" s="246">
        <v>1.0900000000000001</v>
      </c>
      <c r="AC59" s="247">
        <v>0.36980000000000002</v>
      </c>
      <c r="AD59" s="247">
        <v>0.18559999999999999</v>
      </c>
      <c r="AE59" s="247">
        <v>0.58689999999999998</v>
      </c>
      <c r="AF59" s="247">
        <v>0.22789999999999999</v>
      </c>
      <c r="AG59" s="248">
        <v>0.03</v>
      </c>
      <c r="AH59" s="246">
        <v>69.06</v>
      </c>
      <c r="AI59" s="246" t="s">
        <v>384</v>
      </c>
      <c r="AJ59" s="246" t="s">
        <v>384</v>
      </c>
      <c r="AK59" s="246" t="s">
        <v>384</v>
      </c>
      <c r="AL59" s="246" t="s">
        <v>384</v>
      </c>
      <c r="AM59" s="246">
        <v>0.49</v>
      </c>
      <c r="AN59" s="233">
        <v>8.16</v>
      </c>
      <c r="AO59" s="246">
        <v>13.01</v>
      </c>
      <c r="AP59" s="246">
        <v>11.37</v>
      </c>
      <c r="AQ59" s="246">
        <v>0</v>
      </c>
      <c r="AR59" s="246" t="s">
        <v>384</v>
      </c>
      <c r="AS59" s="246" t="s">
        <v>384</v>
      </c>
      <c r="AT59" s="246">
        <v>2.58</v>
      </c>
      <c r="AU59" s="246">
        <v>0</v>
      </c>
      <c r="AV59" s="246">
        <v>1.35</v>
      </c>
      <c r="AW59" s="246">
        <v>9.7200000000000006</v>
      </c>
      <c r="AX59" s="246">
        <v>5.97</v>
      </c>
      <c r="AY59" s="246">
        <v>2.2599999999999998</v>
      </c>
      <c r="AZ59" s="246">
        <v>1.48</v>
      </c>
      <c r="BA59" s="247">
        <v>0.75349999999999995</v>
      </c>
      <c r="BB59" s="247">
        <v>6.6299999999999998E-2</v>
      </c>
      <c r="BC59" s="246" t="s">
        <v>384</v>
      </c>
      <c r="BD59" s="246" t="s">
        <v>384</v>
      </c>
      <c r="BE59" s="246" t="s">
        <v>384</v>
      </c>
      <c r="BF59" s="246" t="s">
        <v>384</v>
      </c>
      <c r="BG59" s="246" t="s">
        <v>384</v>
      </c>
      <c r="BH59" s="246" t="s">
        <v>384</v>
      </c>
      <c r="BI59" s="246" t="s">
        <v>384</v>
      </c>
      <c r="BJ59" s="246" t="s">
        <v>384</v>
      </c>
      <c r="BK59" s="246" t="s">
        <v>384</v>
      </c>
      <c r="BL59" s="246" t="s">
        <v>384</v>
      </c>
      <c r="BM59" s="247">
        <v>0.10630000000000001</v>
      </c>
      <c r="BN59" s="247">
        <v>0.13639999999999999</v>
      </c>
      <c r="BO59" s="247">
        <v>0.19520000000000001</v>
      </c>
      <c r="BP59" s="247">
        <v>0.22</v>
      </c>
      <c r="BQ59" s="247">
        <v>0.2301</v>
      </c>
      <c r="BR59" s="246" t="s">
        <v>384</v>
      </c>
      <c r="BS59" s="248">
        <v>6.95</v>
      </c>
      <c r="BT59" s="248">
        <v>7.95</v>
      </c>
      <c r="BU59" s="248">
        <v>10.199999999999999</v>
      </c>
      <c r="BV59" s="248">
        <v>10.199999999999999</v>
      </c>
      <c r="BW59" s="248">
        <v>14.6</v>
      </c>
      <c r="BX59" s="248">
        <v>67.099999999999994</v>
      </c>
      <c r="BY59" s="248">
        <v>74.8</v>
      </c>
      <c r="BZ59" s="248">
        <v>15.7</v>
      </c>
      <c r="CA59" s="248">
        <v>16.600000000000001</v>
      </c>
      <c r="CB59" s="248">
        <v>7.85</v>
      </c>
      <c r="CC59" s="248">
        <v>-8</v>
      </c>
      <c r="CD59" s="248">
        <v>0</v>
      </c>
      <c r="CE59" s="248">
        <v>4.33</v>
      </c>
      <c r="CF59" s="247">
        <v>5.79E-2</v>
      </c>
      <c r="CG59" s="248">
        <v>16.98</v>
      </c>
      <c r="CH59" s="247">
        <v>2.1617000000000002</v>
      </c>
      <c r="CI59" s="248">
        <v>-9.1199999999999992</v>
      </c>
      <c r="CJ59" s="248">
        <v>-1.03</v>
      </c>
      <c r="CK59" s="248">
        <v>-9.0299999999999994</v>
      </c>
      <c r="CL59" s="248">
        <v>0</v>
      </c>
      <c r="CM59" s="248">
        <v>0</v>
      </c>
      <c r="CN59" s="248">
        <v>35.1</v>
      </c>
      <c r="CO59" s="248">
        <v>43.8</v>
      </c>
      <c r="CP59" s="248">
        <v>-5.99</v>
      </c>
      <c r="CQ59" s="246" t="s">
        <v>384</v>
      </c>
      <c r="CR59" s="246" t="s">
        <v>384</v>
      </c>
      <c r="CS59" s="246">
        <v>0.42</v>
      </c>
      <c r="CT59" s="246" t="s">
        <v>384</v>
      </c>
      <c r="CU59" s="246" t="s">
        <v>384</v>
      </c>
      <c r="CV59" s="246" t="s">
        <v>384</v>
      </c>
      <c r="CW59" s="246" t="s">
        <v>384</v>
      </c>
      <c r="CX59" s="248">
        <v>-5.99</v>
      </c>
      <c r="CY59" s="248">
        <v>10.3</v>
      </c>
      <c r="CZ59" s="248">
        <v>2.37</v>
      </c>
      <c r="DA59" s="248">
        <v>7.95</v>
      </c>
      <c r="DB59" s="248">
        <v>90.4</v>
      </c>
      <c r="DC59" s="248">
        <v>16.600000000000001</v>
      </c>
      <c r="DD59" s="248">
        <v>99.1</v>
      </c>
      <c r="DE59" s="248">
        <v>-1.03</v>
      </c>
      <c r="DF59" s="248">
        <v>0</v>
      </c>
      <c r="DG59" s="248">
        <v>10.199999999999999</v>
      </c>
      <c r="DH59" s="248">
        <v>43.8</v>
      </c>
      <c r="DI59" s="248">
        <v>15.7</v>
      </c>
      <c r="DJ59" s="246" t="s">
        <v>384</v>
      </c>
      <c r="DK59" s="246" t="s">
        <v>384</v>
      </c>
      <c r="DL59" s="246">
        <v>6.31</v>
      </c>
      <c r="DM59" s="246">
        <v>0.02</v>
      </c>
      <c r="DN59" s="246" t="s">
        <v>384</v>
      </c>
      <c r="DO59" s="246" t="s">
        <v>384</v>
      </c>
      <c r="DP59" s="246" t="s">
        <v>384</v>
      </c>
      <c r="DQ59" s="246" t="s">
        <v>1130</v>
      </c>
      <c r="DR59" s="246" t="s">
        <v>1131</v>
      </c>
      <c r="DS59" s="246" t="s">
        <v>1132</v>
      </c>
      <c r="DT59" s="246" t="e">
        <v>#REF!</v>
      </c>
      <c r="DU59" s="246" t="s">
        <v>388</v>
      </c>
      <c r="DV59" s="246" t="s">
        <v>513</v>
      </c>
      <c r="DW59" s="246" t="s">
        <v>1133</v>
      </c>
      <c r="DX59" s="246" t="s">
        <v>853</v>
      </c>
      <c r="DY59" s="246" t="s">
        <v>1134</v>
      </c>
      <c r="DZ59" s="246">
        <v>11</v>
      </c>
      <c r="EA59" s="246" t="s">
        <v>384</v>
      </c>
      <c r="EB59" s="246" t="s">
        <v>384</v>
      </c>
      <c r="EC59" s="246" t="s">
        <v>384</v>
      </c>
      <c r="ED59" s="247">
        <v>-0.1341</v>
      </c>
      <c r="EE59" s="246" t="s">
        <v>384</v>
      </c>
      <c r="EF59" s="247">
        <v>1.2200000000000001E-2</v>
      </c>
      <c r="EG59" s="247">
        <v>0.14069999999999999</v>
      </c>
      <c r="EH59" s="247">
        <v>0.13600000000000001</v>
      </c>
      <c r="EI59" s="246" t="s">
        <v>1130</v>
      </c>
      <c r="EJ59" s="234">
        <v>10.199999999999999</v>
      </c>
      <c r="EK59" s="234">
        <v>10.4</v>
      </c>
      <c r="EL59" s="234" t="s">
        <v>377</v>
      </c>
      <c r="EM59" s="234" t="s">
        <v>377</v>
      </c>
      <c r="EN59" s="234" t="s">
        <v>377</v>
      </c>
      <c r="EO59" s="234" t="s">
        <v>1135</v>
      </c>
      <c r="EP59" s="234" t="s">
        <v>1136</v>
      </c>
      <c r="EQ59" s="234" t="s">
        <v>1137</v>
      </c>
      <c r="ER59" s="234">
        <v>1</v>
      </c>
      <c r="ES59" s="234" t="s">
        <v>384</v>
      </c>
      <c r="ET59" s="234" t="s">
        <v>384</v>
      </c>
      <c r="EU59" s="234" t="s">
        <v>384</v>
      </c>
      <c r="EV59" s="234" t="s">
        <v>491</v>
      </c>
      <c r="EW59" s="250">
        <v>0</v>
      </c>
      <c r="EX59" s="250">
        <v>0</v>
      </c>
      <c r="EY59" s="250">
        <v>0</v>
      </c>
      <c r="EZ59" s="250">
        <v>0</v>
      </c>
      <c r="FA59" s="250">
        <v>0</v>
      </c>
      <c r="FB59" s="250">
        <v>0</v>
      </c>
      <c r="FC59" s="250">
        <v>0</v>
      </c>
      <c r="FD59" s="249">
        <v>0</v>
      </c>
      <c r="FE59" s="250">
        <v>0</v>
      </c>
      <c r="FF59" s="250">
        <v>0</v>
      </c>
    </row>
    <row r="60" spans="1:162">
      <c r="A60" s="234" t="s">
        <v>1138</v>
      </c>
      <c r="B60" s="234" t="s">
        <v>1139</v>
      </c>
      <c r="C60" s="246" t="s">
        <v>401</v>
      </c>
      <c r="D60" s="246" t="s">
        <v>362</v>
      </c>
      <c r="E60" s="246">
        <v>4210</v>
      </c>
      <c r="F60" s="246" t="s">
        <v>1140</v>
      </c>
      <c r="G60" s="246" t="s">
        <v>382</v>
      </c>
      <c r="H60" s="246" t="s">
        <v>383</v>
      </c>
      <c r="I60" s="246">
        <v>0.66930000000000001</v>
      </c>
      <c r="J60" s="246">
        <v>0.71830000000000005</v>
      </c>
      <c r="K60" s="247">
        <v>6.6900000000000001E-2</v>
      </c>
      <c r="L60" s="247">
        <v>8.7599999999999997E-2</v>
      </c>
      <c r="M60" s="246" t="s">
        <v>384</v>
      </c>
      <c r="N60" s="247">
        <v>2.5100000000000001E-2</v>
      </c>
      <c r="O60" s="247">
        <v>6.4600000000000005E-2</v>
      </c>
      <c r="P60" s="247">
        <v>4.6600000000000003E-2</v>
      </c>
      <c r="Q60" s="247">
        <v>8.3799999999999999E-2</v>
      </c>
      <c r="R60" s="247">
        <v>8.8000000000000005E-3</v>
      </c>
      <c r="S60" s="247">
        <v>0.1193</v>
      </c>
      <c r="T60" s="248">
        <v>87.2</v>
      </c>
      <c r="U60" s="248">
        <v>0</v>
      </c>
      <c r="V60" s="248">
        <v>8.85</v>
      </c>
      <c r="W60" s="248">
        <v>8.85</v>
      </c>
      <c r="X60" s="248">
        <v>96.05</v>
      </c>
      <c r="Y60" s="248">
        <v>3.31</v>
      </c>
      <c r="Z60" s="248">
        <v>92.74</v>
      </c>
      <c r="AA60" s="247">
        <v>3.4500000000000003E-2</v>
      </c>
      <c r="AB60" s="246">
        <v>0.39</v>
      </c>
      <c r="AC60" s="247">
        <v>0.44579999999999997</v>
      </c>
      <c r="AD60" s="247">
        <v>9.2100000000000001E-2</v>
      </c>
      <c r="AE60" s="247">
        <v>0.80449999999999999</v>
      </c>
      <c r="AF60" s="247">
        <v>0.10150000000000001</v>
      </c>
      <c r="AG60" s="248">
        <v>9.18</v>
      </c>
      <c r="AH60" s="246">
        <v>50.04</v>
      </c>
      <c r="AI60" s="246" t="s">
        <v>384</v>
      </c>
      <c r="AJ60" s="246">
        <v>0.65</v>
      </c>
      <c r="AK60" s="247">
        <v>9.4899999999999998E-2</v>
      </c>
      <c r="AL60" s="247">
        <v>0.27700000000000002</v>
      </c>
      <c r="AM60" s="246">
        <v>0.41</v>
      </c>
      <c r="AN60" s="233">
        <v>33.299999999999997</v>
      </c>
      <c r="AO60" s="246">
        <v>256.47000000000003</v>
      </c>
      <c r="AP60" s="246">
        <v>131.91999999999999</v>
      </c>
      <c r="AQ60" s="246">
        <v>113.53</v>
      </c>
      <c r="AR60" s="246">
        <v>26.01</v>
      </c>
      <c r="AS60" s="246" t="s">
        <v>384</v>
      </c>
      <c r="AT60" s="246">
        <v>7.93</v>
      </c>
      <c r="AU60" s="246">
        <v>4.4800000000000004</v>
      </c>
      <c r="AV60" s="246">
        <v>3.5</v>
      </c>
      <c r="AW60" s="246">
        <v>28.71</v>
      </c>
      <c r="AX60" s="246">
        <v>23.24</v>
      </c>
      <c r="AY60" s="246">
        <v>12.12</v>
      </c>
      <c r="AZ60" s="246">
        <v>3.72</v>
      </c>
      <c r="BA60" s="247">
        <v>0</v>
      </c>
      <c r="BB60" s="247">
        <v>0</v>
      </c>
      <c r="BC60" s="247">
        <v>1.2591000000000001</v>
      </c>
      <c r="BD60" s="247">
        <v>-0.107</v>
      </c>
      <c r="BE60" s="246" t="s">
        <v>384</v>
      </c>
      <c r="BF60" s="247">
        <v>0.155</v>
      </c>
      <c r="BG60" s="246" t="s">
        <v>384</v>
      </c>
      <c r="BH60" s="246" t="s">
        <v>384</v>
      </c>
      <c r="BI60" s="247">
        <v>0.34</v>
      </c>
      <c r="BJ60" s="247">
        <v>9.64E-2</v>
      </c>
      <c r="BK60" s="247">
        <v>0.2031</v>
      </c>
      <c r="BL60" s="246">
        <v>2.93</v>
      </c>
      <c r="BM60" s="247">
        <v>1.9199999999999998E-2</v>
      </c>
      <c r="BN60" s="247">
        <v>9.3600000000000003E-2</v>
      </c>
      <c r="BO60" s="247">
        <v>0.2009</v>
      </c>
      <c r="BP60" s="247">
        <v>0.27810000000000001</v>
      </c>
      <c r="BQ60" s="247">
        <v>0.26050000000000001</v>
      </c>
      <c r="BR60" s="247">
        <v>4.4299999999999999E-2</v>
      </c>
      <c r="BS60" s="248">
        <v>0.34</v>
      </c>
      <c r="BT60" s="248">
        <v>0.66</v>
      </c>
      <c r="BU60" s="248">
        <v>3.23</v>
      </c>
      <c r="BV60" s="248">
        <v>3.23</v>
      </c>
      <c r="BW60" s="248">
        <v>6.93</v>
      </c>
      <c r="BX60" s="248">
        <v>24.9</v>
      </c>
      <c r="BY60" s="248">
        <v>34.5</v>
      </c>
      <c r="BZ60" s="248">
        <v>2.96</v>
      </c>
      <c r="CA60" s="248">
        <v>3.99</v>
      </c>
      <c r="CB60" s="248">
        <v>2.39</v>
      </c>
      <c r="CC60" s="248">
        <v>-1.29</v>
      </c>
      <c r="CD60" s="248">
        <v>1.07</v>
      </c>
      <c r="CE60" s="248">
        <v>0.42</v>
      </c>
      <c r="CF60" s="247">
        <v>1.2200000000000001E-2</v>
      </c>
      <c r="CG60" s="248">
        <v>2.29</v>
      </c>
      <c r="CH60" s="247">
        <v>1.4046000000000001</v>
      </c>
      <c r="CI60" s="248">
        <v>-0.97</v>
      </c>
      <c r="CJ60" s="248">
        <v>-1.4</v>
      </c>
      <c r="CK60" s="248">
        <v>-2.69</v>
      </c>
      <c r="CL60" s="248">
        <v>6.86</v>
      </c>
      <c r="CM60" s="248">
        <v>11.76</v>
      </c>
      <c r="CN60" s="248">
        <v>11</v>
      </c>
      <c r="CO60" s="248">
        <v>7.65</v>
      </c>
      <c r="CP60" s="248">
        <v>0</v>
      </c>
      <c r="CQ60" s="246">
        <v>0.22</v>
      </c>
      <c r="CR60" s="246">
        <v>0.64</v>
      </c>
      <c r="CS60" s="246">
        <v>0.55000000000000004</v>
      </c>
      <c r="CT60" s="246" t="s">
        <v>384</v>
      </c>
      <c r="CU60" s="246" t="s">
        <v>384</v>
      </c>
      <c r="CV60" s="246" t="s">
        <v>384</v>
      </c>
      <c r="CW60" s="246" t="s">
        <v>384</v>
      </c>
      <c r="CX60" s="248">
        <v>-0.3</v>
      </c>
      <c r="CY60" s="248">
        <v>3.04</v>
      </c>
      <c r="CZ60" s="248">
        <v>0.79</v>
      </c>
      <c r="DA60" s="248">
        <v>0.66</v>
      </c>
      <c r="DB60" s="248">
        <v>87.2</v>
      </c>
      <c r="DC60" s="248">
        <v>3.99</v>
      </c>
      <c r="DD60" s="248">
        <v>92.74</v>
      </c>
      <c r="DE60" s="248">
        <v>-1.4</v>
      </c>
      <c r="DF60" s="248">
        <v>0</v>
      </c>
      <c r="DG60" s="248">
        <v>3.23</v>
      </c>
      <c r="DH60" s="248">
        <v>7.65</v>
      </c>
      <c r="DI60" s="248">
        <v>2.96</v>
      </c>
      <c r="DJ60" s="247">
        <v>9.64E-2</v>
      </c>
      <c r="DK60" s="247">
        <v>0.2031</v>
      </c>
      <c r="DL60" s="246">
        <v>31.33</v>
      </c>
      <c r="DM60" s="246">
        <v>2.5499999999999998</v>
      </c>
      <c r="DN60" s="246" t="s">
        <v>384</v>
      </c>
      <c r="DO60" s="246" t="s">
        <v>384</v>
      </c>
      <c r="DP60" s="246" t="s">
        <v>384</v>
      </c>
      <c r="DQ60" s="246" t="s">
        <v>1141</v>
      </c>
      <c r="DR60" s="246" t="s">
        <v>1142</v>
      </c>
      <c r="DS60" s="246" t="s">
        <v>1143</v>
      </c>
      <c r="DT60" s="246" t="e">
        <v>#REF!</v>
      </c>
      <c r="DU60" s="246" t="s">
        <v>1144</v>
      </c>
      <c r="DV60" s="246" t="s">
        <v>1145</v>
      </c>
      <c r="DW60" s="246" t="s">
        <v>658</v>
      </c>
      <c r="DX60" s="246" t="s">
        <v>1074</v>
      </c>
      <c r="DY60" s="246" t="s">
        <v>1146</v>
      </c>
      <c r="DZ60" s="246">
        <v>14</v>
      </c>
      <c r="EA60" s="247">
        <v>0.19689999999999999</v>
      </c>
      <c r="EB60" s="247">
        <v>0.27939999999999998</v>
      </c>
      <c r="EC60" s="247">
        <v>0.36940000000000001</v>
      </c>
      <c r="ED60" s="247">
        <v>0.29959999999999998</v>
      </c>
      <c r="EE60" s="247">
        <v>1.7250000000000001</v>
      </c>
      <c r="EF60" s="247">
        <v>0.1938</v>
      </c>
      <c r="EG60" s="247">
        <v>9.2700000000000005E-2</v>
      </c>
      <c r="EH60" s="247">
        <v>9.4E-2</v>
      </c>
      <c r="EI60" s="246" t="s">
        <v>1141</v>
      </c>
      <c r="EJ60" s="234">
        <v>3.23</v>
      </c>
      <c r="EK60" s="234">
        <v>2.68</v>
      </c>
      <c r="EL60" s="234" t="s">
        <v>1147</v>
      </c>
      <c r="EM60" s="234" t="s">
        <v>1148</v>
      </c>
      <c r="EN60" s="234" t="s">
        <v>1149</v>
      </c>
      <c r="EO60" s="234" t="s">
        <v>1150</v>
      </c>
      <c r="EP60" s="234" t="s">
        <v>1151</v>
      </c>
      <c r="EQ60" s="234" t="s">
        <v>1152</v>
      </c>
      <c r="ER60" s="234">
        <v>1</v>
      </c>
      <c r="ES60" s="249">
        <v>0.25459999999999999</v>
      </c>
      <c r="ET60" s="249">
        <v>0.17749999999999999</v>
      </c>
      <c r="EU60" s="250">
        <v>34.5</v>
      </c>
      <c r="EV60" s="234" t="s">
        <v>1151</v>
      </c>
      <c r="EW60" s="250">
        <v>0</v>
      </c>
      <c r="EX60" s="250">
        <v>23.1</v>
      </c>
      <c r="EY60" s="250">
        <v>15.9</v>
      </c>
      <c r="EZ60" s="250">
        <v>21</v>
      </c>
      <c r="FA60" s="250">
        <v>32</v>
      </c>
      <c r="FB60" s="250">
        <v>38.6</v>
      </c>
      <c r="FC60" s="250">
        <v>0</v>
      </c>
      <c r="FD60" s="249">
        <v>0</v>
      </c>
      <c r="FE60" s="250">
        <v>0</v>
      </c>
      <c r="FF60" s="250">
        <v>0</v>
      </c>
    </row>
    <row r="61" spans="1:162">
      <c r="A61" s="234" t="s">
        <v>1153</v>
      </c>
      <c r="B61" s="234" t="s">
        <v>1154</v>
      </c>
      <c r="C61" s="246" t="s">
        <v>401</v>
      </c>
      <c r="D61" s="246" t="s">
        <v>362</v>
      </c>
      <c r="E61" s="246">
        <v>4210</v>
      </c>
      <c r="F61" s="246" t="s">
        <v>642</v>
      </c>
      <c r="G61" s="246" t="s">
        <v>417</v>
      </c>
      <c r="H61" s="246" t="s">
        <v>642</v>
      </c>
      <c r="I61" s="246">
        <v>0.66930000000000001</v>
      </c>
      <c r="J61" s="246">
        <v>0.66930000000000001</v>
      </c>
      <c r="K61" s="247">
        <v>7.0800000000000002E-2</v>
      </c>
      <c r="L61" s="247">
        <v>8.6900000000000005E-2</v>
      </c>
      <c r="M61" s="246" t="s">
        <v>384</v>
      </c>
      <c r="N61" s="247">
        <v>2.98E-2</v>
      </c>
      <c r="O61" s="247">
        <v>6.93E-2</v>
      </c>
      <c r="P61" s="247">
        <v>4.8500000000000001E-2</v>
      </c>
      <c r="Q61" s="247">
        <v>8.6900000000000005E-2</v>
      </c>
      <c r="R61" s="247">
        <v>0.25119999999999998</v>
      </c>
      <c r="S61" s="247">
        <v>0.17849999999999999</v>
      </c>
      <c r="T61" s="248">
        <v>81</v>
      </c>
      <c r="U61" s="248">
        <v>0</v>
      </c>
      <c r="V61" s="248">
        <v>0</v>
      </c>
      <c r="W61" s="248">
        <v>0</v>
      </c>
      <c r="X61" s="248">
        <v>81</v>
      </c>
      <c r="Y61" s="248">
        <v>1.17</v>
      </c>
      <c r="Z61" s="248">
        <v>79.83</v>
      </c>
      <c r="AA61" s="247">
        <v>1.44E-2</v>
      </c>
      <c r="AB61" s="246">
        <v>0.27</v>
      </c>
      <c r="AC61" s="247">
        <v>0</v>
      </c>
      <c r="AD61" s="247">
        <v>0</v>
      </c>
      <c r="AE61" s="247">
        <v>0</v>
      </c>
      <c r="AF61" s="247">
        <v>0</v>
      </c>
      <c r="AG61" s="248">
        <v>3.34</v>
      </c>
      <c r="AH61" s="246">
        <v>69.06</v>
      </c>
      <c r="AI61" s="246" t="s">
        <v>384</v>
      </c>
      <c r="AJ61" s="246" t="s">
        <v>384</v>
      </c>
      <c r="AK61" s="246" t="s">
        <v>384</v>
      </c>
      <c r="AL61" s="246" t="s">
        <v>384</v>
      </c>
      <c r="AM61" s="246">
        <v>0.44</v>
      </c>
      <c r="AN61" s="233">
        <v>2.56</v>
      </c>
      <c r="AO61" s="246">
        <v>36.159999999999997</v>
      </c>
      <c r="AP61" s="246">
        <v>31.27</v>
      </c>
      <c r="AQ61" s="246" t="s">
        <v>384</v>
      </c>
      <c r="AR61" s="246" t="s">
        <v>384</v>
      </c>
      <c r="AS61" s="246" t="s">
        <v>384</v>
      </c>
      <c r="AT61" s="246">
        <v>3.88</v>
      </c>
      <c r="AU61" s="246">
        <v>1.47</v>
      </c>
      <c r="AV61" s="246">
        <v>1.38</v>
      </c>
      <c r="AW61" s="246">
        <v>17.43</v>
      </c>
      <c r="AX61" s="246">
        <v>7.13</v>
      </c>
      <c r="AY61" s="246">
        <v>4.05</v>
      </c>
      <c r="AZ61" s="246">
        <v>1.36</v>
      </c>
      <c r="BA61" s="247">
        <v>0</v>
      </c>
      <c r="BB61" s="247">
        <v>0</v>
      </c>
      <c r="BC61" s="247">
        <v>-0.42180000000000001</v>
      </c>
      <c r="BD61" s="246" t="s">
        <v>384</v>
      </c>
      <c r="BE61" s="246" t="s">
        <v>384</v>
      </c>
      <c r="BF61" s="246" t="s">
        <v>384</v>
      </c>
      <c r="BG61" s="246" t="s">
        <v>384</v>
      </c>
      <c r="BH61" s="246" t="s">
        <v>384</v>
      </c>
      <c r="BI61" s="246" t="s">
        <v>384</v>
      </c>
      <c r="BJ61" s="247">
        <v>0.33810000000000001</v>
      </c>
      <c r="BK61" s="247">
        <v>0.26529999999999998</v>
      </c>
      <c r="BL61" s="246">
        <v>4.82</v>
      </c>
      <c r="BM61" s="247">
        <v>4.1799999999999997E-2</v>
      </c>
      <c r="BN61" s="247">
        <v>7.3999999999999996E-2</v>
      </c>
      <c r="BO61" s="247">
        <v>0.20030000000000001</v>
      </c>
      <c r="BP61" s="247">
        <v>0.3</v>
      </c>
      <c r="BQ61" s="247">
        <v>0.25569999999999998</v>
      </c>
      <c r="BR61" s="246" t="s">
        <v>384</v>
      </c>
      <c r="BS61" s="248">
        <v>2.2400000000000002</v>
      </c>
      <c r="BT61" s="248">
        <v>2.59</v>
      </c>
      <c r="BU61" s="248">
        <v>4.58</v>
      </c>
      <c r="BV61" s="248">
        <v>4.58</v>
      </c>
      <c r="BW61" s="248">
        <v>12.4</v>
      </c>
      <c r="BX61" s="248">
        <v>58.7</v>
      </c>
      <c r="BY61" s="248">
        <v>61.9</v>
      </c>
      <c r="BZ61" s="248">
        <v>11.6</v>
      </c>
      <c r="CA61" s="248">
        <v>11.2</v>
      </c>
      <c r="CB61" s="248">
        <v>3.41</v>
      </c>
      <c r="CC61" s="248">
        <v>2.79</v>
      </c>
      <c r="CD61" s="248">
        <v>3.89</v>
      </c>
      <c r="CE61" s="248">
        <v>12.71</v>
      </c>
      <c r="CF61" s="247">
        <v>0.20530000000000001</v>
      </c>
      <c r="CG61" s="248">
        <v>7.16</v>
      </c>
      <c r="CH61" s="247">
        <v>3.2410999999999999</v>
      </c>
      <c r="CI61" s="248">
        <v>-7.64</v>
      </c>
      <c r="CJ61" s="248">
        <v>-11.25</v>
      </c>
      <c r="CK61" s="248">
        <v>-8.4600000000000009</v>
      </c>
      <c r="CL61" s="248">
        <v>7.66</v>
      </c>
      <c r="CM61" s="248">
        <v>12.85</v>
      </c>
      <c r="CN61" s="248">
        <v>20.9</v>
      </c>
      <c r="CO61" s="248">
        <v>19.73</v>
      </c>
      <c r="CP61" s="248">
        <v>0</v>
      </c>
      <c r="CQ61" s="246" t="s">
        <v>384</v>
      </c>
      <c r="CR61" s="246" t="s">
        <v>384</v>
      </c>
      <c r="CS61" s="246">
        <v>0.42</v>
      </c>
      <c r="CT61" s="246" t="s">
        <v>384</v>
      </c>
      <c r="CU61" s="246" t="s">
        <v>384</v>
      </c>
      <c r="CV61" s="246" t="s">
        <v>384</v>
      </c>
      <c r="CW61" s="246" t="s">
        <v>384</v>
      </c>
      <c r="CX61" s="248">
        <v>0</v>
      </c>
      <c r="CY61" s="248">
        <v>3.48</v>
      </c>
      <c r="CZ61" s="248">
        <v>0.89</v>
      </c>
      <c r="DA61" s="248">
        <v>2.59</v>
      </c>
      <c r="DB61" s="248">
        <v>81</v>
      </c>
      <c r="DC61" s="248">
        <v>11.2</v>
      </c>
      <c r="DD61" s="248">
        <v>79.83</v>
      </c>
      <c r="DE61" s="246" t="s">
        <v>384</v>
      </c>
      <c r="DF61" s="248">
        <v>0</v>
      </c>
      <c r="DG61" s="248">
        <v>4.58</v>
      </c>
      <c r="DH61" s="248">
        <v>19.73</v>
      </c>
      <c r="DI61" s="248">
        <v>11.6</v>
      </c>
      <c r="DJ61" s="247">
        <v>0.33810000000000001</v>
      </c>
      <c r="DK61" s="247">
        <v>0.26529999999999998</v>
      </c>
      <c r="DL61" s="246">
        <v>6.88</v>
      </c>
      <c r="DM61" s="246">
        <v>6.64</v>
      </c>
      <c r="DN61" s="246" t="s">
        <v>384</v>
      </c>
      <c r="DO61" s="246" t="s">
        <v>384</v>
      </c>
      <c r="DP61" s="246" t="s">
        <v>384</v>
      </c>
      <c r="DQ61" s="248">
        <v>-4.3</v>
      </c>
      <c r="DR61" s="246" t="s">
        <v>1155</v>
      </c>
      <c r="DS61" s="246" t="s">
        <v>1156</v>
      </c>
      <c r="DT61" s="246" t="e">
        <v>#REF!</v>
      </c>
      <c r="DU61" s="246" t="s">
        <v>688</v>
      </c>
      <c r="DV61" s="246" t="s">
        <v>1157</v>
      </c>
      <c r="DW61" s="246" t="s">
        <v>1158</v>
      </c>
      <c r="DX61" s="246" t="s">
        <v>1159</v>
      </c>
      <c r="DY61" s="246" t="s">
        <v>1160</v>
      </c>
      <c r="DZ61" s="246">
        <v>-1</v>
      </c>
      <c r="EA61" s="247">
        <v>0.1095</v>
      </c>
      <c r="EB61" s="247">
        <v>0.50990000000000002</v>
      </c>
      <c r="EC61" s="247">
        <v>-0.45090000000000002</v>
      </c>
      <c r="ED61" s="247">
        <v>-0.33500000000000002</v>
      </c>
      <c r="EE61" s="247">
        <v>-0.38819999999999999</v>
      </c>
      <c r="EF61" s="247">
        <v>3.1267</v>
      </c>
      <c r="EG61" s="247">
        <v>-0.1573</v>
      </c>
      <c r="EH61" s="247">
        <v>7.3999999999999996E-2</v>
      </c>
      <c r="EI61" s="248">
        <v>-6.15</v>
      </c>
      <c r="EJ61" s="234">
        <v>4.58</v>
      </c>
      <c r="EK61" s="234">
        <v>-2.36</v>
      </c>
      <c r="EL61" s="234" t="s">
        <v>1161</v>
      </c>
      <c r="EM61" s="234" t="s">
        <v>1162</v>
      </c>
      <c r="EN61" s="234" t="s">
        <v>1163</v>
      </c>
      <c r="EO61" s="234" t="s">
        <v>1164</v>
      </c>
      <c r="EP61" s="234" t="s">
        <v>376</v>
      </c>
      <c r="EQ61" s="234" t="s">
        <v>377</v>
      </c>
      <c r="ER61" s="234">
        <v>1</v>
      </c>
      <c r="ES61" s="249">
        <v>-1.4200000000000001E-2</v>
      </c>
      <c r="ET61" s="234" t="s">
        <v>384</v>
      </c>
      <c r="EU61" s="250">
        <v>61.9</v>
      </c>
      <c r="EV61" s="234" t="s">
        <v>491</v>
      </c>
      <c r="EW61" s="250">
        <v>95.4</v>
      </c>
      <c r="EX61" s="250">
        <v>49.9</v>
      </c>
      <c r="EY61" s="250">
        <v>49.3</v>
      </c>
      <c r="EZ61" s="250">
        <v>67.2</v>
      </c>
      <c r="FA61" s="250">
        <v>132.4</v>
      </c>
      <c r="FB61" s="250">
        <v>140.1</v>
      </c>
      <c r="FC61" s="250">
        <v>0</v>
      </c>
      <c r="FD61" s="249">
        <v>0</v>
      </c>
      <c r="FE61" s="250">
        <v>0</v>
      </c>
      <c r="FF61" s="250">
        <v>0</v>
      </c>
    </row>
    <row r="62" spans="1:162">
      <c r="A62" s="234" t="s">
        <v>1165</v>
      </c>
      <c r="B62" s="234" t="s">
        <v>1166</v>
      </c>
      <c r="C62" s="246" t="s">
        <v>401</v>
      </c>
      <c r="D62" s="246" t="s">
        <v>362</v>
      </c>
      <c r="E62" s="246">
        <v>4210</v>
      </c>
      <c r="F62" s="246" t="s">
        <v>509</v>
      </c>
      <c r="G62" s="246" t="s">
        <v>417</v>
      </c>
      <c r="H62" s="246" t="s">
        <v>509</v>
      </c>
      <c r="I62" s="246">
        <v>0.66930000000000001</v>
      </c>
      <c r="J62" s="246">
        <v>1.6476</v>
      </c>
      <c r="K62" s="247">
        <v>5.1400000000000001E-2</v>
      </c>
      <c r="L62" s="247">
        <v>0.1242</v>
      </c>
      <c r="M62" s="246" t="s">
        <v>384</v>
      </c>
      <c r="N62" s="247">
        <v>2.4400000000000002E-2</v>
      </c>
      <c r="O62" s="247">
        <v>6.3899999999999998E-2</v>
      </c>
      <c r="P62" s="247">
        <v>4.7899999999999998E-2</v>
      </c>
      <c r="Q62" s="247">
        <v>7.3800000000000004E-2</v>
      </c>
      <c r="R62" s="247">
        <v>-5.7099999999999998E-2</v>
      </c>
      <c r="S62" s="247">
        <v>5.33E-2</v>
      </c>
      <c r="T62" s="248">
        <v>80.2</v>
      </c>
      <c r="U62" s="248">
        <v>0</v>
      </c>
      <c r="V62" s="248">
        <v>156.30000000000001</v>
      </c>
      <c r="W62" s="248">
        <v>156.30000000000001</v>
      </c>
      <c r="X62" s="248">
        <v>236.5</v>
      </c>
      <c r="Y62" s="248">
        <v>35.9</v>
      </c>
      <c r="Z62" s="248">
        <v>200.6</v>
      </c>
      <c r="AA62" s="247">
        <v>0.15179999999999999</v>
      </c>
      <c r="AB62" s="246">
        <v>0.35</v>
      </c>
      <c r="AC62" s="247">
        <v>0.65590000000000004</v>
      </c>
      <c r="AD62" s="247">
        <v>0.66090000000000004</v>
      </c>
      <c r="AE62" s="247">
        <v>1.9060999999999999</v>
      </c>
      <c r="AF62" s="247">
        <v>1.9489000000000001</v>
      </c>
      <c r="AG62" s="248">
        <v>0.18</v>
      </c>
      <c r="AH62" s="246">
        <v>69.06</v>
      </c>
      <c r="AI62" s="246" t="s">
        <v>384</v>
      </c>
      <c r="AJ62" s="246">
        <v>1.64</v>
      </c>
      <c r="AK62" s="247">
        <v>9.4899999999999998E-2</v>
      </c>
      <c r="AL62" s="247">
        <v>0.67549999999999999</v>
      </c>
      <c r="AM62" s="246">
        <v>0.46</v>
      </c>
      <c r="AN62" s="233">
        <v>1.83</v>
      </c>
      <c r="AO62" s="246">
        <v>12.43</v>
      </c>
      <c r="AP62" s="246">
        <v>15.79</v>
      </c>
      <c r="AQ62" s="246">
        <v>22.93</v>
      </c>
      <c r="AR62" s="246" t="s">
        <v>384</v>
      </c>
      <c r="AS62" s="246" t="s">
        <v>384</v>
      </c>
      <c r="AT62" s="246">
        <v>0.98</v>
      </c>
      <c r="AU62" s="246">
        <v>1.81</v>
      </c>
      <c r="AV62" s="246">
        <v>0.35</v>
      </c>
      <c r="AW62" s="246">
        <v>18.239999999999998</v>
      </c>
      <c r="AX62" s="246">
        <v>16.309999999999999</v>
      </c>
      <c r="AY62" s="246">
        <v>1.05</v>
      </c>
      <c r="AZ62" s="246">
        <v>0.87</v>
      </c>
      <c r="BA62" s="247">
        <v>0.5</v>
      </c>
      <c r="BB62" s="247">
        <v>3.1699999999999999E-2</v>
      </c>
      <c r="BC62" s="247">
        <v>-0.4577</v>
      </c>
      <c r="BD62" s="246" t="s">
        <v>384</v>
      </c>
      <c r="BE62" s="246" t="s">
        <v>384</v>
      </c>
      <c r="BF62" s="246" t="s">
        <v>384</v>
      </c>
      <c r="BG62" s="246" t="s">
        <v>384</v>
      </c>
      <c r="BH62" s="246" t="s">
        <v>384</v>
      </c>
      <c r="BI62" s="246" t="s">
        <v>384</v>
      </c>
      <c r="BJ62" s="247">
        <v>6.7100000000000007E-2</v>
      </c>
      <c r="BK62" s="247">
        <v>0.127</v>
      </c>
      <c r="BL62" s="246">
        <v>4.04</v>
      </c>
      <c r="BM62" s="247">
        <v>1.95E-2</v>
      </c>
      <c r="BN62" s="247">
        <v>4.2299999999999997E-2</v>
      </c>
      <c r="BO62" s="247">
        <v>0.12230000000000001</v>
      </c>
      <c r="BP62" s="247">
        <v>0.25</v>
      </c>
      <c r="BQ62" s="247">
        <v>0.25619999999999998</v>
      </c>
      <c r="BR62" s="246" t="s">
        <v>384</v>
      </c>
      <c r="BS62" s="248">
        <v>6.45</v>
      </c>
      <c r="BT62" s="248">
        <v>5.08</v>
      </c>
      <c r="BU62" s="248">
        <v>11</v>
      </c>
      <c r="BV62" s="248">
        <v>11</v>
      </c>
      <c r="BW62" s="248">
        <v>31.8</v>
      </c>
      <c r="BX62" s="248">
        <v>231.5</v>
      </c>
      <c r="BY62" s="248">
        <v>260.10000000000002</v>
      </c>
      <c r="BZ62" s="248">
        <v>11.3</v>
      </c>
      <c r="CA62" s="248">
        <v>12.3</v>
      </c>
      <c r="CB62" s="248">
        <v>8.18</v>
      </c>
      <c r="CC62" s="248">
        <v>4.4000000000000004</v>
      </c>
      <c r="CD62" s="248">
        <v>4.41</v>
      </c>
      <c r="CE62" s="248">
        <v>14.15</v>
      </c>
      <c r="CF62" s="247">
        <v>5.4399999999999997E-2</v>
      </c>
      <c r="CG62" s="248">
        <v>6.42</v>
      </c>
      <c r="CH62" s="247">
        <v>1.3231999999999999</v>
      </c>
      <c r="CI62" s="248">
        <v>-2.64</v>
      </c>
      <c r="CJ62" s="248">
        <v>-10.15</v>
      </c>
      <c r="CK62" s="248">
        <v>-5.75</v>
      </c>
      <c r="CL62" s="248">
        <v>75.7</v>
      </c>
      <c r="CM62" s="248">
        <v>64.400000000000006</v>
      </c>
      <c r="CN62" s="248">
        <v>82</v>
      </c>
      <c r="CO62" s="248">
        <v>191.7</v>
      </c>
      <c r="CP62" s="248">
        <v>-2.54</v>
      </c>
      <c r="CQ62" s="246">
        <v>0.53</v>
      </c>
      <c r="CR62" s="246" t="s">
        <v>384</v>
      </c>
      <c r="CS62" s="246">
        <v>0.42</v>
      </c>
      <c r="CT62" s="246" t="s">
        <v>384</v>
      </c>
      <c r="CU62" s="246" t="s">
        <v>384</v>
      </c>
      <c r="CV62" s="246" t="s">
        <v>384</v>
      </c>
      <c r="CW62" s="246" t="s">
        <v>384</v>
      </c>
      <c r="CX62" s="248">
        <v>-4.78</v>
      </c>
      <c r="CY62" s="248">
        <v>6.83</v>
      </c>
      <c r="CZ62" s="248">
        <v>1.75</v>
      </c>
      <c r="DA62" s="248">
        <v>5.08</v>
      </c>
      <c r="DB62" s="248">
        <v>80.2</v>
      </c>
      <c r="DC62" s="248">
        <v>12.3</v>
      </c>
      <c r="DD62" s="248">
        <v>200.6</v>
      </c>
      <c r="DE62" s="248">
        <v>-10.15</v>
      </c>
      <c r="DF62" s="248">
        <v>12.47</v>
      </c>
      <c r="DG62" s="248">
        <v>9.7799999999999994</v>
      </c>
      <c r="DH62" s="248">
        <v>204.17</v>
      </c>
      <c r="DI62" s="248">
        <v>14.84</v>
      </c>
      <c r="DJ62" s="247">
        <v>4.3799999999999999E-2</v>
      </c>
      <c r="DK62" s="247">
        <v>9.4600000000000004E-2</v>
      </c>
      <c r="DL62" s="246">
        <v>13.52</v>
      </c>
      <c r="DM62" s="246">
        <v>1.3</v>
      </c>
      <c r="DN62" s="246" t="s">
        <v>384</v>
      </c>
      <c r="DO62" s="246" t="s">
        <v>384</v>
      </c>
      <c r="DP62" s="246" t="s">
        <v>384</v>
      </c>
      <c r="DQ62" s="246" t="s">
        <v>1167</v>
      </c>
      <c r="DR62" s="246" t="s">
        <v>1168</v>
      </c>
      <c r="DS62" s="246" t="s">
        <v>1169</v>
      </c>
      <c r="DT62" s="246" t="e">
        <v>#REF!</v>
      </c>
      <c r="DU62" s="246" t="s">
        <v>1170</v>
      </c>
      <c r="DV62" s="246" t="s">
        <v>1171</v>
      </c>
      <c r="DW62" s="246" t="s">
        <v>1172</v>
      </c>
      <c r="DX62" s="246" t="s">
        <v>1173</v>
      </c>
      <c r="DY62" s="246" t="s">
        <v>1174</v>
      </c>
      <c r="DZ62" s="246">
        <v>6</v>
      </c>
      <c r="EA62" s="247">
        <v>0.23019999999999999</v>
      </c>
      <c r="EB62" s="247">
        <v>-0.1173</v>
      </c>
      <c r="EC62" s="247">
        <v>-4.36E-2</v>
      </c>
      <c r="ED62" s="247">
        <v>-0.4284</v>
      </c>
      <c r="EE62" s="247">
        <v>-0.40639999999999998</v>
      </c>
      <c r="EF62" s="247">
        <v>6.25E-2</v>
      </c>
      <c r="EG62" s="247">
        <v>4.3700000000000003E-2</v>
      </c>
      <c r="EH62" s="247">
        <v>4.2000000000000003E-2</v>
      </c>
      <c r="EI62" s="246" t="s">
        <v>1167</v>
      </c>
      <c r="EJ62" s="234">
        <v>11</v>
      </c>
      <c r="EK62" s="234">
        <v>10.7</v>
      </c>
      <c r="EL62" s="234" t="s">
        <v>1175</v>
      </c>
      <c r="EM62" s="234" t="s">
        <v>1176</v>
      </c>
      <c r="EN62" s="234" t="s">
        <v>1177</v>
      </c>
      <c r="EO62" s="234" t="s">
        <v>1178</v>
      </c>
      <c r="EP62" s="234" t="s">
        <v>1179</v>
      </c>
      <c r="EQ62" s="234" t="s">
        <v>1180</v>
      </c>
      <c r="ER62" s="234">
        <v>1</v>
      </c>
      <c r="ES62" s="234" t="s">
        <v>384</v>
      </c>
      <c r="ET62" s="234" t="s">
        <v>384</v>
      </c>
      <c r="EU62" s="234" t="s">
        <v>384</v>
      </c>
      <c r="EV62" s="234" t="s">
        <v>491</v>
      </c>
      <c r="EW62" s="250">
        <v>0</v>
      </c>
      <c r="EX62" s="250">
        <v>0</v>
      </c>
      <c r="EY62" s="250">
        <v>0</v>
      </c>
      <c r="EZ62" s="250">
        <v>0</v>
      </c>
      <c r="FA62" s="250">
        <v>135.1</v>
      </c>
      <c r="FB62" s="250">
        <v>147.9</v>
      </c>
      <c r="FC62" s="250">
        <v>27.9</v>
      </c>
      <c r="FD62" s="249">
        <v>0</v>
      </c>
      <c r="FE62" s="250">
        <v>0</v>
      </c>
      <c r="FF62" s="250">
        <v>2.88</v>
      </c>
    </row>
    <row r="63" spans="1:162">
      <c r="A63" s="234" t="s">
        <v>1181</v>
      </c>
      <c r="B63" s="234" t="s">
        <v>1182</v>
      </c>
      <c r="C63" s="246" t="s">
        <v>361</v>
      </c>
      <c r="D63" s="246" t="s">
        <v>362</v>
      </c>
      <c r="E63" s="246">
        <v>4210</v>
      </c>
      <c r="F63" s="246" t="s">
        <v>730</v>
      </c>
      <c r="G63" s="246" t="s">
        <v>417</v>
      </c>
      <c r="H63" s="246" t="s">
        <v>418</v>
      </c>
      <c r="I63" s="246">
        <v>0.74739999999999995</v>
      </c>
      <c r="J63" s="246">
        <v>1.0903</v>
      </c>
      <c r="K63" s="247">
        <v>5.0099999999999999E-2</v>
      </c>
      <c r="L63" s="247">
        <v>9.4100000000000003E-2</v>
      </c>
      <c r="M63" s="246" t="s">
        <v>384</v>
      </c>
      <c r="N63" s="247">
        <v>1.06E-2</v>
      </c>
      <c r="O63" s="247">
        <v>5.0099999999999999E-2</v>
      </c>
      <c r="P63" s="247">
        <v>4.0099999999999997E-2</v>
      </c>
      <c r="Q63" s="247">
        <v>7.4399999999999994E-2</v>
      </c>
      <c r="R63" s="247">
        <v>-0.1426</v>
      </c>
      <c r="S63" s="247">
        <v>-0.13339999999999999</v>
      </c>
      <c r="T63" s="248">
        <v>79.7</v>
      </c>
      <c r="U63" s="248">
        <v>0</v>
      </c>
      <c r="V63" s="248">
        <v>45.7</v>
      </c>
      <c r="W63" s="248">
        <v>45.7</v>
      </c>
      <c r="X63" s="248">
        <v>125.4</v>
      </c>
      <c r="Y63" s="248">
        <v>19.2</v>
      </c>
      <c r="Z63" s="248">
        <v>106.2</v>
      </c>
      <c r="AA63" s="247">
        <v>0.15310000000000001</v>
      </c>
      <c r="AB63" s="246">
        <v>0.24</v>
      </c>
      <c r="AC63" s="247">
        <v>0.39029999999999998</v>
      </c>
      <c r="AD63" s="247">
        <v>0.3644</v>
      </c>
      <c r="AE63" s="247">
        <v>0.6401</v>
      </c>
      <c r="AF63" s="247">
        <v>0.57340000000000002</v>
      </c>
      <c r="AG63" s="248">
        <v>0.83</v>
      </c>
      <c r="AH63" s="246">
        <v>69.06</v>
      </c>
      <c r="AI63" s="247">
        <v>-0.2102</v>
      </c>
      <c r="AJ63" s="246">
        <v>1.44</v>
      </c>
      <c r="AK63" s="247">
        <v>0.2646</v>
      </c>
      <c r="AL63" s="247">
        <v>0.2132</v>
      </c>
      <c r="AM63" s="246">
        <v>0.22</v>
      </c>
      <c r="AN63" s="233" t="s">
        <v>384</v>
      </c>
      <c r="AO63" s="246" t="s">
        <v>384</v>
      </c>
      <c r="AP63" s="246" t="s">
        <v>384</v>
      </c>
      <c r="AQ63" s="246" t="s">
        <v>384</v>
      </c>
      <c r="AR63" s="246" t="s">
        <v>384</v>
      </c>
      <c r="AS63" s="246" t="s">
        <v>384</v>
      </c>
      <c r="AT63" s="246">
        <v>1.1200000000000001</v>
      </c>
      <c r="AU63" s="246">
        <v>1.34</v>
      </c>
      <c r="AV63" s="246">
        <v>0.64</v>
      </c>
      <c r="AW63" s="246" t="s">
        <v>384</v>
      </c>
      <c r="AX63" s="246" t="s">
        <v>384</v>
      </c>
      <c r="AY63" s="246">
        <v>1.08</v>
      </c>
      <c r="AZ63" s="246">
        <v>0.86</v>
      </c>
      <c r="BA63" s="246" t="s">
        <v>384</v>
      </c>
      <c r="BB63" s="247">
        <v>1.9699999999999999E-2</v>
      </c>
      <c r="BC63" s="247">
        <v>-4.7800000000000002E-2</v>
      </c>
      <c r="BD63" s="246" t="s">
        <v>384</v>
      </c>
      <c r="BE63" s="246" t="s">
        <v>384</v>
      </c>
      <c r="BF63" s="247">
        <v>-4.8000000000000001E-2</v>
      </c>
      <c r="BG63" s="247">
        <v>-8.0000000000000004E-4</v>
      </c>
      <c r="BH63" s="246" t="s">
        <v>384</v>
      </c>
      <c r="BI63" s="246" t="s">
        <v>384</v>
      </c>
      <c r="BJ63" s="247">
        <v>-4.8500000000000001E-2</v>
      </c>
      <c r="BK63" s="247">
        <v>-5.8999999999999997E-2</v>
      </c>
      <c r="BL63" s="246">
        <v>1.59</v>
      </c>
      <c r="BM63" s="247">
        <v>-2.52E-2</v>
      </c>
      <c r="BN63" s="247">
        <v>-3.6999999999999998E-2</v>
      </c>
      <c r="BO63" s="247">
        <v>7.0099999999999996E-2</v>
      </c>
      <c r="BP63" s="247">
        <v>0.2</v>
      </c>
      <c r="BQ63" s="247">
        <v>0</v>
      </c>
      <c r="BR63" s="247">
        <v>2.2000000000000001E-3</v>
      </c>
      <c r="BS63" s="248">
        <v>-0.28000000000000003</v>
      </c>
      <c r="BT63" s="248">
        <v>-3.23</v>
      </c>
      <c r="BU63" s="248">
        <v>-4.74</v>
      </c>
      <c r="BV63" s="248">
        <v>-4.74</v>
      </c>
      <c r="BW63" s="248">
        <v>8.98</v>
      </c>
      <c r="BX63" s="248">
        <v>123.6</v>
      </c>
      <c r="BY63" s="248">
        <v>128.1</v>
      </c>
      <c r="BZ63" s="248">
        <v>2.21</v>
      </c>
      <c r="CA63" s="248">
        <v>-0.79</v>
      </c>
      <c r="CB63" s="248">
        <v>-4.74</v>
      </c>
      <c r="CC63" s="248">
        <v>8.8000000000000007</v>
      </c>
      <c r="CD63" s="248">
        <v>-0.27</v>
      </c>
      <c r="CE63" s="248">
        <v>5.64</v>
      </c>
      <c r="CF63" s="247">
        <v>4.3999999999999997E-2</v>
      </c>
      <c r="CG63" s="248">
        <v>3.06</v>
      </c>
      <c r="CH63" s="246" t="s">
        <v>384</v>
      </c>
      <c r="CI63" s="248">
        <v>-7.53</v>
      </c>
      <c r="CJ63" s="248">
        <v>-14.82</v>
      </c>
      <c r="CK63" s="248">
        <v>-6.02</v>
      </c>
      <c r="CL63" s="248">
        <v>66.599999999999994</v>
      </c>
      <c r="CM63" s="248">
        <v>80.400000000000006</v>
      </c>
      <c r="CN63" s="248">
        <v>71.400000000000006</v>
      </c>
      <c r="CO63" s="248">
        <v>97.9</v>
      </c>
      <c r="CP63" s="248">
        <v>-1.57</v>
      </c>
      <c r="CQ63" s="246">
        <v>0.47</v>
      </c>
      <c r="CR63" s="246">
        <v>0.88</v>
      </c>
      <c r="CS63" s="246">
        <v>0.42</v>
      </c>
      <c r="CT63" s="246">
        <v>0.75</v>
      </c>
      <c r="CU63" s="246">
        <v>0.53</v>
      </c>
      <c r="CV63" s="248">
        <v>4.47</v>
      </c>
      <c r="CW63" s="248">
        <v>4.6900000000000004</v>
      </c>
      <c r="CX63" s="248">
        <v>-1.57</v>
      </c>
      <c r="CY63" s="246" t="s">
        <v>384</v>
      </c>
      <c r="CZ63" s="246" t="s">
        <v>384</v>
      </c>
      <c r="DA63" s="246" t="s">
        <v>384</v>
      </c>
      <c r="DB63" s="246" t="s">
        <v>384</v>
      </c>
      <c r="DC63" s="246" t="s">
        <v>384</v>
      </c>
      <c r="DD63" s="246" t="s">
        <v>384</v>
      </c>
      <c r="DE63" s="248">
        <v>-14.82</v>
      </c>
      <c r="DF63" s="248">
        <v>0</v>
      </c>
      <c r="DG63" s="248">
        <v>-4.74</v>
      </c>
      <c r="DH63" s="248">
        <v>97.9</v>
      </c>
      <c r="DI63" s="248">
        <v>2.21</v>
      </c>
      <c r="DJ63" s="247">
        <v>-4.8500000000000001E-2</v>
      </c>
      <c r="DK63" s="247">
        <v>-5.8999999999999997E-2</v>
      </c>
      <c r="DL63" s="246">
        <v>48.05</v>
      </c>
      <c r="DM63" s="246">
        <v>3.96</v>
      </c>
      <c r="DN63" s="246">
        <v>24</v>
      </c>
      <c r="DO63" s="246">
        <v>4.47</v>
      </c>
      <c r="DP63" s="247">
        <v>7.3300000000000004E-2</v>
      </c>
      <c r="DQ63" s="246" t="s">
        <v>1183</v>
      </c>
      <c r="DR63" s="246" t="s">
        <v>1184</v>
      </c>
      <c r="DS63" s="246" t="s">
        <v>644</v>
      </c>
      <c r="DT63" s="246" t="e">
        <v>#REF!</v>
      </c>
      <c r="DU63" s="246" t="s">
        <v>388</v>
      </c>
      <c r="DV63" s="248">
        <v>-4.74</v>
      </c>
      <c r="DW63" s="246" t="s">
        <v>1185</v>
      </c>
      <c r="DX63" s="246" t="s">
        <v>1186</v>
      </c>
      <c r="DY63" s="246" t="s">
        <v>1187</v>
      </c>
      <c r="DZ63" s="246">
        <v>21</v>
      </c>
      <c r="EA63" s="247">
        <v>-0.17549999999999999</v>
      </c>
      <c r="EB63" s="247">
        <v>-3.78E-2</v>
      </c>
      <c r="EC63" s="247">
        <v>0.1249</v>
      </c>
      <c r="ED63" s="247">
        <v>-0.1575</v>
      </c>
      <c r="EE63" s="247">
        <v>-0.24809999999999999</v>
      </c>
      <c r="EF63" s="247">
        <v>-5.8099999999999999E-2</v>
      </c>
      <c r="EG63" s="247">
        <v>-3.3500000000000002E-2</v>
      </c>
      <c r="EH63" s="247">
        <v>-3.6999999999999998E-2</v>
      </c>
      <c r="EI63" s="246" t="s">
        <v>1183</v>
      </c>
      <c r="EJ63" s="234">
        <v>-4.74</v>
      </c>
      <c r="EK63" s="234">
        <v>-4.5599999999999996</v>
      </c>
      <c r="EL63" s="234" t="s">
        <v>1188</v>
      </c>
      <c r="EM63" s="234" t="s">
        <v>1189</v>
      </c>
      <c r="EN63" s="234" t="s">
        <v>1190</v>
      </c>
      <c r="EO63" s="234" t="s">
        <v>1191</v>
      </c>
      <c r="EP63" s="234" t="s">
        <v>376</v>
      </c>
      <c r="EQ63" s="234" t="s">
        <v>377</v>
      </c>
      <c r="ER63" s="234">
        <v>0</v>
      </c>
      <c r="ES63" s="249">
        <v>-2.01E-2</v>
      </c>
      <c r="ET63" s="234" t="s">
        <v>384</v>
      </c>
      <c r="EU63" s="250">
        <v>128.1</v>
      </c>
      <c r="EV63" s="234" t="s">
        <v>491</v>
      </c>
      <c r="EW63" s="250">
        <v>73.2</v>
      </c>
      <c r="EX63" s="250">
        <v>247.5</v>
      </c>
      <c r="EY63" s="250">
        <v>155.69999999999999</v>
      </c>
      <c r="EZ63" s="250">
        <v>128.1</v>
      </c>
      <c r="FA63" s="250">
        <v>106</v>
      </c>
      <c r="FB63" s="250">
        <v>83.7</v>
      </c>
      <c r="FC63" s="250">
        <v>0</v>
      </c>
      <c r="FD63" s="249">
        <v>0</v>
      </c>
      <c r="FE63" s="250">
        <v>0</v>
      </c>
      <c r="FF63" s="250">
        <v>0</v>
      </c>
    </row>
    <row r="64" spans="1:162">
      <c r="A64" s="234" t="s">
        <v>1192</v>
      </c>
      <c r="B64" s="234" t="s">
        <v>1193</v>
      </c>
      <c r="C64" s="246" t="s">
        <v>401</v>
      </c>
      <c r="D64" s="246" t="s">
        <v>362</v>
      </c>
      <c r="E64" s="246">
        <v>4210</v>
      </c>
      <c r="F64" s="246" t="s">
        <v>730</v>
      </c>
      <c r="G64" s="246" t="s">
        <v>417</v>
      </c>
      <c r="H64" s="246" t="s">
        <v>418</v>
      </c>
      <c r="I64" s="246">
        <v>0.66930000000000001</v>
      </c>
      <c r="J64" s="246">
        <v>0.77470000000000006</v>
      </c>
      <c r="K64" s="247">
        <v>5.0099999999999999E-2</v>
      </c>
      <c r="L64" s="247">
        <v>7.8299999999999995E-2</v>
      </c>
      <c r="M64" s="246" t="s">
        <v>384</v>
      </c>
      <c r="N64" s="247">
        <v>1.06E-2</v>
      </c>
      <c r="O64" s="247">
        <v>5.0099999999999999E-2</v>
      </c>
      <c r="P64" s="247">
        <v>4.0099999999999997E-2</v>
      </c>
      <c r="Q64" s="247">
        <v>7.1999999999999995E-2</v>
      </c>
      <c r="R64" s="247">
        <v>-8.2900000000000001E-2</v>
      </c>
      <c r="S64" s="247">
        <v>-6.4799999999999996E-2</v>
      </c>
      <c r="T64" s="248">
        <v>63</v>
      </c>
      <c r="U64" s="248">
        <v>0</v>
      </c>
      <c r="V64" s="248">
        <v>12.4</v>
      </c>
      <c r="W64" s="248">
        <v>12.4</v>
      </c>
      <c r="X64" s="248">
        <v>75.400000000000006</v>
      </c>
      <c r="Y64" s="248">
        <v>4.6100000000000003</v>
      </c>
      <c r="Z64" s="248">
        <v>70.790000000000006</v>
      </c>
      <c r="AA64" s="247">
        <v>6.1100000000000002E-2</v>
      </c>
      <c r="AB64" s="246">
        <v>0.27</v>
      </c>
      <c r="AC64" s="247">
        <v>0.16420000000000001</v>
      </c>
      <c r="AD64" s="247">
        <v>0.16450000000000001</v>
      </c>
      <c r="AE64" s="247">
        <v>0.19650000000000001</v>
      </c>
      <c r="AF64" s="247">
        <v>0.1968</v>
      </c>
      <c r="AG64" s="248">
        <v>0.6</v>
      </c>
      <c r="AH64" s="246">
        <v>69.06</v>
      </c>
      <c r="AI64" s="247">
        <v>-6.9099999999999995E-2</v>
      </c>
      <c r="AJ64" s="246">
        <v>1.02</v>
      </c>
      <c r="AK64" s="247">
        <v>0.2074</v>
      </c>
      <c r="AL64" s="247">
        <v>0.2049</v>
      </c>
      <c r="AM64" s="246">
        <v>0.19</v>
      </c>
      <c r="AN64" s="233">
        <v>2.02</v>
      </c>
      <c r="AO64" s="246">
        <v>15.95</v>
      </c>
      <c r="AP64" s="246" t="s">
        <v>384</v>
      </c>
      <c r="AQ64" s="246">
        <v>17.059999999999999</v>
      </c>
      <c r="AR64" s="246" t="s">
        <v>384</v>
      </c>
      <c r="AS64" s="246" t="s">
        <v>384</v>
      </c>
      <c r="AT64" s="246">
        <v>1</v>
      </c>
      <c r="AU64" s="246">
        <v>1.1000000000000001</v>
      </c>
      <c r="AV64" s="246">
        <v>1.1399999999999999</v>
      </c>
      <c r="AW64" s="246">
        <v>136.13</v>
      </c>
      <c r="AX64" s="246">
        <v>18.010000000000002</v>
      </c>
      <c r="AY64" s="246">
        <v>1</v>
      </c>
      <c r="AZ64" s="246">
        <v>1.28</v>
      </c>
      <c r="BA64" s="246" t="s">
        <v>384</v>
      </c>
      <c r="BB64" s="247">
        <v>5.4600000000000003E-2</v>
      </c>
      <c r="BC64" s="247">
        <v>-6.5299999999999997E-2</v>
      </c>
      <c r="BD64" s="246" t="s">
        <v>384</v>
      </c>
      <c r="BE64" s="246" t="s">
        <v>384</v>
      </c>
      <c r="BF64" s="247">
        <v>-0.12</v>
      </c>
      <c r="BG64" s="247">
        <v>-4.2700000000000002E-2</v>
      </c>
      <c r="BH64" s="246" t="s">
        <v>384</v>
      </c>
      <c r="BI64" s="246" t="s">
        <v>384</v>
      </c>
      <c r="BJ64" s="247">
        <v>-4.5999999999999999E-3</v>
      </c>
      <c r="BK64" s="247">
        <v>7.1999999999999998E-3</v>
      </c>
      <c r="BL64" s="246">
        <v>0.64</v>
      </c>
      <c r="BM64" s="247">
        <v>-6.1000000000000004E-3</v>
      </c>
      <c r="BN64" s="247">
        <v>1.1299999999999999E-2</v>
      </c>
      <c r="BO64" s="247">
        <v>0.1268</v>
      </c>
      <c r="BP64" s="247">
        <v>0.2</v>
      </c>
      <c r="BQ64" s="247">
        <v>0</v>
      </c>
      <c r="BR64" s="247">
        <v>4.7E-2</v>
      </c>
      <c r="BS64" s="248">
        <v>3.95</v>
      </c>
      <c r="BT64" s="248">
        <v>-0.28000000000000003</v>
      </c>
      <c r="BU64" s="248">
        <v>0.52</v>
      </c>
      <c r="BV64" s="248">
        <v>0.52</v>
      </c>
      <c r="BW64" s="248">
        <v>5.86</v>
      </c>
      <c r="BX64" s="248">
        <v>55.5</v>
      </c>
      <c r="BY64" s="248">
        <v>46.2</v>
      </c>
      <c r="BZ64" s="248">
        <v>6.04</v>
      </c>
      <c r="CA64" s="248">
        <v>3.93</v>
      </c>
      <c r="CB64" s="248">
        <v>0.52</v>
      </c>
      <c r="CC64" s="248">
        <v>3.6</v>
      </c>
      <c r="CD64" s="248">
        <v>-3.56</v>
      </c>
      <c r="CE64" s="248">
        <v>8.49</v>
      </c>
      <c r="CF64" s="247">
        <v>0.18379999999999999</v>
      </c>
      <c r="CG64" s="248">
        <v>3.28</v>
      </c>
      <c r="CH64" s="247">
        <v>-0.54620000000000002</v>
      </c>
      <c r="CI64" s="248">
        <v>0.8</v>
      </c>
      <c r="CJ64" s="248">
        <v>-3.6</v>
      </c>
      <c r="CK64" s="248">
        <v>0</v>
      </c>
      <c r="CL64" s="248">
        <v>61</v>
      </c>
      <c r="CM64" s="248">
        <v>72.08</v>
      </c>
      <c r="CN64" s="248">
        <v>63.1</v>
      </c>
      <c r="CO64" s="248">
        <v>70.89</v>
      </c>
      <c r="CP64" s="248">
        <v>-3.44</v>
      </c>
      <c r="CQ64" s="246">
        <v>0.35</v>
      </c>
      <c r="CR64" s="246">
        <v>0.57999999999999996</v>
      </c>
      <c r="CS64" s="246">
        <v>0.42</v>
      </c>
      <c r="CT64" s="246">
        <v>0.61</v>
      </c>
      <c r="CU64" s="246">
        <v>1.44</v>
      </c>
      <c r="CV64" s="248">
        <v>2.84</v>
      </c>
      <c r="CW64" s="248">
        <v>5.83</v>
      </c>
      <c r="CX64" s="248">
        <v>-3.44</v>
      </c>
      <c r="CY64" s="246" t="s">
        <v>384</v>
      </c>
      <c r="CZ64" s="246" t="s">
        <v>384</v>
      </c>
      <c r="DA64" s="246" t="s">
        <v>384</v>
      </c>
      <c r="DB64" s="246" t="s">
        <v>384</v>
      </c>
      <c r="DC64" s="248">
        <v>3.93</v>
      </c>
      <c r="DD64" s="248">
        <v>70.790000000000006</v>
      </c>
      <c r="DE64" s="248">
        <v>-3.6</v>
      </c>
      <c r="DF64" s="248">
        <v>0</v>
      </c>
      <c r="DG64" s="248">
        <v>0.52</v>
      </c>
      <c r="DH64" s="248">
        <v>70.89</v>
      </c>
      <c r="DI64" s="248">
        <v>6.04</v>
      </c>
      <c r="DJ64" s="247">
        <v>-4.5999999999999999E-3</v>
      </c>
      <c r="DK64" s="247">
        <v>7.1999999999999998E-3</v>
      </c>
      <c r="DL64" s="246">
        <v>11.72</v>
      </c>
      <c r="DM64" s="246">
        <v>3.41</v>
      </c>
      <c r="DN64" s="246">
        <v>53.66</v>
      </c>
      <c r="DO64" s="246">
        <v>2.84</v>
      </c>
      <c r="DP64" s="247">
        <v>4.5600000000000002E-2</v>
      </c>
      <c r="DQ64" s="248">
        <v>-2.2999999999999998</v>
      </c>
      <c r="DR64" s="246" t="s">
        <v>1194</v>
      </c>
      <c r="DS64" s="246" t="s">
        <v>1195</v>
      </c>
      <c r="DT64" s="246" t="e">
        <v>#REF!</v>
      </c>
      <c r="DU64" s="246" t="s">
        <v>388</v>
      </c>
      <c r="DV64" s="246" t="s">
        <v>1196</v>
      </c>
      <c r="DW64" s="246" t="s">
        <v>853</v>
      </c>
      <c r="DX64" s="246" t="s">
        <v>853</v>
      </c>
      <c r="DY64" s="246" t="s">
        <v>1197</v>
      </c>
      <c r="DZ64" s="246">
        <v>47</v>
      </c>
      <c r="EA64" s="247">
        <v>-0.1016</v>
      </c>
      <c r="EB64" s="247">
        <v>8.0399999999999999E-2</v>
      </c>
      <c r="EC64" s="247">
        <v>-0.14499999999999999</v>
      </c>
      <c r="ED64" s="247">
        <v>-7.0800000000000002E-2</v>
      </c>
      <c r="EE64" s="247">
        <v>-0.22889999999999999</v>
      </c>
      <c r="EF64" s="247">
        <v>-0.1283</v>
      </c>
      <c r="EG64" s="247">
        <v>2.2100000000000002E-2</v>
      </c>
      <c r="EH64" s="247">
        <v>1.0999999999999999E-2</v>
      </c>
      <c r="EI64" s="248">
        <v>-2.2999999999999998</v>
      </c>
      <c r="EJ64" s="234">
        <v>0.52</v>
      </c>
      <c r="EK64" s="234">
        <v>1.17</v>
      </c>
      <c r="EL64" s="234" t="s">
        <v>1198</v>
      </c>
      <c r="EM64" s="234" t="s">
        <v>1199</v>
      </c>
      <c r="EN64" s="234" t="s">
        <v>1200</v>
      </c>
      <c r="EO64" s="234" t="s">
        <v>1201</v>
      </c>
      <c r="EP64" s="234" t="s">
        <v>376</v>
      </c>
      <c r="EQ64" s="234" t="s">
        <v>377</v>
      </c>
      <c r="ER64" s="234">
        <v>0</v>
      </c>
      <c r="ES64" s="249">
        <v>-5.7700000000000001E-2</v>
      </c>
      <c r="ET64" s="234" t="s">
        <v>384</v>
      </c>
      <c r="EU64" s="250">
        <v>46.2</v>
      </c>
      <c r="EV64" s="234" t="s">
        <v>491</v>
      </c>
      <c r="EW64" s="250">
        <v>31.8</v>
      </c>
      <c r="EX64" s="250">
        <v>94.4</v>
      </c>
      <c r="EY64" s="250">
        <v>74.099999999999994</v>
      </c>
      <c r="EZ64" s="250">
        <v>75.3</v>
      </c>
      <c r="FA64" s="250">
        <v>81.7</v>
      </c>
      <c r="FB64" s="250">
        <v>67.400000000000006</v>
      </c>
      <c r="FC64" s="250">
        <v>6.13</v>
      </c>
      <c r="FD64" s="249">
        <v>0</v>
      </c>
      <c r="FE64" s="250">
        <v>0</v>
      </c>
      <c r="FF64" s="250">
        <v>0</v>
      </c>
    </row>
    <row r="65" spans="1:162">
      <c r="A65" s="234" t="s">
        <v>1202</v>
      </c>
      <c r="B65" s="234" t="s">
        <v>1203</v>
      </c>
      <c r="C65" s="246" t="s">
        <v>401</v>
      </c>
      <c r="D65" s="246" t="s">
        <v>362</v>
      </c>
      <c r="E65" s="246">
        <v>4210</v>
      </c>
      <c r="F65" s="246" t="s">
        <v>494</v>
      </c>
      <c r="G65" s="246" t="s">
        <v>494</v>
      </c>
      <c r="H65" s="246" t="s">
        <v>494</v>
      </c>
      <c r="I65" s="246">
        <v>0.66930000000000001</v>
      </c>
      <c r="J65" s="246">
        <v>1.462</v>
      </c>
      <c r="K65" s="247">
        <v>5.1400000000000001E-2</v>
      </c>
      <c r="L65" s="247">
        <v>0.11459999999999999</v>
      </c>
      <c r="M65" s="246" t="s">
        <v>384</v>
      </c>
      <c r="N65" s="247">
        <v>1.15E-2</v>
      </c>
      <c r="O65" s="247">
        <v>5.0999999999999997E-2</v>
      </c>
      <c r="P65" s="247">
        <v>3.5799999999999998E-2</v>
      </c>
      <c r="Q65" s="247">
        <v>6.5199999999999994E-2</v>
      </c>
      <c r="R65" s="247">
        <v>-6.59E-2</v>
      </c>
      <c r="S65" s="247">
        <v>-4.1399999999999999E-2</v>
      </c>
      <c r="T65" s="248">
        <v>54.1</v>
      </c>
      <c r="U65" s="248">
        <v>0</v>
      </c>
      <c r="V65" s="248">
        <v>91.2</v>
      </c>
      <c r="W65" s="248">
        <v>91.2</v>
      </c>
      <c r="X65" s="248">
        <v>145.30000000000001</v>
      </c>
      <c r="Y65" s="248">
        <v>50.7</v>
      </c>
      <c r="Z65" s="248">
        <v>94.6</v>
      </c>
      <c r="AA65" s="247">
        <v>0.34889999999999999</v>
      </c>
      <c r="AB65" s="246">
        <v>0.25</v>
      </c>
      <c r="AC65" s="247">
        <v>0.35830000000000001</v>
      </c>
      <c r="AD65" s="247">
        <v>0.62770000000000004</v>
      </c>
      <c r="AE65" s="247">
        <v>0.5585</v>
      </c>
      <c r="AF65" s="247">
        <v>1.6858</v>
      </c>
      <c r="AG65" s="248">
        <v>26.78</v>
      </c>
      <c r="AH65" s="246">
        <v>24.3</v>
      </c>
      <c r="AI65" s="247">
        <v>9.5799999999999996E-2</v>
      </c>
      <c r="AJ65" s="246">
        <v>0.65</v>
      </c>
      <c r="AK65" s="247">
        <v>0.26079999999999998</v>
      </c>
      <c r="AL65" s="247">
        <v>0.17530000000000001</v>
      </c>
      <c r="AM65" s="246">
        <v>0.2</v>
      </c>
      <c r="AN65" s="233">
        <v>6.31</v>
      </c>
      <c r="AO65" s="246">
        <v>8.4700000000000006</v>
      </c>
      <c r="AP65" s="246">
        <v>6.99</v>
      </c>
      <c r="AQ65" s="246">
        <v>8.85</v>
      </c>
      <c r="AR65" s="246" t="s">
        <v>384</v>
      </c>
      <c r="AS65" s="246" t="s">
        <v>384</v>
      </c>
      <c r="AT65" s="246">
        <v>0.33</v>
      </c>
      <c r="AU65" s="246">
        <v>0.3</v>
      </c>
      <c r="AV65" s="246">
        <v>0.21</v>
      </c>
      <c r="AW65" s="246">
        <v>13.03</v>
      </c>
      <c r="AX65" s="246">
        <v>5.0599999999999996</v>
      </c>
      <c r="AY65" s="246">
        <v>0.46</v>
      </c>
      <c r="AZ65" s="246">
        <v>0.37</v>
      </c>
      <c r="BA65" s="247">
        <v>0.12920000000000001</v>
      </c>
      <c r="BB65" s="247">
        <v>1.8499999999999999E-2</v>
      </c>
      <c r="BC65" s="247">
        <v>0.23230000000000001</v>
      </c>
      <c r="BD65" s="247">
        <v>-1.03E-2</v>
      </c>
      <c r="BE65" s="247">
        <v>0.151</v>
      </c>
      <c r="BF65" s="247">
        <v>-2.8999999999999998E-3</v>
      </c>
      <c r="BG65" s="247">
        <v>-6.1999999999999998E-3</v>
      </c>
      <c r="BH65" s="246" t="s">
        <v>384</v>
      </c>
      <c r="BI65" s="246" t="s">
        <v>384</v>
      </c>
      <c r="BJ65" s="247">
        <v>4.87E-2</v>
      </c>
      <c r="BK65" s="247">
        <v>2.3800000000000002E-2</v>
      </c>
      <c r="BL65" s="246">
        <v>1.24</v>
      </c>
      <c r="BM65" s="247">
        <v>2.9600000000000001E-2</v>
      </c>
      <c r="BN65" s="247">
        <v>2.7799999999999998E-2</v>
      </c>
      <c r="BO65" s="247">
        <v>7.5399999999999995E-2</v>
      </c>
      <c r="BP65" s="247">
        <v>0.2974</v>
      </c>
      <c r="BQ65" s="247">
        <v>0.30980000000000002</v>
      </c>
      <c r="BR65" s="247">
        <v>0.14499999999999999</v>
      </c>
      <c r="BS65" s="248">
        <v>6.39</v>
      </c>
      <c r="BT65" s="248">
        <v>7.74</v>
      </c>
      <c r="BU65" s="248">
        <v>7.26</v>
      </c>
      <c r="BV65" s="248">
        <v>7.26</v>
      </c>
      <c r="BW65" s="248">
        <v>19.7</v>
      </c>
      <c r="BX65" s="248">
        <v>256.10000000000002</v>
      </c>
      <c r="BY65" s="248">
        <v>261.39999999999998</v>
      </c>
      <c r="BZ65" s="248">
        <v>17.399999999999999</v>
      </c>
      <c r="CA65" s="248">
        <v>18.7</v>
      </c>
      <c r="CB65" s="248">
        <v>5.01</v>
      </c>
      <c r="CC65" s="248">
        <v>3.9</v>
      </c>
      <c r="CD65" s="248">
        <v>-3.57</v>
      </c>
      <c r="CE65" s="248">
        <v>8</v>
      </c>
      <c r="CF65" s="247">
        <v>3.0599999999999999E-2</v>
      </c>
      <c r="CG65" s="248">
        <v>12.07</v>
      </c>
      <c r="CH65" s="247">
        <v>1.6978</v>
      </c>
      <c r="CI65" s="248">
        <v>-3.5</v>
      </c>
      <c r="CJ65" s="248">
        <v>-4.67</v>
      </c>
      <c r="CK65" s="248">
        <v>-0.77</v>
      </c>
      <c r="CL65" s="248">
        <v>158.9</v>
      </c>
      <c r="CM65" s="248">
        <v>210.8</v>
      </c>
      <c r="CN65" s="248">
        <v>163.30000000000001</v>
      </c>
      <c r="CO65" s="248">
        <v>203.8</v>
      </c>
      <c r="CP65" s="248">
        <v>-1</v>
      </c>
      <c r="CQ65" s="246">
        <v>0.38</v>
      </c>
      <c r="CR65" s="246">
        <v>7.0000000000000007E-2</v>
      </c>
      <c r="CS65" s="246">
        <v>0.43</v>
      </c>
      <c r="CT65" s="246">
        <v>0.34</v>
      </c>
      <c r="CU65" s="246">
        <v>0.31</v>
      </c>
      <c r="CV65" s="248">
        <v>11.47</v>
      </c>
      <c r="CW65" s="248">
        <v>11.47</v>
      </c>
      <c r="CX65" s="248">
        <v>-1</v>
      </c>
      <c r="CY65" s="248">
        <v>11.2</v>
      </c>
      <c r="CZ65" s="248">
        <v>3.47</v>
      </c>
      <c r="DA65" s="248">
        <v>7.74</v>
      </c>
      <c r="DB65" s="248">
        <v>54.1</v>
      </c>
      <c r="DC65" s="248">
        <v>18.7</v>
      </c>
      <c r="DD65" s="248">
        <v>94.6</v>
      </c>
      <c r="DE65" s="248">
        <v>-4.67</v>
      </c>
      <c r="DF65" s="248">
        <v>0</v>
      </c>
      <c r="DG65" s="248">
        <v>7.26</v>
      </c>
      <c r="DH65" s="248">
        <v>203.8</v>
      </c>
      <c r="DI65" s="248">
        <v>17.399999999999999</v>
      </c>
      <c r="DJ65" s="247">
        <v>4.87E-2</v>
      </c>
      <c r="DK65" s="247">
        <v>2.3800000000000002E-2</v>
      </c>
      <c r="DL65" s="246">
        <v>5.44</v>
      </c>
      <c r="DM65" s="246">
        <v>0.33</v>
      </c>
      <c r="DN65" s="246">
        <v>219.9</v>
      </c>
      <c r="DO65" s="246">
        <v>11.47</v>
      </c>
      <c r="DP65" s="247">
        <v>5.4199999999999998E-2</v>
      </c>
      <c r="DQ65" s="248">
        <v>-7</v>
      </c>
      <c r="DR65" s="246" t="s">
        <v>1204</v>
      </c>
      <c r="DS65" s="246" t="s">
        <v>1205</v>
      </c>
      <c r="DT65" s="246" t="e">
        <v>#REF!</v>
      </c>
      <c r="DU65" s="246" t="s">
        <v>388</v>
      </c>
      <c r="DV65" s="246" t="s">
        <v>1206</v>
      </c>
      <c r="DW65" s="246" t="s">
        <v>1207</v>
      </c>
      <c r="DX65" s="246" t="s">
        <v>745</v>
      </c>
      <c r="DY65" s="246" t="s">
        <v>1208</v>
      </c>
      <c r="DZ65" s="246">
        <v>77</v>
      </c>
      <c r="EA65" s="247">
        <v>0.23080000000000001</v>
      </c>
      <c r="EB65" s="247">
        <v>2.3699999999999999E-2</v>
      </c>
      <c r="EC65" s="247">
        <v>3.7900000000000003E-2</v>
      </c>
      <c r="ED65" s="247">
        <v>9.74E-2</v>
      </c>
      <c r="EE65" s="247">
        <v>0.435</v>
      </c>
      <c r="EF65" s="247">
        <v>-2.1700000000000001E-2</v>
      </c>
      <c r="EG65" s="247">
        <v>2.52E-2</v>
      </c>
      <c r="EH65" s="247">
        <v>2.8000000000000001E-2</v>
      </c>
      <c r="EI65" s="248">
        <v>-7</v>
      </c>
      <c r="EJ65" s="234">
        <v>7.26</v>
      </c>
      <c r="EK65" s="234">
        <v>6.74</v>
      </c>
      <c r="EL65" s="234" t="s">
        <v>1209</v>
      </c>
      <c r="EM65" s="234" t="s">
        <v>1210</v>
      </c>
      <c r="EN65" s="234" t="s">
        <v>1211</v>
      </c>
      <c r="EO65" s="234" t="s">
        <v>1212</v>
      </c>
      <c r="EP65" s="234" t="s">
        <v>376</v>
      </c>
      <c r="EQ65" s="234" t="s">
        <v>377</v>
      </c>
      <c r="ER65" s="234">
        <v>1</v>
      </c>
      <c r="ES65" s="249">
        <v>-7.3700000000000002E-2</v>
      </c>
      <c r="ET65" s="234" t="s">
        <v>384</v>
      </c>
      <c r="EU65" s="250">
        <v>261.39999999999998</v>
      </c>
      <c r="EV65" s="234" t="s">
        <v>491</v>
      </c>
      <c r="EW65" s="250">
        <v>39.5</v>
      </c>
      <c r="EX65" s="250">
        <v>51.4</v>
      </c>
      <c r="EY65" s="250">
        <v>41</v>
      </c>
      <c r="EZ65" s="250">
        <v>42.9</v>
      </c>
      <c r="FA65" s="250">
        <v>37.700000000000003</v>
      </c>
      <c r="FB65" s="250">
        <v>43.9</v>
      </c>
      <c r="FC65" s="250">
        <v>35</v>
      </c>
      <c r="FD65" s="249">
        <v>0</v>
      </c>
      <c r="FE65" s="250">
        <v>0</v>
      </c>
      <c r="FF65" s="250">
        <v>0</v>
      </c>
    </row>
    <row r="66" spans="1:162">
      <c r="A66" s="234" t="s">
        <v>1213</v>
      </c>
      <c r="B66" s="234" t="s">
        <v>1214</v>
      </c>
      <c r="C66" s="246" t="s">
        <v>361</v>
      </c>
      <c r="D66" s="246" t="s">
        <v>362</v>
      </c>
      <c r="E66" s="246">
        <v>4210</v>
      </c>
      <c r="F66" s="246" t="s">
        <v>509</v>
      </c>
      <c r="G66" s="246" t="s">
        <v>417</v>
      </c>
      <c r="H66" s="246" t="s">
        <v>509</v>
      </c>
      <c r="I66" s="246">
        <v>0.74739999999999995</v>
      </c>
      <c r="J66" s="246">
        <v>0.75770000000000004</v>
      </c>
      <c r="K66" s="247">
        <v>5.1400000000000001E-2</v>
      </c>
      <c r="L66" s="247">
        <v>7.8399999999999997E-2</v>
      </c>
      <c r="M66" s="246" t="s">
        <v>384</v>
      </c>
      <c r="N66" s="247">
        <v>5.6899999999999999E-2</v>
      </c>
      <c r="O66" s="247">
        <v>9.64E-2</v>
      </c>
      <c r="P66" s="247">
        <v>7.2300000000000003E-2</v>
      </c>
      <c r="Q66" s="247">
        <v>7.8299999999999995E-2</v>
      </c>
      <c r="R66" s="247">
        <v>-0.1953</v>
      </c>
      <c r="S66" s="247">
        <v>-0.1656</v>
      </c>
      <c r="T66" s="248">
        <v>53.1</v>
      </c>
      <c r="U66" s="248">
        <v>0</v>
      </c>
      <c r="V66" s="248">
        <v>0.98</v>
      </c>
      <c r="W66" s="248">
        <v>0.98</v>
      </c>
      <c r="X66" s="248">
        <v>54.08</v>
      </c>
      <c r="Y66" s="248">
        <v>17.3</v>
      </c>
      <c r="Z66" s="248">
        <v>36.78</v>
      </c>
      <c r="AA66" s="247">
        <v>0.31990000000000002</v>
      </c>
      <c r="AB66" s="246">
        <v>0.21</v>
      </c>
      <c r="AC66" s="247">
        <v>3.5499999999999997E-2</v>
      </c>
      <c r="AD66" s="247">
        <v>1.7999999999999999E-2</v>
      </c>
      <c r="AE66" s="247">
        <v>3.6799999999999999E-2</v>
      </c>
      <c r="AF66" s="247">
        <v>1.84E-2</v>
      </c>
      <c r="AG66" s="248">
        <v>0.08</v>
      </c>
      <c r="AH66" s="246">
        <v>69.06</v>
      </c>
      <c r="AI66" s="247">
        <v>-0.61629999999999996</v>
      </c>
      <c r="AJ66" s="246">
        <v>4.45</v>
      </c>
      <c r="AK66" s="247">
        <v>0.18970000000000001</v>
      </c>
      <c r="AL66" s="247">
        <v>0.99929999999999997</v>
      </c>
      <c r="AM66" s="246">
        <v>0.65</v>
      </c>
      <c r="AN66" s="233" t="s">
        <v>384</v>
      </c>
      <c r="AO66" s="246" t="s">
        <v>384</v>
      </c>
      <c r="AP66" s="246" t="s">
        <v>384</v>
      </c>
      <c r="AQ66" s="246" t="s">
        <v>384</v>
      </c>
      <c r="AR66" s="246" t="s">
        <v>384</v>
      </c>
      <c r="AS66" s="246" t="s">
        <v>384</v>
      </c>
      <c r="AT66" s="246">
        <v>2</v>
      </c>
      <c r="AU66" s="246">
        <v>0.18</v>
      </c>
      <c r="AV66" s="246">
        <v>1.51</v>
      </c>
      <c r="AW66" s="246" t="s">
        <v>384</v>
      </c>
      <c r="AX66" s="246" t="s">
        <v>384</v>
      </c>
      <c r="AY66" s="246">
        <v>3.61</v>
      </c>
      <c r="AZ66" s="246">
        <v>1.05</v>
      </c>
      <c r="BA66" s="246" t="s">
        <v>384</v>
      </c>
      <c r="BB66" s="247">
        <v>0</v>
      </c>
      <c r="BC66" s="247">
        <v>14.994</v>
      </c>
      <c r="BD66" s="246" t="s">
        <v>384</v>
      </c>
      <c r="BE66" s="246" t="s">
        <v>384</v>
      </c>
      <c r="BF66" s="247">
        <v>0.19</v>
      </c>
      <c r="BG66" s="247">
        <v>0.13500000000000001</v>
      </c>
      <c r="BH66" s="246" t="s">
        <v>384</v>
      </c>
      <c r="BI66" s="246" t="s">
        <v>384</v>
      </c>
      <c r="BJ66" s="247">
        <v>-0.1168</v>
      </c>
      <c r="BK66" s="247">
        <v>-8.72E-2</v>
      </c>
      <c r="BL66" s="246">
        <v>2.58</v>
      </c>
      <c r="BM66" s="247">
        <v>-4.7199999999999999E-2</v>
      </c>
      <c r="BN66" s="247">
        <v>-3.3799999999999997E-2</v>
      </c>
      <c r="BO66" s="247">
        <v>0.1105</v>
      </c>
      <c r="BP66" s="247">
        <v>0.25</v>
      </c>
      <c r="BQ66" s="247">
        <v>0</v>
      </c>
      <c r="BR66" s="246" t="s">
        <v>384</v>
      </c>
      <c r="BS66" s="248">
        <v>-3.39</v>
      </c>
      <c r="BT66" s="248">
        <v>-2.29</v>
      </c>
      <c r="BU66" s="248">
        <v>-1.64</v>
      </c>
      <c r="BV66" s="248">
        <v>-1.64</v>
      </c>
      <c r="BW66" s="248">
        <v>5.36</v>
      </c>
      <c r="BX66" s="248">
        <v>35.1</v>
      </c>
      <c r="BY66" s="248">
        <v>48.5</v>
      </c>
      <c r="BZ66" s="248">
        <v>-3.32</v>
      </c>
      <c r="CA66" s="248">
        <v>-1.46</v>
      </c>
      <c r="CB66" s="248">
        <v>-1.64</v>
      </c>
      <c r="CC66" s="248">
        <v>1.54</v>
      </c>
      <c r="CD66" s="248">
        <v>1.82</v>
      </c>
      <c r="CE66" s="248">
        <v>3.37</v>
      </c>
      <c r="CF66" s="247">
        <v>6.9500000000000006E-2</v>
      </c>
      <c r="CG66" s="248">
        <v>-1.01</v>
      </c>
      <c r="CH66" s="246" t="s">
        <v>384</v>
      </c>
      <c r="CI66" s="248">
        <v>-2.4500000000000002</v>
      </c>
      <c r="CJ66" s="248">
        <v>-4.6399999999999997</v>
      </c>
      <c r="CK66" s="248">
        <v>-3.1</v>
      </c>
      <c r="CL66" s="248">
        <v>19.600000000000001</v>
      </c>
      <c r="CM66" s="248">
        <v>18.8</v>
      </c>
      <c r="CN66" s="248">
        <v>26.5</v>
      </c>
      <c r="CO66" s="248">
        <v>10.18</v>
      </c>
      <c r="CP66" s="248">
        <v>0</v>
      </c>
      <c r="CQ66" s="246">
        <v>1.58</v>
      </c>
      <c r="CR66" s="246">
        <v>2.46</v>
      </c>
      <c r="CS66" s="246">
        <v>0.42</v>
      </c>
      <c r="CT66" s="246">
        <v>1.1100000000000001</v>
      </c>
      <c r="CU66" s="246">
        <v>1.28</v>
      </c>
      <c r="CV66" s="248">
        <v>0.93</v>
      </c>
      <c r="CW66" s="248">
        <v>0.02</v>
      </c>
      <c r="CX66" s="248">
        <v>0</v>
      </c>
      <c r="CY66" s="246" t="s">
        <v>384</v>
      </c>
      <c r="CZ66" s="246" t="s">
        <v>384</v>
      </c>
      <c r="DA66" s="246" t="s">
        <v>384</v>
      </c>
      <c r="DB66" s="246" t="s">
        <v>384</v>
      </c>
      <c r="DC66" s="246" t="s">
        <v>384</v>
      </c>
      <c r="DD66" s="246" t="s">
        <v>384</v>
      </c>
      <c r="DE66" s="246" t="s">
        <v>384</v>
      </c>
      <c r="DF66" s="248">
        <v>0</v>
      </c>
      <c r="DG66" s="248">
        <v>-1.64</v>
      </c>
      <c r="DH66" s="248">
        <v>10.18</v>
      </c>
      <c r="DI66" s="248">
        <v>-3.32</v>
      </c>
      <c r="DJ66" s="247">
        <v>-0.1168</v>
      </c>
      <c r="DK66" s="247">
        <v>-8.72E-2</v>
      </c>
      <c r="DL66" s="246" t="s">
        <v>384</v>
      </c>
      <c r="DM66" s="246">
        <v>1.19</v>
      </c>
      <c r="DN66" s="246" t="s">
        <v>384</v>
      </c>
      <c r="DO66" s="246">
        <v>0.93</v>
      </c>
      <c r="DP66" s="246" t="s">
        <v>384</v>
      </c>
      <c r="DQ66" s="248">
        <v>-9.6300000000000008</v>
      </c>
      <c r="DR66" s="246" t="s">
        <v>1215</v>
      </c>
      <c r="DS66" s="246" t="s">
        <v>1022</v>
      </c>
      <c r="DT66" s="246" t="e">
        <v>#REF!</v>
      </c>
      <c r="DU66" s="246" t="s">
        <v>1216</v>
      </c>
      <c r="DV66" s="248">
        <v>-1.64</v>
      </c>
      <c r="DW66" s="246" t="s">
        <v>1217</v>
      </c>
      <c r="DX66" s="246" t="s">
        <v>1122</v>
      </c>
      <c r="DY66" s="246" t="s">
        <v>1218</v>
      </c>
      <c r="DZ66" s="246">
        <v>24</v>
      </c>
      <c r="EA66" s="247">
        <v>-0.2054</v>
      </c>
      <c r="EB66" s="247">
        <v>6.6635999999999997</v>
      </c>
      <c r="EC66" s="247">
        <v>0.72360000000000002</v>
      </c>
      <c r="ED66" s="247">
        <v>0.25240000000000001</v>
      </c>
      <c r="EE66" s="247">
        <v>12.143599999999999</v>
      </c>
      <c r="EF66" s="247">
        <v>0.16589999999999999</v>
      </c>
      <c r="EG66" s="247">
        <v>-6.1800000000000001E-2</v>
      </c>
      <c r="EH66" s="247">
        <v>-3.4000000000000002E-2</v>
      </c>
      <c r="EI66" s="248">
        <v>-9.6300000000000008</v>
      </c>
      <c r="EJ66" s="234">
        <v>-1.64</v>
      </c>
      <c r="EK66" s="234">
        <v>-2.57</v>
      </c>
      <c r="EL66" s="234" t="s">
        <v>1219</v>
      </c>
      <c r="EM66" s="234" t="s">
        <v>1220</v>
      </c>
      <c r="EN66" s="234" t="s">
        <v>1221</v>
      </c>
      <c r="EO66" s="234" t="s">
        <v>1222</v>
      </c>
      <c r="EP66" s="234" t="s">
        <v>1223</v>
      </c>
      <c r="EQ66" s="234" t="s">
        <v>1224</v>
      </c>
      <c r="ER66" s="234">
        <v>0</v>
      </c>
      <c r="ES66" s="249">
        <v>0.113</v>
      </c>
      <c r="ET66" s="234" t="s">
        <v>384</v>
      </c>
      <c r="EU66" s="250">
        <v>48.5</v>
      </c>
      <c r="EV66" s="234" t="s">
        <v>491</v>
      </c>
      <c r="EW66" s="250">
        <v>0</v>
      </c>
      <c r="EX66" s="250">
        <v>36.1</v>
      </c>
      <c r="EY66" s="250">
        <v>39.6</v>
      </c>
      <c r="EZ66" s="250">
        <v>23.2</v>
      </c>
      <c r="FA66" s="250">
        <v>4.04</v>
      </c>
      <c r="FB66" s="250">
        <v>3.32</v>
      </c>
      <c r="FC66" s="250">
        <v>0</v>
      </c>
      <c r="FD66" s="249">
        <v>0</v>
      </c>
      <c r="FE66" s="250">
        <v>0</v>
      </c>
      <c r="FF66" s="250">
        <v>0</v>
      </c>
    </row>
    <row r="67" spans="1:162">
      <c r="A67" s="234" t="s">
        <v>1225</v>
      </c>
      <c r="B67" s="234" t="s">
        <v>1226</v>
      </c>
      <c r="C67" s="246" t="s">
        <v>401</v>
      </c>
      <c r="D67" s="246" t="s">
        <v>362</v>
      </c>
      <c r="E67" s="246">
        <v>4210</v>
      </c>
      <c r="F67" s="246" t="s">
        <v>642</v>
      </c>
      <c r="G67" s="246" t="s">
        <v>417</v>
      </c>
      <c r="H67" s="246" t="s">
        <v>642</v>
      </c>
      <c r="I67" s="246">
        <v>0.66930000000000001</v>
      </c>
      <c r="J67" s="246">
        <v>0.66930000000000001</v>
      </c>
      <c r="K67" s="247">
        <v>7.0800000000000002E-2</v>
      </c>
      <c r="L67" s="247">
        <v>8.6900000000000005E-2</v>
      </c>
      <c r="M67" s="246" t="s">
        <v>384</v>
      </c>
      <c r="N67" s="247">
        <v>2.98E-2</v>
      </c>
      <c r="O67" s="247">
        <v>6.93E-2</v>
      </c>
      <c r="P67" s="247">
        <v>4.8500000000000001E-2</v>
      </c>
      <c r="Q67" s="247">
        <v>8.6900000000000005E-2</v>
      </c>
      <c r="R67" s="247">
        <v>3.2199999999999999E-2</v>
      </c>
      <c r="S67" s="247">
        <v>2.2200000000000001E-2</v>
      </c>
      <c r="T67" s="248">
        <v>51.6</v>
      </c>
      <c r="U67" s="248">
        <v>0</v>
      </c>
      <c r="V67" s="248">
        <v>0</v>
      </c>
      <c r="W67" s="248">
        <v>0</v>
      </c>
      <c r="X67" s="248">
        <v>51.6</v>
      </c>
      <c r="Y67" s="248">
        <v>0</v>
      </c>
      <c r="Z67" s="248">
        <v>51.6</v>
      </c>
      <c r="AA67" s="247">
        <v>0</v>
      </c>
      <c r="AB67" s="246">
        <v>0.65</v>
      </c>
      <c r="AC67" s="246" t="s">
        <v>384</v>
      </c>
      <c r="AD67" s="247">
        <v>0</v>
      </c>
      <c r="AE67" s="246" t="s">
        <v>384</v>
      </c>
      <c r="AF67" s="247">
        <v>0</v>
      </c>
      <c r="AG67" s="248">
        <v>0.53</v>
      </c>
      <c r="AH67" s="246">
        <v>69.06</v>
      </c>
      <c r="AI67" s="246" t="s">
        <v>384</v>
      </c>
      <c r="AJ67" s="246">
        <v>-1.45</v>
      </c>
      <c r="AK67" s="247">
        <v>0.13420000000000001</v>
      </c>
      <c r="AL67" s="246" t="s">
        <v>384</v>
      </c>
      <c r="AM67" s="246">
        <v>0.43</v>
      </c>
      <c r="AN67" s="233">
        <v>3.54</v>
      </c>
      <c r="AO67" s="246">
        <v>91.81</v>
      </c>
      <c r="AP67" s="246">
        <v>65.569999999999993</v>
      </c>
      <c r="AQ67" s="246">
        <v>62.34</v>
      </c>
      <c r="AR67" s="246" t="s">
        <v>384</v>
      </c>
      <c r="AS67" s="246" t="s">
        <v>384</v>
      </c>
      <c r="AT67" s="246" t="s">
        <v>384</v>
      </c>
      <c r="AU67" s="246">
        <v>4.1900000000000004</v>
      </c>
      <c r="AV67" s="246">
        <v>2.82</v>
      </c>
      <c r="AW67" s="246">
        <v>36.6</v>
      </c>
      <c r="AX67" s="246">
        <v>35.340000000000003</v>
      </c>
      <c r="AY67" s="246" t="s">
        <v>384</v>
      </c>
      <c r="AZ67" s="246">
        <v>2.82</v>
      </c>
      <c r="BA67" s="247">
        <v>0</v>
      </c>
      <c r="BB67" s="247">
        <v>0</v>
      </c>
      <c r="BC67" s="247">
        <v>0.79169999999999996</v>
      </c>
      <c r="BD67" s="247">
        <v>0.70199999999999996</v>
      </c>
      <c r="BE67" s="247">
        <v>0.56999999999999995</v>
      </c>
      <c r="BF67" s="247">
        <v>0.1</v>
      </c>
      <c r="BG67" s="247">
        <v>0.154</v>
      </c>
      <c r="BH67" s="246" t="s">
        <v>384</v>
      </c>
      <c r="BI67" s="246" t="s">
        <v>384</v>
      </c>
      <c r="BJ67" s="247">
        <v>0.1191</v>
      </c>
      <c r="BK67" s="247">
        <v>0.1091</v>
      </c>
      <c r="BL67" s="246">
        <v>1.89</v>
      </c>
      <c r="BM67" s="247">
        <v>4.3999999999999997E-2</v>
      </c>
      <c r="BN67" s="247">
        <v>7.8799999999999995E-2</v>
      </c>
      <c r="BO67" s="247">
        <v>9.3299999999999994E-2</v>
      </c>
      <c r="BP67" s="247">
        <v>0.3</v>
      </c>
      <c r="BQ67" s="247">
        <v>0.26860000000000001</v>
      </c>
      <c r="BR67" s="246" t="s">
        <v>384</v>
      </c>
      <c r="BS67" s="248">
        <v>0.56000000000000005</v>
      </c>
      <c r="BT67" s="248">
        <v>0.79</v>
      </c>
      <c r="BU67" s="248">
        <v>1.41</v>
      </c>
      <c r="BV67" s="248">
        <v>1.41</v>
      </c>
      <c r="BW67" s="248">
        <v>1.67</v>
      </c>
      <c r="BX67" s="248">
        <v>18.3</v>
      </c>
      <c r="BY67" s="248">
        <v>17.899999999999999</v>
      </c>
      <c r="BZ67" s="248">
        <v>1.07</v>
      </c>
      <c r="CA67" s="248">
        <v>1.46</v>
      </c>
      <c r="CB67" s="248">
        <v>1.03</v>
      </c>
      <c r="CC67" s="248">
        <v>0</v>
      </c>
      <c r="CD67" s="248">
        <v>0</v>
      </c>
      <c r="CE67" s="248">
        <v>0</v>
      </c>
      <c r="CF67" s="247">
        <v>0</v>
      </c>
      <c r="CG67" s="248">
        <v>-0.04</v>
      </c>
      <c r="CH67" s="247">
        <v>-4.1700000000000001E-2</v>
      </c>
      <c r="CI67" s="248">
        <v>1.07</v>
      </c>
      <c r="CJ67" s="248">
        <v>0.83</v>
      </c>
      <c r="CK67" s="248">
        <v>0.83</v>
      </c>
      <c r="CL67" s="248">
        <v>6.61</v>
      </c>
      <c r="CM67" s="248">
        <v>9.4499999999999993</v>
      </c>
      <c r="CN67" s="248">
        <v>0</v>
      </c>
      <c r="CO67" s="248">
        <v>0</v>
      </c>
      <c r="CP67" s="248">
        <v>0</v>
      </c>
      <c r="CQ67" s="246">
        <v>-0.59</v>
      </c>
      <c r="CR67" s="246">
        <v>-0.65</v>
      </c>
      <c r="CS67" s="246">
        <v>0.42</v>
      </c>
      <c r="CT67" s="246" t="s">
        <v>384</v>
      </c>
      <c r="CU67" s="246" t="s">
        <v>384</v>
      </c>
      <c r="CV67" s="246" t="s">
        <v>384</v>
      </c>
      <c r="CW67" s="246" t="s">
        <v>384</v>
      </c>
      <c r="CX67" s="248">
        <v>0</v>
      </c>
      <c r="CY67" s="248">
        <v>1.02</v>
      </c>
      <c r="CZ67" s="248">
        <v>0.27</v>
      </c>
      <c r="DA67" s="248">
        <v>0.79</v>
      </c>
      <c r="DB67" s="248">
        <v>51.6</v>
      </c>
      <c r="DC67" s="248">
        <v>1.46</v>
      </c>
      <c r="DD67" s="248">
        <v>51.6</v>
      </c>
      <c r="DE67" s="246" t="s">
        <v>384</v>
      </c>
      <c r="DF67" s="248">
        <v>0</v>
      </c>
      <c r="DG67" s="248">
        <v>1.41</v>
      </c>
      <c r="DH67" s="248">
        <v>0</v>
      </c>
      <c r="DI67" s="248">
        <v>1.07</v>
      </c>
      <c r="DJ67" s="247">
        <v>0.1191</v>
      </c>
      <c r="DK67" s="247">
        <v>0.1091</v>
      </c>
      <c r="DL67" s="246">
        <v>48.22</v>
      </c>
      <c r="DM67" s="246">
        <v>0.04</v>
      </c>
      <c r="DN67" s="246">
        <v>4.38</v>
      </c>
      <c r="DO67" s="246" t="s">
        <v>384</v>
      </c>
      <c r="DP67" s="246" t="s">
        <v>384</v>
      </c>
      <c r="DQ67" s="248">
        <v>-2.98</v>
      </c>
      <c r="DR67" s="246" t="s">
        <v>644</v>
      </c>
      <c r="DS67" s="246" t="s">
        <v>644</v>
      </c>
      <c r="DT67" s="246" t="e">
        <v>#REF!</v>
      </c>
      <c r="DU67" s="246" t="s">
        <v>388</v>
      </c>
      <c r="DV67" s="246" t="s">
        <v>1227</v>
      </c>
      <c r="DW67" s="246" t="s">
        <v>1228</v>
      </c>
      <c r="DX67" s="246" t="s">
        <v>1073</v>
      </c>
      <c r="DY67" s="246" t="s">
        <v>377</v>
      </c>
      <c r="DZ67" s="246">
        <v>10</v>
      </c>
      <c r="EA67" s="247">
        <v>-3.8199999999999998E-2</v>
      </c>
      <c r="EB67" s="247">
        <v>0.27800000000000002</v>
      </c>
      <c r="EC67" s="247">
        <v>0.30509999999999998</v>
      </c>
      <c r="ED67" s="247">
        <v>0.1169</v>
      </c>
      <c r="EE67" s="247">
        <v>0.79169999999999996</v>
      </c>
      <c r="EF67" s="247">
        <v>-2.7199999999999998E-2</v>
      </c>
      <c r="EG67" s="247">
        <v>6.7400000000000002E-2</v>
      </c>
      <c r="EH67" s="247">
        <v>7.9000000000000001E-2</v>
      </c>
      <c r="EI67" s="248">
        <v>-2.98</v>
      </c>
      <c r="EJ67" s="234">
        <v>1.41</v>
      </c>
      <c r="EK67" s="234">
        <v>1.24</v>
      </c>
      <c r="EL67" s="234" t="s">
        <v>1229</v>
      </c>
      <c r="EM67" s="234" t="s">
        <v>1230</v>
      </c>
      <c r="EN67" s="234" t="s">
        <v>1231</v>
      </c>
      <c r="EO67" s="234" t="s">
        <v>1232</v>
      </c>
      <c r="EP67" s="234" t="s">
        <v>376</v>
      </c>
      <c r="EQ67" s="234" t="s">
        <v>377</v>
      </c>
      <c r="ER67" s="234">
        <v>1</v>
      </c>
      <c r="ES67" s="249">
        <v>0.10630000000000001</v>
      </c>
      <c r="ET67" s="234" t="s">
        <v>384</v>
      </c>
      <c r="EU67" s="250">
        <v>17.899999999999999</v>
      </c>
      <c r="EV67" s="234" t="s">
        <v>491</v>
      </c>
      <c r="EW67" s="250">
        <v>0</v>
      </c>
      <c r="EX67" s="250">
        <v>2.63</v>
      </c>
      <c r="EY67" s="250">
        <v>10.6</v>
      </c>
      <c r="EZ67" s="250">
        <v>0</v>
      </c>
      <c r="FA67" s="250">
        <v>28.8</v>
      </c>
      <c r="FB67" s="250">
        <v>28.8</v>
      </c>
      <c r="FC67" s="250">
        <v>0</v>
      </c>
      <c r="FD67" s="249">
        <v>0</v>
      </c>
      <c r="FE67" s="250">
        <v>0</v>
      </c>
      <c r="FF67" s="250">
        <v>0</v>
      </c>
    </row>
    <row r="68" spans="1:162">
      <c r="A68" s="234" t="s">
        <v>1233</v>
      </c>
      <c r="B68" s="234" t="s">
        <v>1234</v>
      </c>
      <c r="C68" s="246" t="s">
        <v>401</v>
      </c>
      <c r="D68" s="246" t="s">
        <v>362</v>
      </c>
      <c r="E68" s="246">
        <v>4210</v>
      </c>
      <c r="F68" s="246" t="s">
        <v>626</v>
      </c>
      <c r="G68" s="246" t="s">
        <v>417</v>
      </c>
      <c r="H68" s="246" t="s">
        <v>509</v>
      </c>
      <c r="I68" s="246">
        <v>0.66930000000000001</v>
      </c>
      <c r="J68" s="246">
        <v>0.71699999999999997</v>
      </c>
      <c r="K68" s="247">
        <v>5.0099999999999999E-2</v>
      </c>
      <c r="L68" s="247">
        <v>7.5399999999999995E-2</v>
      </c>
      <c r="M68" s="246" t="s">
        <v>384</v>
      </c>
      <c r="N68" s="247">
        <v>1.6199999999999999E-2</v>
      </c>
      <c r="O68" s="247">
        <v>5.57E-2</v>
      </c>
      <c r="P68" s="247">
        <v>4.65E-2</v>
      </c>
      <c r="Q68" s="247">
        <v>7.3099999999999998E-2</v>
      </c>
      <c r="R68" s="247">
        <v>1.2999999999999999E-2</v>
      </c>
      <c r="S68" s="247">
        <v>6.3E-3</v>
      </c>
      <c r="T68" s="248">
        <v>51.3</v>
      </c>
      <c r="U68" s="248">
        <v>0.05</v>
      </c>
      <c r="V68" s="248">
        <v>4.33</v>
      </c>
      <c r="W68" s="248">
        <v>4.38</v>
      </c>
      <c r="X68" s="248">
        <v>55.68</v>
      </c>
      <c r="Y68" s="248">
        <v>0.46</v>
      </c>
      <c r="Z68" s="248">
        <v>55.22</v>
      </c>
      <c r="AA68" s="247">
        <v>8.2000000000000007E-3</v>
      </c>
      <c r="AB68" s="246">
        <v>3.34</v>
      </c>
      <c r="AC68" s="247">
        <v>0.2117</v>
      </c>
      <c r="AD68" s="247">
        <v>7.8600000000000003E-2</v>
      </c>
      <c r="AE68" s="247">
        <v>0.26860000000000001</v>
      </c>
      <c r="AF68" s="247">
        <v>8.5300000000000001E-2</v>
      </c>
      <c r="AG68" s="248">
        <v>1.25</v>
      </c>
      <c r="AH68" s="246">
        <v>69.06</v>
      </c>
      <c r="AI68" s="246" t="s">
        <v>384</v>
      </c>
      <c r="AJ68" s="246" t="s">
        <v>384</v>
      </c>
      <c r="AK68" s="246" t="s">
        <v>384</v>
      </c>
      <c r="AL68" s="246" t="s">
        <v>384</v>
      </c>
      <c r="AM68" s="246">
        <v>0.74</v>
      </c>
      <c r="AN68" s="233">
        <v>22.02</v>
      </c>
      <c r="AO68" s="246">
        <v>43.11</v>
      </c>
      <c r="AP68" s="246">
        <v>27.88</v>
      </c>
      <c r="AQ68" s="246">
        <v>0</v>
      </c>
      <c r="AR68" s="246" t="s">
        <v>384</v>
      </c>
      <c r="AS68" s="246" t="s">
        <v>384</v>
      </c>
      <c r="AT68" s="246">
        <v>3.15</v>
      </c>
      <c r="AU68" s="246">
        <v>0</v>
      </c>
      <c r="AV68" s="246">
        <v>0.55000000000000004</v>
      </c>
      <c r="AW68" s="246">
        <v>19.93</v>
      </c>
      <c r="AX68" s="246">
        <v>18.16</v>
      </c>
      <c r="AY68" s="246">
        <v>2.73</v>
      </c>
      <c r="AZ68" s="246">
        <v>0.59</v>
      </c>
      <c r="BA68" s="247">
        <v>3.4129999999999998</v>
      </c>
      <c r="BB68" s="247">
        <v>0.12239999999999999</v>
      </c>
      <c r="BC68" s="246" t="s">
        <v>384</v>
      </c>
      <c r="BD68" s="246" t="s">
        <v>384</v>
      </c>
      <c r="BE68" s="246" t="s">
        <v>384</v>
      </c>
      <c r="BF68" s="246" t="s">
        <v>384</v>
      </c>
      <c r="BG68" s="246" t="s">
        <v>384</v>
      </c>
      <c r="BH68" s="246" t="s">
        <v>384</v>
      </c>
      <c r="BI68" s="246" t="s">
        <v>384</v>
      </c>
      <c r="BJ68" s="247">
        <v>8.8499999999999995E-2</v>
      </c>
      <c r="BK68" s="247">
        <v>7.9399999999999998E-2</v>
      </c>
      <c r="BL68" s="246">
        <v>4.03</v>
      </c>
      <c r="BM68" s="247">
        <v>1.8499999999999999E-2</v>
      </c>
      <c r="BN68" s="247">
        <v>2.7900000000000001E-2</v>
      </c>
      <c r="BO68" s="247">
        <v>5.0299999999999997E-2</v>
      </c>
      <c r="BP68" s="247">
        <v>0.16500000000000001</v>
      </c>
      <c r="BQ68" s="247">
        <v>0.29349999999999998</v>
      </c>
      <c r="BR68" s="247">
        <v>5.9999999999999995E-4</v>
      </c>
      <c r="BS68" s="248">
        <v>1.19</v>
      </c>
      <c r="BT68" s="248">
        <v>1.84</v>
      </c>
      <c r="BU68" s="248">
        <v>2.73</v>
      </c>
      <c r="BV68" s="248">
        <v>2.77</v>
      </c>
      <c r="BW68" s="248">
        <v>5</v>
      </c>
      <c r="BX68" s="248">
        <v>92.9</v>
      </c>
      <c r="BY68" s="248">
        <v>99.4</v>
      </c>
      <c r="BZ68" s="248">
        <v>1.83</v>
      </c>
      <c r="CA68" s="248">
        <v>3.04</v>
      </c>
      <c r="CB68" s="248">
        <v>1.96</v>
      </c>
      <c r="CC68" s="248">
        <v>0.49</v>
      </c>
      <c r="CD68" s="248">
        <v>-0.5</v>
      </c>
      <c r="CE68" s="248">
        <v>12.02</v>
      </c>
      <c r="CF68" s="247">
        <v>0.12089999999999999</v>
      </c>
      <c r="CG68" s="248">
        <v>0.05</v>
      </c>
      <c r="CH68" s="247">
        <v>-0.23139999999999999</v>
      </c>
      <c r="CI68" s="248">
        <v>2.41</v>
      </c>
      <c r="CJ68" s="248">
        <v>1.8</v>
      </c>
      <c r="CK68" s="248">
        <v>2.29</v>
      </c>
      <c r="CL68" s="248">
        <v>20.8</v>
      </c>
      <c r="CM68" s="248">
        <v>24.66</v>
      </c>
      <c r="CN68" s="248">
        <v>16.3</v>
      </c>
      <c r="CO68" s="248">
        <v>20.22</v>
      </c>
      <c r="CP68" s="248">
        <v>-6.28</v>
      </c>
      <c r="CQ68" s="246" t="s">
        <v>384</v>
      </c>
      <c r="CR68" s="246" t="s">
        <v>384</v>
      </c>
      <c r="CS68" s="246">
        <v>0.42</v>
      </c>
      <c r="CT68" s="246" t="s">
        <v>384</v>
      </c>
      <c r="CU68" s="246" t="s">
        <v>384</v>
      </c>
      <c r="CV68" s="246" t="s">
        <v>384</v>
      </c>
      <c r="CW68" s="246" t="s">
        <v>384</v>
      </c>
      <c r="CX68" s="248">
        <v>-6.28</v>
      </c>
      <c r="CY68" s="248">
        <v>2.61</v>
      </c>
      <c r="CZ68" s="248">
        <v>0.77</v>
      </c>
      <c r="DA68" s="248">
        <v>1.84</v>
      </c>
      <c r="DB68" s="248">
        <v>51.3</v>
      </c>
      <c r="DC68" s="248">
        <v>3.04</v>
      </c>
      <c r="DD68" s="248">
        <v>55.22</v>
      </c>
      <c r="DE68" s="248">
        <v>1.8</v>
      </c>
      <c r="DF68" s="248">
        <v>0</v>
      </c>
      <c r="DG68" s="248">
        <v>2.77</v>
      </c>
      <c r="DH68" s="248">
        <v>20.22</v>
      </c>
      <c r="DI68" s="248">
        <v>1.83</v>
      </c>
      <c r="DJ68" s="247">
        <v>8.8499999999999995E-2</v>
      </c>
      <c r="DK68" s="247">
        <v>7.9399999999999998E-2</v>
      </c>
      <c r="DL68" s="246">
        <v>30.18</v>
      </c>
      <c r="DM68" s="246">
        <v>0.26</v>
      </c>
      <c r="DN68" s="246" t="s">
        <v>384</v>
      </c>
      <c r="DO68" s="246" t="s">
        <v>384</v>
      </c>
      <c r="DP68" s="246" t="s">
        <v>384</v>
      </c>
      <c r="DQ68" s="248">
        <v>-1.53</v>
      </c>
      <c r="DR68" s="246" t="s">
        <v>1235</v>
      </c>
      <c r="DS68" s="246" t="s">
        <v>1236</v>
      </c>
      <c r="DT68" s="246" t="e">
        <v>#REF!</v>
      </c>
      <c r="DU68" s="246" t="s">
        <v>388</v>
      </c>
      <c r="DV68" s="246" t="s">
        <v>1237</v>
      </c>
      <c r="DW68" s="246" t="s">
        <v>1123</v>
      </c>
      <c r="DX68" s="246" t="s">
        <v>388</v>
      </c>
      <c r="DY68" s="246" t="s">
        <v>1238</v>
      </c>
      <c r="DZ68" s="246">
        <v>3</v>
      </c>
      <c r="EA68" s="246" t="s">
        <v>384</v>
      </c>
      <c r="EB68" s="246" t="s">
        <v>384</v>
      </c>
      <c r="EC68" s="246" t="s">
        <v>384</v>
      </c>
      <c r="ED68" s="246" t="s">
        <v>384</v>
      </c>
      <c r="EE68" s="246" t="s">
        <v>384</v>
      </c>
      <c r="EF68" s="247">
        <v>3.7600000000000001E-2</v>
      </c>
      <c r="EG68" s="247">
        <v>2.2200000000000001E-2</v>
      </c>
      <c r="EH68" s="247">
        <v>2.8000000000000001E-2</v>
      </c>
      <c r="EI68" s="248">
        <v>-1.53</v>
      </c>
      <c r="EJ68" s="234">
        <v>2.73</v>
      </c>
      <c r="EK68" s="234">
        <v>2.13</v>
      </c>
      <c r="EL68" s="234" t="s">
        <v>377</v>
      </c>
      <c r="EM68" s="234" t="s">
        <v>377</v>
      </c>
      <c r="EN68" s="234" t="s">
        <v>377</v>
      </c>
      <c r="EO68" s="234" t="s">
        <v>377</v>
      </c>
      <c r="EP68" s="234" t="s">
        <v>376</v>
      </c>
      <c r="EQ68" s="234" t="s">
        <v>377</v>
      </c>
      <c r="ER68" s="234">
        <v>1</v>
      </c>
      <c r="ES68" s="234" t="s">
        <v>384</v>
      </c>
      <c r="ET68" s="234" t="s">
        <v>384</v>
      </c>
      <c r="EU68" s="234" t="s">
        <v>384</v>
      </c>
      <c r="EV68" s="234" t="s">
        <v>491</v>
      </c>
      <c r="EW68" s="250">
        <v>0</v>
      </c>
      <c r="EX68" s="250">
        <v>0</v>
      </c>
      <c r="EY68" s="250">
        <v>0</v>
      </c>
      <c r="EZ68" s="250">
        <v>0</v>
      </c>
      <c r="FA68" s="250">
        <v>0</v>
      </c>
      <c r="FB68" s="250">
        <v>0</v>
      </c>
      <c r="FC68" s="250">
        <v>4.33</v>
      </c>
      <c r="FD68" s="249">
        <v>0</v>
      </c>
      <c r="FE68" s="250">
        <v>0</v>
      </c>
      <c r="FF68" s="250">
        <v>4.33</v>
      </c>
    </row>
    <row r="69" spans="1:162">
      <c r="A69" s="234" t="s">
        <v>1239</v>
      </c>
      <c r="B69" s="234" t="s">
        <v>1240</v>
      </c>
      <c r="C69" s="246" t="s">
        <v>361</v>
      </c>
      <c r="D69" s="246" t="s">
        <v>362</v>
      </c>
      <c r="E69" s="246">
        <v>4210</v>
      </c>
      <c r="F69" s="246" t="s">
        <v>1241</v>
      </c>
      <c r="G69" s="246" t="s">
        <v>382</v>
      </c>
      <c r="H69" s="246" t="s">
        <v>383</v>
      </c>
      <c r="I69" s="246">
        <v>0.74739999999999995</v>
      </c>
      <c r="J69" s="246">
        <v>0.80549999999999999</v>
      </c>
      <c r="K69" s="247">
        <v>5.33E-2</v>
      </c>
      <c r="L69" s="247">
        <v>8.2400000000000001E-2</v>
      </c>
      <c r="M69" s="246" t="s">
        <v>384</v>
      </c>
      <c r="N69" s="247">
        <v>1.2699999999999999E-2</v>
      </c>
      <c r="O69" s="247">
        <v>5.2200000000000003E-2</v>
      </c>
      <c r="P69" s="247">
        <v>3.39E-2</v>
      </c>
      <c r="Q69" s="247">
        <v>7.7299999999999994E-2</v>
      </c>
      <c r="R69" s="247">
        <v>4.6899999999999997E-2</v>
      </c>
      <c r="S69" s="247">
        <v>7.2700000000000001E-2</v>
      </c>
      <c r="T69" s="248">
        <v>48.1</v>
      </c>
      <c r="U69" s="248">
        <v>0.77</v>
      </c>
      <c r="V69" s="248">
        <v>4.9800000000000004</v>
      </c>
      <c r="W69" s="248">
        <v>5.75</v>
      </c>
      <c r="X69" s="248">
        <v>53.85</v>
      </c>
      <c r="Y69" s="248">
        <v>9.8699999999999992</v>
      </c>
      <c r="Z69" s="248">
        <v>43.98</v>
      </c>
      <c r="AA69" s="247">
        <v>0.18329999999999999</v>
      </c>
      <c r="AB69" s="246">
        <v>0.03</v>
      </c>
      <c r="AC69" s="247">
        <v>0.1215</v>
      </c>
      <c r="AD69" s="247">
        <v>0.10680000000000001</v>
      </c>
      <c r="AE69" s="247">
        <v>0.13830000000000001</v>
      </c>
      <c r="AF69" s="247">
        <v>0.1196</v>
      </c>
      <c r="AG69" s="248">
        <v>0.6</v>
      </c>
      <c r="AH69" s="246">
        <v>50.04</v>
      </c>
      <c r="AI69" s="246" t="s">
        <v>384</v>
      </c>
      <c r="AJ69" s="246">
        <v>0.09</v>
      </c>
      <c r="AK69" s="247">
        <v>5.4800000000000001E-2</v>
      </c>
      <c r="AL69" s="247">
        <v>0.23</v>
      </c>
      <c r="AM69" s="246">
        <v>0.14000000000000001</v>
      </c>
      <c r="AN69" s="233">
        <v>56.08</v>
      </c>
      <c r="AO69" s="246">
        <v>10.19</v>
      </c>
      <c r="AP69" s="246">
        <v>10.19</v>
      </c>
      <c r="AQ69" s="246">
        <v>13.37</v>
      </c>
      <c r="AR69" s="246" t="s">
        <v>384</v>
      </c>
      <c r="AS69" s="246" t="s">
        <v>384</v>
      </c>
      <c r="AT69" s="246">
        <v>1.1599999999999999</v>
      </c>
      <c r="AU69" s="246">
        <v>1.21</v>
      </c>
      <c r="AV69" s="246">
        <v>0.96</v>
      </c>
      <c r="AW69" s="246">
        <v>5.53</v>
      </c>
      <c r="AX69" s="246">
        <v>4.53</v>
      </c>
      <c r="AY69" s="246">
        <v>1.18</v>
      </c>
      <c r="AZ69" s="246">
        <v>0.88</v>
      </c>
      <c r="BA69" s="247">
        <v>0.4788</v>
      </c>
      <c r="BB69" s="247">
        <v>4.7E-2</v>
      </c>
      <c r="BC69" s="247">
        <v>0.1535</v>
      </c>
      <c r="BD69" s="247">
        <v>1.476</v>
      </c>
      <c r="BE69" s="247">
        <v>0.17899999999999999</v>
      </c>
      <c r="BF69" s="247">
        <v>0.106</v>
      </c>
      <c r="BG69" s="247">
        <v>4.5900000000000003E-2</v>
      </c>
      <c r="BH69" s="246" t="s">
        <v>384</v>
      </c>
      <c r="BI69" s="246" t="s">
        <v>384</v>
      </c>
      <c r="BJ69" s="247">
        <v>0.1293</v>
      </c>
      <c r="BK69" s="247">
        <v>0.14990000000000001</v>
      </c>
      <c r="BL69" s="246">
        <v>1.47</v>
      </c>
      <c r="BM69" s="247">
        <v>9.4200000000000006E-2</v>
      </c>
      <c r="BN69" s="247">
        <v>0.15870000000000001</v>
      </c>
      <c r="BO69" s="247">
        <v>1</v>
      </c>
      <c r="BP69" s="247">
        <v>0.35</v>
      </c>
      <c r="BQ69" s="247">
        <v>0.35549999999999998</v>
      </c>
      <c r="BR69" s="247">
        <v>2.6499999999999999E-2</v>
      </c>
      <c r="BS69" s="248">
        <v>4.72</v>
      </c>
      <c r="BT69" s="248">
        <v>4.72</v>
      </c>
      <c r="BU69" s="248">
        <v>7.29</v>
      </c>
      <c r="BV69" s="248">
        <v>7.95</v>
      </c>
      <c r="BW69" s="248">
        <v>50.1</v>
      </c>
      <c r="BX69" s="248">
        <v>50.1</v>
      </c>
      <c r="BY69" s="248">
        <v>50.1</v>
      </c>
      <c r="BZ69" s="248">
        <v>8.89</v>
      </c>
      <c r="CA69" s="248">
        <v>9.6999999999999993</v>
      </c>
      <c r="CB69" s="248">
        <v>5.12</v>
      </c>
      <c r="CC69" s="248">
        <v>0.46</v>
      </c>
      <c r="CD69" s="248">
        <v>0</v>
      </c>
      <c r="CE69" s="248">
        <v>-0.01</v>
      </c>
      <c r="CF69" s="247">
        <v>-2.9999999999999997E-4</v>
      </c>
      <c r="CG69" s="248">
        <v>-0.85</v>
      </c>
      <c r="CH69" s="247">
        <v>-0.16589999999999999</v>
      </c>
      <c r="CI69" s="248">
        <v>5.97</v>
      </c>
      <c r="CJ69" s="248">
        <v>5.1100000000000003</v>
      </c>
      <c r="CK69" s="248">
        <v>5.57</v>
      </c>
      <c r="CL69" s="248">
        <v>36.5</v>
      </c>
      <c r="CM69" s="248">
        <v>34.17</v>
      </c>
      <c r="CN69" s="248">
        <v>41.6</v>
      </c>
      <c r="CO69" s="248">
        <v>37.409999999999997</v>
      </c>
      <c r="CP69" s="248">
        <v>-2.2599999999999998</v>
      </c>
      <c r="CQ69" s="246">
        <v>0.11</v>
      </c>
      <c r="CR69" s="246">
        <v>-0.06</v>
      </c>
      <c r="CS69" s="246">
        <v>0.55000000000000004</v>
      </c>
      <c r="CT69" s="246">
        <v>0.33</v>
      </c>
      <c r="CU69" s="246">
        <v>0.35</v>
      </c>
      <c r="CV69" s="248">
        <v>2.97</v>
      </c>
      <c r="CW69" s="248">
        <v>1.91</v>
      </c>
      <c r="CX69" s="248">
        <v>-2.2599999999999998</v>
      </c>
      <c r="CY69" s="248">
        <v>7.51</v>
      </c>
      <c r="CZ69" s="248">
        <v>2.67</v>
      </c>
      <c r="DA69" s="248">
        <v>4.72</v>
      </c>
      <c r="DB69" s="248">
        <v>48.1</v>
      </c>
      <c r="DC69" s="248">
        <v>9.6999999999999993</v>
      </c>
      <c r="DD69" s="248">
        <v>43.98</v>
      </c>
      <c r="DE69" s="248">
        <v>5.1100000000000003</v>
      </c>
      <c r="DF69" s="248">
        <v>0</v>
      </c>
      <c r="DG69" s="248">
        <v>7.95</v>
      </c>
      <c r="DH69" s="248">
        <v>37.409999999999997</v>
      </c>
      <c r="DI69" s="248">
        <v>8.89</v>
      </c>
      <c r="DJ69" s="247">
        <v>0.1293</v>
      </c>
      <c r="DK69" s="247">
        <v>0.14990000000000001</v>
      </c>
      <c r="DL69" s="246">
        <v>4.95</v>
      </c>
      <c r="DM69" s="246">
        <v>2.89</v>
      </c>
      <c r="DN69" s="246">
        <v>14.99</v>
      </c>
      <c r="DO69" s="246">
        <v>2.97</v>
      </c>
      <c r="DP69" s="247">
        <v>0.1135</v>
      </c>
      <c r="DQ69" s="246" t="s">
        <v>1242</v>
      </c>
      <c r="DR69" s="246" t="s">
        <v>1243</v>
      </c>
      <c r="DS69" s="246" t="s">
        <v>644</v>
      </c>
      <c r="DT69" s="246" t="e">
        <v>#REF!</v>
      </c>
      <c r="DU69" s="246" t="s">
        <v>388</v>
      </c>
      <c r="DV69" s="246" t="s">
        <v>1244</v>
      </c>
      <c r="DW69" s="246" t="s">
        <v>1245</v>
      </c>
      <c r="DX69" s="246" t="s">
        <v>1246</v>
      </c>
      <c r="DY69" s="246" t="s">
        <v>1247</v>
      </c>
      <c r="DZ69" s="246">
        <v>22</v>
      </c>
      <c r="EA69" s="247">
        <v>-8.9499999999999996E-2</v>
      </c>
      <c r="EB69" s="246" t="s">
        <v>384</v>
      </c>
      <c r="EC69" s="246" t="s">
        <v>384</v>
      </c>
      <c r="ED69" s="247">
        <v>0.21460000000000001</v>
      </c>
      <c r="EE69" s="247">
        <v>0.23019999999999999</v>
      </c>
      <c r="EF69" s="247">
        <v>2.24E-2</v>
      </c>
      <c r="EG69" s="247">
        <v>0.13689999999999999</v>
      </c>
      <c r="EH69" s="247">
        <v>0.159</v>
      </c>
      <c r="EI69" s="246" t="s">
        <v>1242</v>
      </c>
      <c r="EJ69" s="234">
        <v>7.29</v>
      </c>
      <c r="EK69" s="234">
        <v>6.71</v>
      </c>
      <c r="EL69" s="234" t="s">
        <v>1248</v>
      </c>
      <c r="EM69" s="234" t="s">
        <v>1249</v>
      </c>
      <c r="EN69" s="234" t="s">
        <v>377</v>
      </c>
      <c r="EO69" s="234" t="s">
        <v>1250</v>
      </c>
      <c r="EP69" s="234" t="s">
        <v>1251</v>
      </c>
      <c r="EQ69" s="234" t="s">
        <v>1252</v>
      </c>
      <c r="ER69" s="234">
        <v>1</v>
      </c>
      <c r="ES69" s="249">
        <v>2.8199999999999999E-2</v>
      </c>
      <c r="ET69" s="234" t="s">
        <v>384</v>
      </c>
      <c r="EU69" s="250">
        <v>50.1</v>
      </c>
      <c r="EV69" s="234" t="s">
        <v>491</v>
      </c>
      <c r="EW69" s="250">
        <v>77.8</v>
      </c>
      <c r="EX69" s="250">
        <v>0</v>
      </c>
      <c r="EY69" s="250">
        <v>43.9</v>
      </c>
      <c r="EZ69" s="250">
        <v>40.299999999999997</v>
      </c>
      <c r="FA69" s="250">
        <v>39.1</v>
      </c>
      <c r="FB69" s="250">
        <v>41.7</v>
      </c>
      <c r="FC69" s="250">
        <v>0</v>
      </c>
      <c r="FD69" s="249">
        <v>0</v>
      </c>
      <c r="FE69" s="250">
        <v>0</v>
      </c>
      <c r="FF69" s="250">
        <v>0</v>
      </c>
    </row>
    <row r="70" spans="1:162">
      <c r="A70" s="234" t="s">
        <v>1253</v>
      </c>
      <c r="B70" s="234" t="s">
        <v>1254</v>
      </c>
      <c r="C70" s="246" t="s">
        <v>401</v>
      </c>
      <c r="D70" s="246" t="s">
        <v>362</v>
      </c>
      <c r="E70" s="246">
        <v>4210</v>
      </c>
      <c r="F70" s="246" t="s">
        <v>494</v>
      </c>
      <c r="G70" s="246" t="s">
        <v>494</v>
      </c>
      <c r="H70" s="246" t="s">
        <v>494</v>
      </c>
      <c r="I70" s="246">
        <v>0.66930000000000001</v>
      </c>
      <c r="J70" s="246">
        <v>0.75580000000000003</v>
      </c>
      <c r="K70" s="247">
        <v>5.1400000000000001E-2</v>
      </c>
      <c r="L70" s="247">
        <v>7.8299999999999995E-2</v>
      </c>
      <c r="M70" s="246" t="s">
        <v>384</v>
      </c>
      <c r="N70" s="247">
        <v>1.15E-2</v>
      </c>
      <c r="O70" s="247">
        <v>5.0999999999999997E-2</v>
      </c>
      <c r="P70" s="247">
        <v>3.5799999999999998E-2</v>
      </c>
      <c r="Q70" s="247">
        <v>7.17E-2</v>
      </c>
      <c r="R70" s="247">
        <v>-6.0600000000000001E-2</v>
      </c>
      <c r="S70" s="247">
        <v>-5.5E-2</v>
      </c>
      <c r="T70" s="248">
        <v>43.4</v>
      </c>
      <c r="U70" s="248">
        <v>3.31</v>
      </c>
      <c r="V70" s="248">
        <v>4.67</v>
      </c>
      <c r="W70" s="248">
        <v>7.98</v>
      </c>
      <c r="X70" s="248">
        <v>51.38</v>
      </c>
      <c r="Y70" s="248">
        <v>30.3</v>
      </c>
      <c r="Z70" s="248">
        <v>21.08</v>
      </c>
      <c r="AA70" s="247">
        <v>0.5897</v>
      </c>
      <c r="AB70" s="246">
        <v>0.35</v>
      </c>
      <c r="AC70" s="247">
        <v>5.3900000000000003E-2</v>
      </c>
      <c r="AD70" s="247">
        <v>0.15540000000000001</v>
      </c>
      <c r="AE70" s="247">
        <v>5.6899999999999999E-2</v>
      </c>
      <c r="AF70" s="247">
        <v>0.184</v>
      </c>
      <c r="AG70" s="248">
        <v>7.7</v>
      </c>
      <c r="AH70" s="246">
        <v>24.3</v>
      </c>
      <c r="AI70" s="247">
        <v>2.5999999999999999E-2</v>
      </c>
      <c r="AJ70" s="246">
        <v>0.59</v>
      </c>
      <c r="AK70" s="247">
        <v>0.17030000000000001</v>
      </c>
      <c r="AL70" s="247">
        <v>0.19239999999999999</v>
      </c>
      <c r="AM70" s="246">
        <v>0.25</v>
      </c>
      <c r="AN70" s="233">
        <v>17.16</v>
      </c>
      <c r="AO70" s="246">
        <v>61.91</v>
      </c>
      <c r="AP70" s="246">
        <v>17.43</v>
      </c>
      <c r="AQ70" s="246" t="s">
        <v>384</v>
      </c>
      <c r="AR70" s="246" t="s">
        <v>384</v>
      </c>
      <c r="AS70" s="246" t="s">
        <v>384</v>
      </c>
      <c r="AT70" s="246">
        <v>0.31</v>
      </c>
      <c r="AU70" s="246">
        <v>0.24</v>
      </c>
      <c r="AV70" s="246">
        <v>0.63</v>
      </c>
      <c r="AW70" s="246">
        <v>6.79</v>
      </c>
      <c r="AX70" s="246">
        <v>2.5099999999999998</v>
      </c>
      <c r="AY70" s="246">
        <v>0.18</v>
      </c>
      <c r="AZ70" s="246">
        <v>0.3</v>
      </c>
      <c r="BA70" s="247">
        <v>0.23330000000000001</v>
      </c>
      <c r="BB70" s="247">
        <v>1.34E-2</v>
      </c>
      <c r="BC70" s="247">
        <v>0.3866</v>
      </c>
      <c r="BD70" s="247">
        <v>0.13400000000000001</v>
      </c>
      <c r="BE70" s="247">
        <v>-1.9900000000000001E-2</v>
      </c>
      <c r="BF70" s="247">
        <v>-9.2999999999999992E-3</v>
      </c>
      <c r="BG70" s="247">
        <v>-7.3700000000000002E-2</v>
      </c>
      <c r="BH70" s="246" t="s">
        <v>384</v>
      </c>
      <c r="BI70" s="246" t="s">
        <v>384</v>
      </c>
      <c r="BJ70" s="247">
        <v>1.78E-2</v>
      </c>
      <c r="BK70" s="247">
        <v>1.67E-2</v>
      </c>
      <c r="BL70" s="246">
        <v>0.59</v>
      </c>
      <c r="BM70" s="247">
        <v>3.6499999999999998E-2</v>
      </c>
      <c r="BN70" s="247">
        <v>4.5499999999999999E-2</v>
      </c>
      <c r="BO70" s="247">
        <v>0.1132</v>
      </c>
      <c r="BP70" s="247">
        <v>0.2974</v>
      </c>
      <c r="BQ70" s="247">
        <v>0.37559999999999999</v>
      </c>
      <c r="BR70" s="247">
        <v>6.0400000000000002E-2</v>
      </c>
      <c r="BS70" s="248">
        <v>0.7</v>
      </c>
      <c r="BT70" s="248">
        <v>2.4900000000000002</v>
      </c>
      <c r="BU70" s="248">
        <v>1.51</v>
      </c>
      <c r="BV70" s="248">
        <v>3.11</v>
      </c>
      <c r="BW70" s="248">
        <v>7.73</v>
      </c>
      <c r="BX70" s="248">
        <v>69.2</v>
      </c>
      <c r="BY70" s="248">
        <v>68.3</v>
      </c>
      <c r="BZ70" s="248">
        <v>6.16</v>
      </c>
      <c r="CA70" s="248">
        <v>8.4</v>
      </c>
      <c r="CB70" s="248">
        <v>1.94</v>
      </c>
      <c r="CC70" s="248">
        <v>0.22</v>
      </c>
      <c r="CD70" s="248">
        <v>0.33</v>
      </c>
      <c r="CE70" s="248">
        <v>4.3</v>
      </c>
      <c r="CF70" s="247">
        <v>6.2899999999999998E-2</v>
      </c>
      <c r="CG70" s="248">
        <v>0.86</v>
      </c>
      <c r="CH70" s="247">
        <v>0.61129999999999995</v>
      </c>
      <c r="CI70" s="248">
        <v>0.75</v>
      </c>
      <c r="CJ70" s="248">
        <v>1.08</v>
      </c>
      <c r="CK70" s="248">
        <v>1.3</v>
      </c>
      <c r="CL70" s="248">
        <v>140</v>
      </c>
      <c r="CM70" s="248">
        <v>115.99</v>
      </c>
      <c r="CN70" s="248">
        <v>140.19999999999999</v>
      </c>
      <c r="CO70" s="248">
        <v>114.46</v>
      </c>
      <c r="CP70" s="248">
        <v>-0.57999999999999996</v>
      </c>
      <c r="CQ70" s="246">
        <v>0.27</v>
      </c>
      <c r="CR70" s="246">
        <v>0.21</v>
      </c>
      <c r="CS70" s="246">
        <v>0.43</v>
      </c>
      <c r="CT70" s="246">
        <v>0.57999999999999996</v>
      </c>
      <c r="CU70" s="246">
        <v>0.54</v>
      </c>
      <c r="CV70" s="248">
        <v>5.66</v>
      </c>
      <c r="CW70" s="248">
        <v>4.5999999999999996</v>
      </c>
      <c r="CX70" s="248">
        <v>-0.91</v>
      </c>
      <c r="CY70" s="248">
        <v>4.0999999999999996</v>
      </c>
      <c r="CZ70" s="248">
        <v>1.54</v>
      </c>
      <c r="DA70" s="248">
        <v>2.4900000000000002</v>
      </c>
      <c r="DB70" s="248">
        <v>43.4</v>
      </c>
      <c r="DC70" s="248">
        <v>8.4</v>
      </c>
      <c r="DD70" s="248">
        <v>21.08</v>
      </c>
      <c r="DE70" s="248">
        <v>1.08</v>
      </c>
      <c r="DF70" s="248">
        <v>0</v>
      </c>
      <c r="DG70" s="248">
        <v>3.11</v>
      </c>
      <c r="DH70" s="248">
        <v>114.46</v>
      </c>
      <c r="DI70" s="248">
        <v>6.16</v>
      </c>
      <c r="DJ70" s="247">
        <v>1.78E-2</v>
      </c>
      <c r="DK70" s="247">
        <v>1.67E-2</v>
      </c>
      <c r="DL70" s="246">
        <v>3.42</v>
      </c>
      <c r="DM70" s="246">
        <v>0.91</v>
      </c>
      <c r="DN70" s="246" t="s">
        <v>384</v>
      </c>
      <c r="DO70" s="246">
        <v>5.66</v>
      </c>
      <c r="DP70" s="246" t="s">
        <v>384</v>
      </c>
      <c r="DQ70" s="248">
        <v>-0.8</v>
      </c>
      <c r="DR70" s="246" t="s">
        <v>1255</v>
      </c>
      <c r="DS70" s="246" t="s">
        <v>644</v>
      </c>
      <c r="DT70" s="246" t="e">
        <v>#REF!</v>
      </c>
      <c r="DU70" s="246" t="s">
        <v>388</v>
      </c>
      <c r="DV70" s="246" t="s">
        <v>1256</v>
      </c>
      <c r="DW70" s="246" t="s">
        <v>1257</v>
      </c>
      <c r="DX70" s="246" t="s">
        <v>1258</v>
      </c>
      <c r="DY70" s="246" t="s">
        <v>1259</v>
      </c>
      <c r="DZ70" s="246">
        <v>77</v>
      </c>
      <c r="EA70" s="247">
        <v>0.11990000000000001</v>
      </c>
      <c r="EB70" s="247">
        <v>3.0599999999999999E-2</v>
      </c>
      <c r="EC70" s="247">
        <v>3.8600000000000002E-2</v>
      </c>
      <c r="ED70" s="247">
        <v>0.24</v>
      </c>
      <c r="EE70" s="247">
        <v>0.48630000000000001</v>
      </c>
      <c r="EF70" s="247">
        <v>-3.2599999999999997E-2</v>
      </c>
      <c r="EG70" s="247">
        <v>1.5900000000000001E-2</v>
      </c>
      <c r="EH70" s="247">
        <v>4.4999999999999998E-2</v>
      </c>
      <c r="EI70" s="248">
        <v>-0.8</v>
      </c>
      <c r="EJ70" s="234">
        <v>1.51</v>
      </c>
      <c r="EK70" s="234">
        <v>1.1200000000000001</v>
      </c>
      <c r="EL70" s="234" t="s">
        <v>1260</v>
      </c>
      <c r="EM70" s="234" t="s">
        <v>1261</v>
      </c>
      <c r="EN70" s="234" t="s">
        <v>1262</v>
      </c>
      <c r="EO70" s="234" t="s">
        <v>1263</v>
      </c>
      <c r="EP70" s="234" t="s">
        <v>376</v>
      </c>
      <c r="EQ70" s="234" t="s">
        <v>377</v>
      </c>
      <c r="ER70" s="234">
        <v>1</v>
      </c>
      <c r="ES70" s="249">
        <v>-8.3599999999999994E-2</v>
      </c>
      <c r="ET70" s="234" t="s">
        <v>384</v>
      </c>
      <c r="EU70" s="250">
        <v>68.3</v>
      </c>
      <c r="EV70" s="234" t="s">
        <v>491</v>
      </c>
      <c r="EW70" s="250">
        <v>49.8</v>
      </c>
      <c r="EX70" s="250">
        <v>42.8</v>
      </c>
      <c r="EY70" s="250">
        <v>32.4</v>
      </c>
      <c r="EZ70" s="250">
        <v>38.299999999999997</v>
      </c>
      <c r="FA70" s="250">
        <v>29.2</v>
      </c>
      <c r="FB70" s="250">
        <v>31.3</v>
      </c>
      <c r="FC70" s="250">
        <v>0</v>
      </c>
      <c r="FD70" s="249">
        <v>0</v>
      </c>
      <c r="FE70" s="250">
        <v>0</v>
      </c>
      <c r="FF70" s="250">
        <v>0</v>
      </c>
    </row>
    <row r="71" spans="1:162">
      <c r="A71" s="234" t="s">
        <v>1264</v>
      </c>
      <c r="B71" s="234" t="s">
        <v>1265</v>
      </c>
      <c r="C71" s="246" t="s">
        <v>401</v>
      </c>
      <c r="D71" s="246" t="s">
        <v>362</v>
      </c>
      <c r="E71" s="246">
        <v>4210</v>
      </c>
      <c r="F71" s="246" t="s">
        <v>494</v>
      </c>
      <c r="G71" s="246" t="s">
        <v>494</v>
      </c>
      <c r="H71" s="246" t="s">
        <v>494</v>
      </c>
      <c r="I71" s="246">
        <v>0.66930000000000001</v>
      </c>
      <c r="J71" s="246">
        <v>4.7922000000000002</v>
      </c>
      <c r="K71" s="247">
        <v>5.1400000000000001E-2</v>
      </c>
      <c r="L71" s="247">
        <v>0.2858</v>
      </c>
      <c r="M71" s="246" t="s">
        <v>384</v>
      </c>
      <c r="N71" s="247">
        <v>1.15E-2</v>
      </c>
      <c r="O71" s="247">
        <v>5.0999999999999997E-2</v>
      </c>
      <c r="P71" s="247">
        <v>3.5799999999999998E-2</v>
      </c>
      <c r="Q71" s="247">
        <v>6.1400000000000003E-2</v>
      </c>
      <c r="R71" s="247">
        <v>-0.23499999999999999</v>
      </c>
      <c r="S71" s="247">
        <v>-2.2700000000000001E-2</v>
      </c>
      <c r="T71" s="248">
        <v>43</v>
      </c>
      <c r="U71" s="248">
        <v>222.1</v>
      </c>
      <c r="V71" s="248">
        <v>154.9</v>
      </c>
      <c r="W71" s="248">
        <v>377</v>
      </c>
      <c r="X71" s="248">
        <v>420</v>
      </c>
      <c r="Y71" s="248">
        <v>29.8</v>
      </c>
      <c r="Z71" s="248">
        <v>390.2</v>
      </c>
      <c r="AA71" s="247">
        <v>7.0999999999999994E-2</v>
      </c>
      <c r="AB71" s="246">
        <v>0.19</v>
      </c>
      <c r="AC71" s="247">
        <v>0.7833</v>
      </c>
      <c r="AD71" s="247">
        <v>0.89759999999999995</v>
      </c>
      <c r="AE71" s="247">
        <v>3.6145999999999998</v>
      </c>
      <c r="AF71" s="247">
        <v>8.7674000000000003</v>
      </c>
      <c r="AG71" s="248">
        <v>31.87</v>
      </c>
      <c r="AH71" s="246">
        <v>24.3</v>
      </c>
      <c r="AI71" s="247">
        <v>3.8699999999999998E-2</v>
      </c>
      <c r="AJ71" s="246">
        <v>0.64</v>
      </c>
      <c r="AK71" s="247">
        <v>0.21210000000000001</v>
      </c>
      <c r="AL71" s="247">
        <v>0.18329999999999999</v>
      </c>
      <c r="AM71" s="246">
        <v>0.19</v>
      </c>
      <c r="AN71" s="233">
        <v>7.66</v>
      </c>
      <c r="AO71" s="246">
        <v>13.96</v>
      </c>
      <c r="AP71" s="246">
        <v>7.83</v>
      </c>
      <c r="AQ71" s="246">
        <v>8.9600000000000009</v>
      </c>
      <c r="AR71" s="246" t="s">
        <v>384</v>
      </c>
      <c r="AS71" s="246" t="s">
        <v>384</v>
      </c>
      <c r="AT71" s="246">
        <v>0.41</v>
      </c>
      <c r="AU71" s="246">
        <v>0.37</v>
      </c>
      <c r="AV71" s="246">
        <v>0.1</v>
      </c>
      <c r="AW71" s="246">
        <v>13.56</v>
      </c>
      <c r="AX71" s="246">
        <v>4.3600000000000003</v>
      </c>
      <c r="AY71" s="246">
        <v>0.86</v>
      </c>
      <c r="AZ71" s="246">
        <v>0.89</v>
      </c>
      <c r="BA71" s="247">
        <v>0.13300000000000001</v>
      </c>
      <c r="BB71" s="247">
        <v>1.7000000000000001E-2</v>
      </c>
      <c r="BC71" s="247">
        <v>0.21129999999999999</v>
      </c>
      <c r="BD71" s="247">
        <v>9.8100000000000007E-2</v>
      </c>
      <c r="BE71" s="247">
        <v>6.1199999999999997E-2</v>
      </c>
      <c r="BF71" s="247">
        <v>4.5100000000000001E-2</v>
      </c>
      <c r="BG71" s="247">
        <v>5.2999999999999999E-2</v>
      </c>
      <c r="BH71" s="246" t="s">
        <v>384</v>
      </c>
      <c r="BI71" s="246" t="s">
        <v>384</v>
      </c>
      <c r="BJ71" s="247">
        <v>5.0799999999999998E-2</v>
      </c>
      <c r="BK71" s="247">
        <v>3.8699999999999998E-2</v>
      </c>
      <c r="BL71" s="246">
        <v>1.02</v>
      </c>
      <c r="BM71" s="247">
        <v>1.18E-2</v>
      </c>
      <c r="BN71" s="247">
        <v>6.1899999999999997E-2</v>
      </c>
      <c r="BO71" s="247">
        <v>7.85E-2</v>
      </c>
      <c r="BP71" s="247">
        <v>0.2974</v>
      </c>
      <c r="BQ71" s="247">
        <v>0.38650000000000001</v>
      </c>
      <c r="BR71" s="247">
        <v>1.55E-2</v>
      </c>
      <c r="BS71" s="248">
        <v>3.08</v>
      </c>
      <c r="BT71" s="248">
        <v>5.49</v>
      </c>
      <c r="BU71" s="248">
        <v>11.8</v>
      </c>
      <c r="BV71" s="248">
        <v>28.78</v>
      </c>
      <c r="BW71" s="248">
        <v>36.5</v>
      </c>
      <c r="BX71" s="248">
        <v>440.7</v>
      </c>
      <c r="BY71" s="248">
        <v>465.2</v>
      </c>
      <c r="BZ71" s="248">
        <v>24.2</v>
      </c>
      <c r="CA71" s="248">
        <v>89.5</v>
      </c>
      <c r="CB71" s="248">
        <v>17.66</v>
      </c>
      <c r="CC71" s="248">
        <v>-7.2</v>
      </c>
      <c r="CD71" s="248">
        <v>5.72</v>
      </c>
      <c r="CE71" s="248">
        <v>26.2</v>
      </c>
      <c r="CF71" s="247">
        <v>5.6300000000000003E-2</v>
      </c>
      <c r="CG71" s="248">
        <v>19.28</v>
      </c>
      <c r="CH71" s="247">
        <v>1.4156</v>
      </c>
      <c r="CI71" s="248">
        <v>-7.34</v>
      </c>
      <c r="CJ71" s="248">
        <v>-12.31</v>
      </c>
      <c r="CK71" s="248">
        <v>-19.510000000000002</v>
      </c>
      <c r="CL71" s="248">
        <v>108</v>
      </c>
      <c r="CM71" s="248">
        <v>456.3</v>
      </c>
      <c r="CN71" s="248">
        <v>104.3</v>
      </c>
      <c r="CO71" s="248">
        <v>451.5</v>
      </c>
      <c r="CP71" s="248">
        <v>-0.73</v>
      </c>
      <c r="CQ71" s="246">
        <v>0.32</v>
      </c>
      <c r="CR71" s="246">
        <v>0.18</v>
      </c>
      <c r="CS71" s="246">
        <v>0.43</v>
      </c>
      <c r="CT71" s="246">
        <v>0.55000000000000004</v>
      </c>
      <c r="CU71" s="246">
        <v>0.69</v>
      </c>
      <c r="CV71" s="248">
        <v>5.72</v>
      </c>
      <c r="CW71" s="248">
        <v>3.08</v>
      </c>
      <c r="CX71" s="248">
        <v>-0.73</v>
      </c>
      <c r="CY71" s="248">
        <v>9.0299999999999994</v>
      </c>
      <c r="CZ71" s="248">
        <v>3.49</v>
      </c>
      <c r="DA71" s="248">
        <v>5.49</v>
      </c>
      <c r="DB71" s="248">
        <v>43</v>
      </c>
      <c r="DC71" s="248">
        <v>89.5</v>
      </c>
      <c r="DD71" s="248">
        <v>390.2</v>
      </c>
      <c r="DE71" s="248">
        <v>-12.31</v>
      </c>
      <c r="DF71" s="248">
        <v>0</v>
      </c>
      <c r="DG71" s="248">
        <v>28.78</v>
      </c>
      <c r="DH71" s="248">
        <v>451.5</v>
      </c>
      <c r="DI71" s="248">
        <v>24.2</v>
      </c>
      <c r="DJ71" s="247">
        <v>5.0799999999999998E-2</v>
      </c>
      <c r="DK71" s="247">
        <v>3.8699999999999998E-2</v>
      </c>
      <c r="DL71" s="246">
        <v>16.12</v>
      </c>
      <c r="DM71" s="246">
        <v>1.22</v>
      </c>
      <c r="DN71" s="246">
        <v>225.6</v>
      </c>
      <c r="DO71" s="246">
        <v>5.72</v>
      </c>
      <c r="DP71" s="247">
        <v>1.6899999999999998E-2</v>
      </c>
      <c r="DQ71" s="248">
        <v>-1.4</v>
      </c>
      <c r="DR71" s="246" t="s">
        <v>1266</v>
      </c>
      <c r="DS71" s="246" t="s">
        <v>1267</v>
      </c>
      <c r="DT71" s="246" t="e">
        <v>#REF!</v>
      </c>
      <c r="DU71" s="246" t="s">
        <v>388</v>
      </c>
      <c r="DV71" s="246" t="s">
        <v>1268</v>
      </c>
      <c r="DW71" s="246" t="s">
        <v>1269</v>
      </c>
      <c r="DX71" s="246" t="s">
        <v>1270</v>
      </c>
      <c r="DY71" s="246" t="s">
        <v>1271</v>
      </c>
      <c r="DZ71" s="246">
        <v>76</v>
      </c>
      <c r="EA71" s="247">
        <v>0.1061</v>
      </c>
      <c r="EB71" s="247">
        <v>0.1744</v>
      </c>
      <c r="EC71" s="247">
        <v>7.9200000000000007E-2</v>
      </c>
      <c r="ED71" s="247">
        <v>-1.38E-2</v>
      </c>
      <c r="EE71" s="247">
        <v>0.3826</v>
      </c>
      <c r="EF71" s="247">
        <v>-3.5999999999999999E-3</v>
      </c>
      <c r="EG71" s="247">
        <v>2.3300000000000001E-2</v>
      </c>
      <c r="EH71" s="247">
        <v>6.2E-2</v>
      </c>
      <c r="EI71" s="248">
        <v>-1.4</v>
      </c>
      <c r="EJ71" s="234">
        <v>11.8</v>
      </c>
      <c r="EK71" s="234">
        <v>10.9</v>
      </c>
      <c r="EL71" s="234" t="s">
        <v>1272</v>
      </c>
      <c r="EM71" s="234" t="s">
        <v>1273</v>
      </c>
      <c r="EN71" s="234" t="s">
        <v>1274</v>
      </c>
      <c r="EO71" s="234" t="s">
        <v>633</v>
      </c>
      <c r="EP71" s="234" t="s">
        <v>376</v>
      </c>
      <c r="EQ71" s="234" t="s">
        <v>377</v>
      </c>
      <c r="ER71" s="234">
        <v>1</v>
      </c>
      <c r="ES71" s="249">
        <v>-2.1499999999999998E-2</v>
      </c>
      <c r="ET71" s="234" t="s">
        <v>384</v>
      </c>
      <c r="EU71" s="250">
        <v>465.2</v>
      </c>
      <c r="EV71" s="234" t="s">
        <v>491</v>
      </c>
      <c r="EW71" s="250">
        <v>34.9</v>
      </c>
      <c r="EX71" s="250">
        <v>39.5</v>
      </c>
      <c r="EY71" s="250">
        <v>34.4</v>
      </c>
      <c r="EZ71" s="250">
        <v>36.9</v>
      </c>
      <c r="FA71" s="250">
        <v>31.1</v>
      </c>
      <c r="FB71" s="250">
        <v>35.5</v>
      </c>
      <c r="FC71" s="250">
        <v>64</v>
      </c>
      <c r="FD71" s="249">
        <v>3.0300000000000001E-2</v>
      </c>
      <c r="FE71" s="250">
        <v>0</v>
      </c>
      <c r="FF71" s="250">
        <v>0</v>
      </c>
    </row>
    <row r="72" spans="1:162">
      <c r="A72" s="234" t="s">
        <v>1275</v>
      </c>
      <c r="B72" s="234" t="s">
        <v>1276</v>
      </c>
      <c r="C72" s="246" t="s">
        <v>401</v>
      </c>
      <c r="D72" s="246" t="s">
        <v>362</v>
      </c>
      <c r="E72" s="246">
        <v>4210</v>
      </c>
      <c r="F72" s="246" t="s">
        <v>1019</v>
      </c>
      <c r="G72" s="246" t="s">
        <v>417</v>
      </c>
      <c r="H72" s="246" t="s">
        <v>418</v>
      </c>
      <c r="I72" s="246">
        <v>0.66930000000000001</v>
      </c>
      <c r="J72" s="246">
        <v>1.2414000000000001</v>
      </c>
      <c r="K72" s="247">
        <v>6.6900000000000001E-2</v>
      </c>
      <c r="L72" s="247">
        <v>0.1225</v>
      </c>
      <c r="M72" s="246" t="s">
        <v>384</v>
      </c>
      <c r="N72" s="247">
        <v>2.7300000000000001E-2</v>
      </c>
      <c r="O72" s="247">
        <v>6.6799999999999998E-2</v>
      </c>
      <c r="P72" s="247">
        <v>5.21E-2</v>
      </c>
      <c r="Q72" s="247">
        <v>8.5699999999999998E-2</v>
      </c>
      <c r="R72" s="247">
        <v>4.1799999999999997E-2</v>
      </c>
      <c r="S72" s="247">
        <v>1.6500000000000001E-2</v>
      </c>
      <c r="T72" s="248">
        <v>33.4</v>
      </c>
      <c r="U72" s="248">
        <v>0</v>
      </c>
      <c r="V72" s="248">
        <v>36.6</v>
      </c>
      <c r="W72" s="248">
        <v>36.6</v>
      </c>
      <c r="X72" s="248">
        <v>70</v>
      </c>
      <c r="Y72" s="248">
        <v>0.88</v>
      </c>
      <c r="Z72" s="248">
        <v>69.12</v>
      </c>
      <c r="AA72" s="247">
        <v>1.2500000000000001E-2</v>
      </c>
      <c r="AB72" s="246">
        <v>0.43</v>
      </c>
      <c r="AC72" s="247">
        <v>0.62780000000000002</v>
      </c>
      <c r="AD72" s="247">
        <v>0.52290000000000003</v>
      </c>
      <c r="AE72" s="247">
        <v>1.6866000000000001</v>
      </c>
      <c r="AF72" s="247">
        <v>1.0958000000000001</v>
      </c>
      <c r="AG72" s="248">
        <v>0.02</v>
      </c>
      <c r="AH72" s="246">
        <v>69.06</v>
      </c>
      <c r="AI72" s="246" t="s">
        <v>384</v>
      </c>
      <c r="AJ72" s="246">
        <v>2.65</v>
      </c>
      <c r="AK72" s="247">
        <v>3.1600000000000003E-2</v>
      </c>
      <c r="AL72" s="247">
        <v>0.62609999999999999</v>
      </c>
      <c r="AM72" s="246">
        <v>0.66</v>
      </c>
      <c r="AN72" s="233">
        <v>2.2000000000000002</v>
      </c>
      <c r="AO72" s="246">
        <v>13.63</v>
      </c>
      <c r="AP72" s="246">
        <v>9.91</v>
      </c>
      <c r="AQ72" s="246">
        <v>4.33</v>
      </c>
      <c r="AR72" s="246" t="s">
        <v>384</v>
      </c>
      <c r="AS72" s="246" t="s">
        <v>384</v>
      </c>
      <c r="AT72" s="246">
        <v>1.54</v>
      </c>
      <c r="AU72" s="246">
        <v>0.53</v>
      </c>
      <c r="AV72" s="246">
        <v>1.26</v>
      </c>
      <c r="AW72" s="246">
        <v>8.33</v>
      </c>
      <c r="AX72" s="246">
        <v>7.51</v>
      </c>
      <c r="AY72" s="246">
        <v>1.2</v>
      </c>
      <c r="AZ72" s="246">
        <v>2.6</v>
      </c>
      <c r="BA72" s="247">
        <v>6.1400000000000003E-2</v>
      </c>
      <c r="BB72" s="247">
        <v>6.1999999999999998E-3</v>
      </c>
      <c r="BC72" s="247">
        <v>2.1509</v>
      </c>
      <c r="BD72" s="246" t="s">
        <v>384</v>
      </c>
      <c r="BE72" s="246" t="s">
        <v>384</v>
      </c>
      <c r="BF72" s="246" t="s">
        <v>384</v>
      </c>
      <c r="BG72" s="246" t="s">
        <v>384</v>
      </c>
      <c r="BH72" s="246" t="s">
        <v>384</v>
      </c>
      <c r="BI72" s="246" t="s">
        <v>384</v>
      </c>
      <c r="BJ72" s="247">
        <v>0.16439999999999999</v>
      </c>
      <c r="BK72" s="247">
        <v>0.1022</v>
      </c>
      <c r="BL72" s="246">
        <v>0.57999999999999996</v>
      </c>
      <c r="BM72" s="247">
        <v>9.9699999999999997E-2</v>
      </c>
      <c r="BN72" s="247">
        <v>0.24560000000000001</v>
      </c>
      <c r="BO72" s="247">
        <v>0.3609</v>
      </c>
      <c r="BP72" s="247">
        <v>0.22</v>
      </c>
      <c r="BQ72" s="247">
        <v>0.27839999999999998</v>
      </c>
      <c r="BR72" s="246" t="s">
        <v>384</v>
      </c>
      <c r="BS72" s="248">
        <v>2.4500000000000002</v>
      </c>
      <c r="BT72" s="248">
        <v>3.37</v>
      </c>
      <c r="BU72" s="248">
        <v>8.3000000000000007</v>
      </c>
      <c r="BV72" s="248">
        <v>8.3000000000000007</v>
      </c>
      <c r="BW72" s="248">
        <v>12.2</v>
      </c>
      <c r="BX72" s="248">
        <v>26.6</v>
      </c>
      <c r="BY72" s="248">
        <v>33.799999999999997</v>
      </c>
      <c r="BZ72" s="248">
        <v>9.08</v>
      </c>
      <c r="CA72" s="248">
        <v>9.1999999999999993</v>
      </c>
      <c r="CB72" s="248">
        <v>5.99</v>
      </c>
      <c r="CC72" s="248">
        <v>4.13</v>
      </c>
      <c r="CD72" s="248">
        <v>0</v>
      </c>
      <c r="CE72" s="248">
        <v>11.3</v>
      </c>
      <c r="CF72" s="247">
        <v>0.33439999999999998</v>
      </c>
      <c r="CG72" s="248">
        <v>3.07</v>
      </c>
      <c r="CH72" s="247">
        <v>0.51259999999999994</v>
      </c>
      <c r="CI72" s="248">
        <v>2.92</v>
      </c>
      <c r="CJ72" s="248">
        <v>-3.83</v>
      </c>
      <c r="CK72" s="248">
        <v>0.3</v>
      </c>
      <c r="CL72" s="248">
        <v>20.5</v>
      </c>
      <c r="CM72" s="248">
        <v>58.58</v>
      </c>
      <c r="CN72" s="248">
        <v>21.7</v>
      </c>
      <c r="CO72" s="248">
        <v>57.42</v>
      </c>
      <c r="CP72" s="248">
        <v>-0.21</v>
      </c>
      <c r="CQ72" s="246">
        <v>0.17</v>
      </c>
      <c r="CR72" s="246">
        <v>3.04</v>
      </c>
      <c r="CS72" s="246">
        <v>0.42</v>
      </c>
      <c r="CT72" s="246" t="s">
        <v>384</v>
      </c>
      <c r="CU72" s="246" t="s">
        <v>384</v>
      </c>
      <c r="CV72" s="246" t="s">
        <v>384</v>
      </c>
      <c r="CW72" s="246" t="s">
        <v>384</v>
      </c>
      <c r="CX72" s="248">
        <v>-0.21</v>
      </c>
      <c r="CY72" s="248">
        <v>4.67</v>
      </c>
      <c r="CZ72" s="248">
        <v>1.3</v>
      </c>
      <c r="DA72" s="248">
        <v>3.37</v>
      </c>
      <c r="DB72" s="248">
        <v>33.4</v>
      </c>
      <c r="DC72" s="248">
        <v>9.1999999999999993</v>
      </c>
      <c r="DD72" s="248">
        <v>69.12</v>
      </c>
      <c r="DE72" s="248">
        <v>-3.83</v>
      </c>
      <c r="DF72" s="248">
        <v>0</v>
      </c>
      <c r="DG72" s="248">
        <v>8.3000000000000007</v>
      </c>
      <c r="DH72" s="248">
        <v>57.42</v>
      </c>
      <c r="DI72" s="248">
        <v>9.08</v>
      </c>
      <c r="DJ72" s="247">
        <v>0.16439999999999999</v>
      </c>
      <c r="DK72" s="247">
        <v>0.1022</v>
      </c>
      <c r="DL72" s="246">
        <v>7.61</v>
      </c>
      <c r="DM72" s="246">
        <v>0.9</v>
      </c>
      <c r="DN72" s="246" t="s">
        <v>384</v>
      </c>
      <c r="DO72" s="246" t="s">
        <v>384</v>
      </c>
      <c r="DP72" s="246" t="s">
        <v>384</v>
      </c>
      <c r="DQ72" s="248">
        <v>-2.1</v>
      </c>
      <c r="DR72" s="246" t="s">
        <v>1277</v>
      </c>
      <c r="DS72" s="246" t="s">
        <v>1278</v>
      </c>
      <c r="DT72" s="246" t="e">
        <v>#REF!</v>
      </c>
      <c r="DU72" s="246" t="s">
        <v>388</v>
      </c>
      <c r="DV72" s="246" t="s">
        <v>1279</v>
      </c>
      <c r="DW72" s="246" t="s">
        <v>1280</v>
      </c>
      <c r="DX72" s="246" t="s">
        <v>388</v>
      </c>
      <c r="DY72" s="246" t="s">
        <v>1281</v>
      </c>
      <c r="DZ72" s="246">
        <v>16</v>
      </c>
      <c r="EA72" s="247">
        <v>-0.1691</v>
      </c>
      <c r="EB72" s="247">
        <v>0.35399999999999998</v>
      </c>
      <c r="EC72" s="247">
        <v>1.4379</v>
      </c>
      <c r="ED72" s="247">
        <v>-0.1046</v>
      </c>
      <c r="EE72" s="247">
        <v>1.4559</v>
      </c>
      <c r="EF72" s="247">
        <v>0.1118</v>
      </c>
      <c r="EG72" s="247">
        <v>0.26579999999999998</v>
      </c>
      <c r="EH72" s="247">
        <v>0.246</v>
      </c>
      <c r="EI72" s="248">
        <v>-2.1</v>
      </c>
      <c r="EJ72" s="234">
        <v>8.3000000000000007</v>
      </c>
      <c r="EK72" s="234">
        <v>8.08</v>
      </c>
      <c r="EL72" s="234" t="s">
        <v>1282</v>
      </c>
      <c r="EM72" s="234" t="s">
        <v>1283</v>
      </c>
      <c r="EN72" s="234" t="s">
        <v>1284</v>
      </c>
      <c r="EO72" s="234" t="s">
        <v>1285</v>
      </c>
      <c r="EP72" s="234" t="s">
        <v>1286</v>
      </c>
      <c r="EQ72" s="234" t="s">
        <v>1287</v>
      </c>
      <c r="ER72" s="234">
        <v>1</v>
      </c>
      <c r="ES72" s="249">
        <v>0.30099999999999999</v>
      </c>
      <c r="ET72" s="234" t="s">
        <v>384</v>
      </c>
      <c r="EU72" s="250">
        <v>33.799999999999997</v>
      </c>
      <c r="EV72" s="234" t="s">
        <v>491</v>
      </c>
      <c r="EW72" s="250">
        <v>0</v>
      </c>
      <c r="EX72" s="250">
        <v>0</v>
      </c>
      <c r="EY72" s="250">
        <v>0</v>
      </c>
      <c r="EZ72" s="250">
        <v>39.9</v>
      </c>
      <c r="FA72" s="250">
        <v>13.6</v>
      </c>
      <c r="FB72" s="250">
        <v>10.6</v>
      </c>
      <c r="FC72" s="250">
        <v>1.06</v>
      </c>
      <c r="FD72" s="249">
        <v>0</v>
      </c>
      <c r="FE72" s="250">
        <v>0</v>
      </c>
      <c r="FF72" s="250">
        <v>0</v>
      </c>
    </row>
    <row r="73" spans="1:162">
      <c r="A73" s="234" t="s">
        <v>1288</v>
      </c>
      <c r="B73" s="234" t="s">
        <v>1289</v>
      </c>
      <c r="C73" s="246" t="s">
        <v>361</v>
      </c>
      <c r="D73" s="246" t="s">
        <v>362</v>
      </c>
      <c r="E73" s="246">
        <v>4210</v>
      </c>
      <c r="F73" s="246" t="s">
        <v>1290</v>
      </c>
      <c r="G73" s="246" t="s">
        <v>417</v>
      </c>
      <c r="H73" s="246" t="s">
        <v>418</v>
      </c>
      <c r="I73" s="246">
        <v>0.74739999999999995</v>
      </c>
      <c r="J73" s="246">
        <v>1.2042999999999999</v>
      </c>
      <c r="K73" s="247">
        <v>6.3E-2</v>
      </c>
      <c r="L73" s="247">
        <v>0.1154</v>
      </c>
      <c r="M73" s="246" t="s">
        <v>384</v>
      </c>
      <c r="N73" s="247">
        <v>2.47E-2</v>
      </c>
      <c r="O73" s="247">
        <v>6.4199999999999993E-2</v>
      </c>
      <c r="P73" s="247">
        <v>5.1400000000000001E-2</v>
      </c>
      <c r="Q73" s="247">
        <v>8.7599999999999997E-2</v>
      </c>
      <c r="R73" s="247">
        <v>-0.1384</v>
      </c>
      <c r="S73" s="247">
        <v>-8.5699999999999998E-2</v>
      </c>
      <c r="T73" s="248">
        <v>31.8</v>
      </c>
      <c r="U73" s="248">
        <v>0</v>
      </c>
      <c r="V73" s="248">
        <v>24.3</v>
      </c>
      <c r="W73" s="248">
        <v>24.3</v>
      </c>
      <c r="X73" s="248">
        <v>56.1</v>
      </c>
      <c r="Y73" s="248">
        <v>4.2699999999999996</v>
      </c>
      <c r="Z73" s="248">
        <v>51.83</v>
      </c>
      <c r="AA73" s="247">
        <v>7.6100000000000001E-2</v>
      </c>
      <c r="AB73" s="246">
        <v>0.36</v>
      </c>
      <c r="AC73" s="247">
        <v>0.39839999999999998</v>
      </c>
      <c r="AD73" s="247">
        <v>0.43319999999999997</v>
      </c>
      <c r="AE73" s="247">
        <v>0.66210000000000002</v>
      </c>
      <c r="AF73" s="247">
        <v>0.76419999999999999</v>
      </c>
      <c r="AG73" s="248">
        <v>0.02</v>
      </c>
      <c r="AH73" s="246">
        <v>69.06</v>
      </c>
      <c r="AI73" s="246" t="s">
        <v>384</v>
      </c>
      <c r="AJ73" s="246">
        <v>1.93</v>
      </c>
      <c r="AK73" s="247">
        <v>0.18970000000000001</v>
      </c>
      <c r="AL73" s="247">
        <v>0.53759999999999997</v>
      </c>
      <c r="AM73" s="246">
        <v>0.38</v>
      </c>
      <c r="AN73" s="233">
        <v>0.15</v>
      </c>
      <c r="AO73" s="246">
        <v>361.36</v>
      </c>
      <c r="AP73" s="246" t="s">
        <v>384</v>
      </c>
      <c r="AQ73" s="246">
        <v>85.45</v>
      </c>
      <c r="AR73" s="246" t="s">
        <v>384</v>
      </c>
      <c r="AS73" s="246" t="s">
        <v>384</v>
      </c>
      <c r="AT73" s="246">
        <v>0.87</v>
      </c>
      <c r="AU73" s="246">
        <v>0.32</v>
      </c>
      <c r="AV73" s="246">
        <v>2.15</v>
      </c>
      <c r="AW73" s="246">
        <v>1328.97</v>
      </c>
      <c r="AX73" s="246">
        <v>46.28</v>
      </c>
      <c r="AY73" s="246">
        <v>0.91</v>
      </c>
      <c r="AZ73" s="246">
        <v>3.5</v>
      </c>
      <c r="BA73" s="246" t="s">
        <v>384</v>
      </c>
      <c r="BB73" s="247">
        <v>0</v>
      </c>
      <c r="BC73" s="247">
        <v>3.2286999999999999</v>
      </c>
      <c r="BD73" s="246" t="s">
        <v>384</v>
      </c>
      <c r="BE73" s="246" t="s">
        <v>384</v>
      </c>
      <c r="BF73" s="247">
        <v>2.2800000000000001E-2</v>
      </c>
      <c r="BG73" s="246" t="s">
        <v>384</v>
      </c>
      <c r="BH73" s="246" t="s">
        <v>384</v>
      </c>
      <c r="BI73" s="246" t="s">
        <v>384</v>
      </c>
      <c r="BJ73" s="247">
        <v>-2.3E-2</v>
      </c>
      <c r="BK73" s="247">
        <v>1.9E-3</v>
      </c>
      <c r="BL73" s="246">
        <v>0.78</v>
      </c>
      <c r="BM73" s="247">
        <v>-3.6200000000000003E-2</v>
      </c>
      <c r="BN73" s="247">
        <v>2.5000000000000001E-3</v>
      </c>
      <c r="BO73" s="247">
        <v>0.15160000000000001</v>
      </c>
      <c r="BP73" s="247">
        <v>0.2</v>
      </c>
      <c r="BQ73" s="247">
        <v>0</v>
      </c>
      <c r="BR73" s="246" t="s">
        <v>384</v>
      </c>
      <c r="BS73" s="248">
        <v>0.09</v>
      </c>
      <c r="BT73" s="248">
        <v>-0.57999999999999996</v>
      </c>
      <c r="BU73" s="248">
        <v>0.04</v>
      </c>
      <c r="BV73" s="248">
        <v>0.04</v>
      </c>
      <c r="BW73" s="248">
        <v>2.41</v>
      </c>
      <c r="BX73" s="248">
        <v>14.8</v>
      </c>
      <c r="BY73" s="248">
        <v>15.9</v>
      </c>
      <c r="BZ73" s="248">
        <v>1.0900000000000001</v>
      </c>
      <c r="CA73" s="248">
        <v>1.1200000000000001</v>
      </c>
      <c r="CB73" s="248">
        <v>0.04</v>
      </c>
      <c r="CC73" s="248">
        <v>0.11</v>
      </c>
      <c r="CD73" s="248">
        <v>-0.35</v>
      </c>
      <c r="CE73" s="248">
        <v>-3.89</v>
      </c>
      <c r="CF73" s="247">
        <v>-0.24460000000000001</v>
      </c>
      <c r="CG73" s="248">
        <v>18.02</v>
      </c>
      <c r="CH73" s="247">
        <v>453.07690000000002</v>
      </c>
      <c r="CI73" s="248">
        <v>-17.63</v>
      </c>
      <c r="CJ73" s="248">
        <v>-18.36</v>
      </c>
      <c r="CK73" s="248">
        <v>-18.25</v>
      </c>
      <c r="CL73" s="248">
        <v>25</v>
      </c>
      <c r="CM73" s="248">
        <v>20.420000000000002</v>
      </c>
      <c r="CN73" s="248">
        <v>36.700000000000003</v>
      </c>
      <c r="CO73" s="248">
        <v>56.73</v>
      </c>
      <c r="CP73" s="248">
        <v>0</v>
      </c>
      <c r="CQ73" s="246">
        <v>0.85</v>
      </c>
      <c r="CR73" s="246">
        <v>0.73</v>
      </c>
      <c r="CS73" s="246">
        <v>0.42</v>
      </c>
      <c r="CT73" s="246" t="s">
        <v>384</v>
      </c>
      <c r="CU73" s="246" t="s">
        <v>384</v>
      </c>
      <c r="CV73" s="246" t="s">
        <v>384</v>
      </c>
      <c r="CW73" s="246" t="s">
        <v>384</v>
      </c>
      <c r="CX73" s="248">
        <v>0</v>
      </c>
      <c r="CY73" s="246" t="s">
        <v>384</v>
      </c>
      <c r="CZ73" s="246" t="s">
        <v>384</v>
      </c>
      <c r="DA73" s="246" t="s">
        <v>384</v>
      </c>
      <c r="DB73" s="246" t="s">
        <v>384</v>
      </c>
      <c r="DC73" s="248">
        <v>1.1200000000000001</v>
      </c>
      <c r="DD73" s="248">
        <v>51.83</v>
      </c>
      <c r="DE73" s="246" t="s">
        <v>384</v>
      </c>
      <c r="DF73" s="248">
        <v>0</v>
      </c>
      <c r="DG73" s="248">
        <v>0.04</v>
      </c>
      <c r="DH73" s="248">
        <v>56.73</v>
      </c>
      <c r="DI73" s="248">
        <v>1.0900000000000001</v>
      </c>
      <c r="DJ73" s="247">
        <v>-2.3E-2</v>
      </c>
      <c r="DK73" s="247">
        <v>1.9E-3</v>
      </c>
      <c r="DL73" s="246">
        <v>47.55</v>
      </c>
      <c r="DM73" s="246">
        <v>1.08</v>
      </c>
      <c r="DN73" s="246" t="s">
        <v>384</v>
      </c>
      <c r="DO73" s="246" t="s">
        <v>384</v>
      </c>
      <c r="DP73" s="246" t="s">
        <v>384</v>
      </c>
      <c r="DQ73" s="246" t="s">
        <v>1291</v>
      </c>
      <c r="DR73" s="246" t="s">
        <v>1292</v>
      </c>
      <c r="DS73" s="246" t="s">
        <v>1155</v>
      </c>
      <c r="DT73" s="246" t="e">
        <v>#REF!</v>
      </c>
      <c r="DU73" s="246" t="s">
        <v>1293</v>
      </c>
      <c r="DV73" s="246" t="s">
        <v>1294</v>
      </c>
      <c r="DW73" s="246" t="s">
        <v>853</v>
      </c>
      <c r="DX73" s="246" t="s">
        <v>388</v>
      </c>
      <c r="DY73" s="246" t="s">
        <v>1295</v>
      </c>
      <c r="DZ73" s="246">
        <v>16</v>
      </c>
      <c r="EA73" s="247">
        <v>-0.3952</v>
      </c>
      <c r="EB73" s="247">
        <v>0.13100000000000001</v>
      </c>
      <c r="EC73" s="247">
        <v>1.9006000000000001</v>
      </c>
      <c r="ED73" s="247">
        <v>0.2823</v>
      </c>
      <c r="EE73" s="247">
        <v>1.544</v>
      </c>
      <c r="EF73" s="247">
        <v>3.9199999999999999E-2</v>
      </c>
      <c r="EG73" s="247">
        <v>3.1399999999999997E-2</v>
      </c>
      <c r="EH73" s="247">
        <v>2E-3</v>
      </c>
      <c r="EI73" s="246" t="s">
        <v>1291</v>
      </c>
      <c r="EJ73" s="234">
        <v>0.04</v>
      </c>
      <c r="EK73" s="234">
        <v>0.48</v>
      </c>
      <c r="EL73" s="234" t="s">
        <v>854</v>
      </c>
      <c r="EM73" s="234" t="s">
        <v>1296</v>
      </c>
      <c r="EN73" s="234" t="s">
        <v>1297</v>
      </c>
      <c r="EO73" s="234" t="s">
        <v>1298</v>
      </c>
      <c r="EP73" s="234" t="s">
        <v>376</v>
      </c>
      <c r="EQ73" s="234" t="s">
        <v>377</v>
      </c>
      <c r="ER73" s="234">
        <v>0</v>
      </c>
      <c r="ES73" s="249">
        <v>-7.4399999999999994E-2</v>
      </c>
      <c r="ET73" s="234" t="s">
        <v>384</v>
      </c>
      <c r="EU73" s="250">
        <v>15.9</v>
      </c>
      <c r="EV73" s="234" t="s">
        <v>491</v>
      </c>
      <c r="EW73" s="250">
        <v>0</v>
      </c>
      <c r="EX73" s="250">
        <v>0</v>
      </c>
      <c r="EY73" s="250">
        <v>0</v>
      </c>
      <c r="EZ73" s="250">
        <v>21.2</v>
      </c>
      <c r="FA73" s="250">
        <v>12.5</v>
      </c>
      <c r="FB73" s="250">
        <v>7.52</v>
      </c>
      <c r="FC73" s="250">
        <v>2.75</v>
      </c>
      <c r="FD73" s="249">
        <v>0</v>
      </c>
      <c r="FE73" s="250">
        <v>0</v>
      </c>
      <c r="FF73" s="250">
        <v>0</v>
      </c>
    </row>
    <row r="74" spans="1:162">
      <c r="A74" s="234" t="s">
        <v>1299</v>
      </c>
      <c r="B74" s="234" t="s">
        <v>1300</v>
      </c>
      <c r="C74" s="246" t="s">
        <v>401</v>
      </c>
      <c r="D74" s="246" t="s">
        <v>362</v>
      </c>
      <c r="E74" s="246">
        <v>4210</v>
      </c>
      <c r="F74" s="246" t="s">
        <v>1034</v>
      </c>
      <c r="G74" s="246" t="s">
        <v>417</v>
      </c>
      <c r="H74" s="246" t="s">
        <v>418</v>
      </c>
      <c r="I74" s="246">
        <v>0.66930000000000001</v>
      </c>
      <c r="J74" s="246">
        <v>0.67689999999999995</v>
      </c>
      <c r="K74" s="247">
        <v>5.7799999999999997E-2</v>
      </c>
      <c r="L74" s="247">
        <v>7.8600000000000003E-2</v>
      </c>
      <c r="M74" s="246" t="s">
        <v>384</v>
      </c>
      <c r="N74" s="247">
        <v>1.9099999999999999E-2</v>
      </c>
      <c r="O74" s="247">
        <v>5.8599999999999999E-2</v>
      </c>
      <c r="P74" s="247">
        <v>4.4499999999999998E-2</v>
      </c>
      <c r="Q74" s="247">
        <v>7.8100000000000003E-2</v>
      </c>
      <c r="R74" s="247">
        <v>-0.10580000000000001</v>
      </c>
      <c r="S74" s="247">
        <v>-4.1300000000000003E-2</v>
      </c>
      <c r="T74" s="248">
        <v>31.1</v>
      </c>
      <c r="U74" s="248">
        <v>0</v>
      </c>
      <c r="V74" s="248">
        <v>0.46</v>
      </c>
      <c r="W74" s="248">
        <v>0.46</v>
      </c>
      <c r="X74" s="248">
        <v>31.56</v>
      </c>
      <c r="Y74" s="248">
        <v>4.47</v>
      </c>
      <c r="Z74" s="248">
        <v>27.09</v>
      </c>
      <c r="AA74" s="247">
        <v>0.1416</v>
      </c>
      <c r="AB74" s="246">
        <v>0.08</v>
      </c>
      <c r="AC74" s="247">
        <v>2.2700000000000001E-2</v>
      </c>
      <c r="AD74" s="247">
        <v>1.47E-2</v>
      </c>
      <c r="AE74" s="247">
        <v>2.3300000000000001E-2</v>
      </c>
      <c r="AF74" s="247">
        <v>1.49E-2</v>
      </c>
      <c r="AG74" s="248">
        <v>0.03</v>
      </c>
      <c r="AH74" s="246">
        <v>69.06</v>
      </c>
      <c r="AI74" s="246" t="s">
        <v>384</v>
      </c>
      <c r="AJ74" s="246">
        <v>1.0900000000000001</v>
      </c>
      <c r="AK74" s="247">
        <v>7.7499999999999999E-2</v>
      </c>
      <c r="AL74" s="247">
        <v>0.30049999999999999</v>
      </c>
      <c r="AM74" s="246">
        <v>0.28000000000000003</v>
      </c>
      <c r="AN74" s="233">
        <v>1.19</v>
      </c>
      <c r="AO74" s="246" t="s">
        <v>384</v>
      </c>
      <c r="AP74" s="246" t="s">
        <v>384</v>
      </c>
      <c r="AQ74" s="246" t="s">
        <v>384</v>
      </c>
      <c r="AR74" s="246" t="s">
        <v>384</v>
      </c>
      <c r="AS74" s="246" t="s">
        <v>384</v>
      </c>
      <c r="AT74" s="246">
        <v>1.56</v>
      </c>
      <c r="AU74" s="246">
        <v>14.9</v>
      </c>
      <c r="AV74" s="246">
        <v>2.57</v>
      </c>
      <c r="AW74" s="246">
        <v>23.56</v>
      </c>
      <c r="AX74" s="246">
        <v>15.84</v>
      </c>
      <c r="AY74" s="246">
        <v>2.2599999999999998</v>
      </c>
      <c r="AZ74" s="246">
        <v>2.2400000000000002</v>
      </c>
      <c r="BA74" s="246" t="s">
        <v>384</v>
      </c>
      <c r="BB74" s="247">
        <v>0</v>
      </c>
      <c r="BC74" s="247">
        <v>-0.20050000000000001</v>
      </c>
      <c r="BD74" s="246" t="s">
        <v>384</v>
      </c>
      <c r="BE74" s="246" t="s">
        <v>384</v>
      </c>
      <c r="BF74" s="246" t="s">
        <v>384</v>
      </c>
      <c r="BG74" s="246" t="s">
        <v>384</v>
      </c>
      <c r="BH74" s="246" t="s">
        <v>384</v>
      </c>
      <c r="BI74" s="246" t="s">
        <v>384</v>
      </c>
      <c r="BJ74" s="247">
        <v>-2.7199999999999998E-2</v>
      </c>
      <c r="BK74" s="247">
        <v>3.6900000000000002E-2</v>
      </c>
      <c r="BL74" s="246">
        <v>0.92</v>
      </c>
      <c r="BM74" s="247">
        <v>-3.9699999999999999E-2</v>
      </c>
      <c r="BN74" s="247">
        <v>8.0399999999999999E-2</v>
      </c>
      <c r="BO74" s="247">
        <v>0.36990000000000001</v>
      </c>
      <c r="BP74" s="247">
        <v>0.24</v>
      </c>
      <c r="BQ74" s="247">
        <v>0.5</v>
      </c>
      <c r="BR74" s="247">
        <v>2.1299999999999999E-2</v>
      </c>
      <c r="BS74" s="248">
        <v>-0.16</v>
      </c>
      <c r="BT74" s="248">
        <v>-0.56999999999999995</v>
      </c>
      <c r="BU74" s="248">
        <v>1.1499999999999999</v>
      </c>
      <c r="BV74" s="248">
        <v>1.1499999999999999</v>
      </c>
      <c r="BW74" s="248">
        <v>5.29</v>
      </c>
      <c r="BX74" s="248">
        <v>12.1</v>
      </c>
      <c r="BY74" s="248">
        <v>14.3</v>
      </c>
      <c r="BZ74" s="248">
        <v>2.0299999999999998</v>
      </c>
      <c r="CA74" s="248">
        <v>1.71</v>
      </c>
      <c r="CB74" s="248">
        <v>0.57999999999999996</v>
      </c>
      <c r="CC74" s="248">
        <v>0.54</v>
      </c>
      <c r="CD74" s="248">
        <v>-0.06</v>
      </c>
      <c r="CE74" s="248">
        <v>1.74</v>
      </c>
      <c r="CF74" s="247">
        <v>0.1216</v>
      </c>
      <c r="CG74" s="248">
        <v>1.75</v>
      </c>
      <c r="CH74" s="247">
        <v>2.9321999999999999</v>
      </c>
      <c r="CI74" s="248">
        <v>-1.1100000000000001</v>
      </c>
      <c r="CJ74" s="248">
        <v>-2.79</v>
      </c>
      <c r="CK74" s="248">
        <v>-2.25</v>
      </c>
      <c r="CL74" s="248">
        <v>20.9</v>
      </c>
      <c r="CM74" s="248">
        <v>15.6</v>
      </c>
      <c r="CN74" s="248">
        <v>19.899999999999999</v>
      </c>
      <c r="CO74" s="248">
        <v>12.01</v>
      </c>
      <c r="CP74" s="248">
        <v>0</v>
      </c>
      <c r="CQ74" s="246">
        <v>0.19</v>
      </c>
      <c r="CR74" s="246" t="s">
        <v>384</v>
      </c>
      <c r="CS74" s="246">
        <v>0.42</v>
      </c>
      <c r="CT74" s="246" t="s">
        <v>384</v>
      </c>
      <c r="CU74" s="246" t="s">
        <v>384</v>
      </c>
      <c r="CV74" s="246" t="s">
        <v>384</v>
      </c>
      <c r="CW74" s="246" t="s">
        <v>384</v>
      </c>
      <c r="CX74" s="248">
        <v>0</v>
      </c>
      <c r="CY74" s="248">
        <v>0.27</v>
      </c>
      <c r="CZ74" s="248">
        <v>0.84</v>
      </c>
      <c r="DA74" s="246" t="s">
        <v>384</v>
      </c>
      <c r="DB74" s="246" t="s">
        <v>384</v>
      </c>
      <c r="DC74" s="248">
        <v>1.71</v>
      </c>
      <c r="DD74" s="248">
        <v>27.09</v>
      </c>
      <c r="DE74" s="246" t="s">
        <v>384</v>
      </c>
      <c r="DF74" s="248">
        <v>0</v>
      </c>
      <c r="DG74" s="248">
        <v>1.1499999999999999</v>
      </c>
      <c r="DH74" s="248">
        <v>12.01</v>
      </c>
      <c r="DI74" s="248">
        <v>2.0299999999999998</v>
      </c>
      <c r="DJ74" s="247">
        <v>-2.7199999999999998E-2</v>
      </c>
      <c r="DK74" s="247">
        <v>3.6900000000000002E-2</v>
      </c>
      <c r="DL74" s="246">
        <v>13.35</v>
      </c>
      <c r="DM74" s="246">
        <v>0.56000000000000005</v>
      </c>
      <c r="DN74" s="246" t="s">
        <v>384</v>
      </c>
      <c r="DO74" s="246" t="s">
        <v>384</v>
      </c>
      <c r="DP74" s="246" t="s">
        <v>384</v>
      </c>
      <c r="DQ74" s="246" t="s">
        <v>1301</v>
      </c>
      <c r="DR74" s="246" t="s">
        <v>1302</v>
      </c>
      <c r="DS74" s="246" t="s">
        <v>1303</v>
      </c>
      <c r="DT74" s="246" t="e">
        <v>#REF!</v>
      </c>
      <c r="DU74" s="246" t="s">
        <v>616</v>
      </c>
      <c r="DV74" s="246" t="s">
        <v>1304</v>
      </c>
      <c r="DW74" s="246" t="s">
        <v>1305</v>
      </c>
      <c r="DX74" s="246" t="s">
        <v>1257</v>
      </c>
      <c r="DY74" s="246" t="s">
        <v>1306</v>
      </c>
      <c r="DZ74" s="246">
        <v>26</v>
      </c>
      <c r="EA74" s="247">
        <v>-0.1162</v>
      </c>
      <c r="EB74" s="247">
        <v>0.1229</v>
      </c>
      <c r="EC74" s="247">
        <v>-0.313</v>
      </c>
      <c r="ED74" s="247">
        <v>0.15190000000000001</v>
      </c>
      <c r="EE74" s="247">
        <v>-0.21460000000000001</v>
      </c>
      <c r="EF74" s="247">
        <v>1190.6667</v>
      </c>
      <c r="EG74" s="247">
        <v>-2</v>
      </c>
      <c r="EH74" s="247">
        <v>0.08</v>
      </c>
      <c r="EI74" s="246" t="s">
        <v>1307</v>
      </c>
      <c r="EJ74" s="234">
        <v>1.1499999999999999</v>
      </c>
      <c r="EK74" s="234">
        <v>-0.02</v>
      </c>
      <c r="EL74" s="234" t="s">
        <v>1250</v>
      </c>
      <c r="EM74" s="234" t="s">
        <v>1263</v>
      </c>
      <c r="EN74" s="234" t="s">
        <v>1308</v>
      </c>
      <c r="EO74" s="234" t="s">
        <v>1309</v>
      </c>
      <c r="EP74" s="234" t="s">
        <v>376</v>
      </c>
      <c r="EQ74" s="234" t="s">
        <v>377</v>
      </c>
      <c r="ER74" s="234">
        <v>0</v>
      </c>
      <c r="ES74" s="234" t="s">
        <v>384</v>
      </c>
      <c r="ET74" s="234" t="s">
        <v>384</v>
      </c>
      <c r="EU74" s="234" t="s">
        <v>384</v>
      </c>
      <c r="EV74" s="234" t="s">
        <v>491</v>
      </c>
      <c r="EW74" s="250">
        <v>62.3</v>
      </c>
      <c r="EX74" s="250">
        <v>70.900000000000006</v>
      </c>
      <c r="EY74" s="250">
        <v>44.4</v>
      </c>
      <c r="EZ74" s="250">
        <v>46.9</v>
      </c>
      <c r="FA74" s="250">
        <v>39.6</v>
      </c>
      <c r="FB74" s="250">
        <v>38.9</v>
      </c>
      <c r="FC74" s="250">
        <v>0</v>
      </c>
      <c r="FD74" s="249">
        <v>0</v>
      </c>
      <c r="FE74" s="250">
        <v>0</v>
      </c>
      <c r="FF74" s="250">
        <v>0</v>
      </c>
    </row>
    <row r="75" spans="1:162">
      <c r="A75" s="234" t="s">
        <v>1310</v>
      </c>
      <c r="B75" s="234" t="s">
        <v>1311</v>
      </c>
      <c r="C75" s="246" t="s">
        <v>401</v>
      </c>
      <c r="D75" s="246" t="s">
        <v>362</v>
      </c>
      <c r="E75" s="246">
        <v>4210</v>
      </c>
      <c r="F75" s="246" t="s">
        <v>642</v>
      </c>
      <c r="G75" s="246" t="s">
        <v>417</v>
      </c>
      <c r="H75" s="246" t="s">
        <v>642</v>
      </c>
      <c r="I75" s="246">
        <v>0.66930000000000001</v>
      </c>
      <c r="J75" s="246">
        <v>1.1646000000000001</v>
      </c>
      <c r="K75" s="247">
        <v>7.0800000000000002E-2</v>
      </c>
      <c r="L75" s="247">
        <v>0.122</v>
      </c>
      <c r="M75" s="246" t="s">
        <v>384</v>
      </c>
      <c r="N75" s="247">
        <v>2.76E-2</v>
      </c>
      <c r="O75" s="247">
        <v>6.7100000000000007E-2</v>
      </c>
      <c r="P75" s="247">
        <v>4.7E-2</v>
      </c>
      <c r="Q75" s="247">
        <v>8.3400000000000002E-2</v>
      </c>
      <c r="R75" s="247">
        <v>-3.09E-2</v>
      </c>
      <c r="S75" s="247">
        <v>5.9999999999999995E-4</v>
      </c>
      <c r="T75" s="248">
        <v>29.8</v>
      </c>
      <c r="U75" s="248">
        <v>0</v>
      </c>
      <c r="V75" s="248">
        <v>31.5</v>
      </c>
      <c r="W75" s="248">
        <v>31.5</v>
      </c>
      <c r="X75" s="248">
        <v>61.3</v>
      </c>
      <c r="Y75" s="248">
        <v>1.25</v>
      </c>
      <c r="Z75" s="248">
        <v>60.05</v>
      </c>
      <c r="AA75" s="247">
        <v>2.0400000000000001E-2</v>
      </c>
      <c r="AB75" s="246">
        <v>0.46</v>
      </c>
      <c r="AC75" s="247">
        <v>0.52149999999999996</v>
      </c>
      <c r="AD75" s="247">
        <v>0.51390000000000002</v>
      </c>
      <c r="AE75" s="247">
        <v>1.0900000000000001</v>
      </c>
      <c r="AF75" s="247">
        <v>1.0569999999999999</v>
      </c>
      <c r="AG75" s="248">
        <v>1.95</v>
      </c>
      <c r="AH75" s="246">
        <v>69.06</v>
      </c>
      <c r="AI75" s="247">
        <v>0.25390000000000001</v>
      </c>
      <c r="AJ75" s="246">
        <v>0.08</v>
      </c>
      <c r="AK75" s="247">
        <v>0.1265</v>
      </c>
      <c r="AL75" s="247">
        <v>0.43540000000000001</v>
      </c>
      <c r="AM75" s="246">
        <v>0.43</v>
      </c>
      <c r="AN75" s="233">
        <v>2.2400000000000002</v>
      </c>
      <c r="AO75" s="246">
        <v>11.92</v>
      </c>
      <c r="AP75" s="246">
        <v>12.74</v>
      </c>
      <c r="AQ75" s="246">
        <v>9.0500000000000007</v>
      </c>
      <c r="AR75" s="246" t="s">
        <v>384</v>
      </c>
      <c r="AS75" s="246" t="s">
        <v>384</v>
      </c>
      <c r="AT75" s="246">
        <v>1.03</v>
      </c>
      <c r="AU75" s="246">
        <v>1.64</v>
      </c>
      <c r="AV75" s="246">
        <v>0.46</v>
      </c>
      <c r="AW75" s="246">
        <v>10.16</v>
      </c>
      <c r="AX75" s="246">
        <v>7.92</v>
      </c>
      <c r="AY75" s="246">
        <v>1.02</v>
      </c>
      <c r="AZ75" s="246">
        <v>0.93</v>
      </c>
      <c r="BA75" s="247">
        <v>3.7999999999999999E-2</v>
      </c>
      <c r="BB75" s="247">
        <v>3.0000000000000001E-3</v>
      </c>
      <c r="BC75" s="247">
        <v>-0.2767</v>
      </c>
      <c r="BD75" s="247">
        <v>0.27400000000000002</v>
      </c>
      <c r="BE75" s="247">
        <v>0.73699999999999999</v>
      </c>
      <c r="BF75" s="247">
        <v>8.5999999999999993E-2</v>
      </c>
      <c r="BG75" s="247">
        <v>0.125</v>
      </c>
      <c r="BH75" s="246" t="s">
        <v>384</v>
      </c>
      <c r="BI75" s="246" t="s">
        <v>384</v>
      </c>
      <c r="BJ75" s="247">
        <v>9.11E-2</v>
      </c>
      <c r="BK75" s="247">
        <v>8.4000000000000005E-2</v>
      </c>
      <c r="BL75" s="246">
        <v>1.25</v>
      </c>
      <c r="BM75" s="247">
        <v>3.73E-2</v>
      </c>
      <c r="BN75" s="247">
        <v>9.4100000000000003E-2</v>
      </c>
      <c r="BO75" s="247">
        <v>0.2389</v>
      </c>
      <c r="BP75" s="247">
        <v>0.3</v>
      </c>
      <c r="BQ75" s="247">
        <v>0.28470000000000001</v>
      </c>
      <c r="BR75" s="247">
        <v>3.5200000000000002E-2</v>
      </c>
      <c r="BS75" s="248">
        <v>2.5</v>
      </c>
      <c r="BT75" s="248">
        <v>2.34</v>
      </c>
      <c r="BU75" s="248">
        <v>5.91</v>
      </c>
      <c r="BV75" s="248">
        <v>5.91</v>
      </c>
      <c r="BW75" s="248">
        <v>15</v>
      </c>
      <c r="BX75" s="248">
        <v>64.5</v>
      </c>
      <c r="BY75" s="248">
        <v>62.8</v>
      </c>
      <c r="BZ75" s="248">
        <v>7.83</v>
      </c>
      <c r="CA75" s="248">
        <v>7.58</v>
      </c>
      <c r="CB75" s="248">
        <v>4.2300000000000004</v>
      </c>
      <c r="CC75" s="248">
        <v>-2.87</v>
      </c>
      <c r="CD75" s="248">
        <v>6.45</v>
      </c>
      <c r="CE75" s="248">
        <v>27.46</v>
      </c>
      <c r="CF75" s="247">
        <v>0.43730000000000002</v>
      </c>
      <c r="CG75" s="248">
        <v>0.91</v>
      </c>
      <c r="CH75" s="247">
        <v>1.7386999999999999</v>
      </c>
      <c r="CI75" s="248">
        <v>-3.12</v>
      </c>
      <c r="CJ75" s="248">
        <v>-2.14</v>
      </c>
      <c r="CK75" s="248">
        <v>-5.01</v>
      </c>
      <c r="CL75" s="248">
        <v>25.7</v>
      </c>
      <c r="CM75" s="248">
        <v>50.32</v>
      </c>
      <c r="CN75" s="248">
        <v>28.9</v>
      </c>
      <c r="CO75" s="248">
        <v>59.15</v>
      </c>
      <c r="CP75" s="248">
        <v>-0.09</v>
      </c>
      <c r="CQ75" s="246">
        <v>0.46</v>
      </c>
      <c r="CR75" s="246">
        <v>-0.83</v>
      </c>
      <c r="CS75" s="246">
        <v>0.42</v>
      </c>
      <c r="CT75" s="246" t="s">
        <v>384</v>
      </c>
      <c r="CU75" s="246" t="s">
        <v>384</v>
      </c>
      <c r="CV75" s="246" t="s">
        <v>384</v>
      </c>
      <c r="CW75" s="246" t="s">
        <v>384</v>
      </c>
      <c r="CX75" s="248">
        <v>-0.09</v>
      </c>
      <c r="CY75" s="248">
        <v>3.27</v>
      </c>
      <c r="CZ75" s="248">
        <v>0.93</v>
      </c>
      <c r="DA75" s="248">
        <v>2.34</v>
      </c>
      <c r="DB75" s="248">
        <v>29.8</v>
      </c>
      <c r="DC75" s="248">
        <v>7.58</v>
      </c>
      <c r="DD75" s="248">
        <v>60.05</v>
      </c>
      <c r="DE75" s="248">
        <v>-2.14</v>
      </c>
      <c r="DF75" s="248">
        <v>0</v>
      </c>
      <c r="DG75" s="248">
        <v>5.91</v>
      </c>
      <c r="DH75" s="248">
        <v>59.15</v>
      </c>
      <c r="DI75" s="248">
        <v>7.83</v>
      </c>
      <c r="DJ75" s="247">
        <v>9.11E-2</v>
      </c>
      <c r="DK75" s="247">
        <v>8.4000000000000005E-2</v>
      </c>
      <c r="DL75" s="246">
        <v>7.67</v>
      </c>
      <c r="DM75" s="246">
        <v>5.0999999999999996</v>
      </c>
      <c r="DN75" s="246">
        <v>7.32</v>
      </c>
      <c r="DO75" s="246" t="s">
        <v>384</v>
      </c>
      <c r="DP75" s="246" t="s">
        <v>384</v>
      </c>
      <c r="DQ75" s="246" t="s">
        <v>1312</v>
      </c>
      <c r="DR75" s="246" t="s">
        <v>1184</v>
      </c>
      <c r="DS75" s="246" t="s">
        <v>1313</v>
      </c>
      <c r="DT75" s="246" t="e">
        <v>#REF!</v>
      </c>
      <c r="DU75" s="246" t="s">
        <v>1314</v>
      </c>
      <c r="DV75" s="246" t="s">
        <v>1315</v>
      </c>
      <c r="DW75" s="246" t="s">
        <v>748</v>
      </c>
      <c r="DX75" s="246" t="s">
        <v>1316</v>
      </c>
      <c r="DY75" s="246" t="s">
        <v>1317</v>
      </c>
      <c r="DZ75" s="246">
        <v>10</v>
      </c>
      <c r="EA75" s="247">
        <v>-0.32050000000000001</v>
      </c>
      <c r="EB75" s="247">
        <v>0.2109</v>
      </c>
      <c r="EC75" s="247">
        <v>-0.2903</v>
      </c>
      <c r="ED75" s="247">
        <v>-0.2137</v>
      </c>
      <c r="EE75" s="247">
        <v>-0.54079999999999995</v>
      </c>
      <c r="EF75" s="247">
        <v>-2.7900000000000001E-2</v>
      </c>
      <c r="EG75" s="247">
        <v>9.4299999999999995E-2</v>
      </c>
      <c r="EH75" s="247">
        <v>9.4E-2</v>
      </c>
      <c r="EI75" s="246" t="s">
        <v>1312</v>
      </c>
      <c r="EJ75" s="234">
        <v>5.91</v>
      </c>
      <c r="EK75" s="234">
        <v>6.09</v>
      </c>
      <c r="EL75" s="234" t="s">
        <v>1318</v>
      </c>
      <c r="EM75" s="234" t="s">
        <v>1319</v>
      </c>
      <c r="EN75" s="234" t="s">
        <v>1320</v>
      </c>
      <c r="EO75" s="234" t="s">
        <v>1321</v>
      </c>
      <c r="EP75" s="234" t="s">
        <v>376</v>
      </c>
      <c r="EQ75" s="234" t="s">
        <v>377</v>
      </c>
      <c r="ER75" s="234">
        <v>1</v>
      </c>
      <c r="ES75" s="249">
        <v>7.3300000000000004E-2</v>
      </c>
      <c r="ET75" s="234" t="s">
        <v>384</v>
      </c>
      <c r="EU75" s="250">
        <v>62.8</v>
      </c>
      <c r="EV75" s="234" t="s">
        <v>491</v>
      </c>
      <c r="EW75" s="250">
        <v>0</v>
      </c>
      <c r="EX75" s="250">
        <v>11</v>
      </c>
      <c r="EY75" s="250">
        <v>0</v>
      </c>
      <c r="EZ75" s="250">
        <v>53.2</v>
      </c>
      <c r="FA75" s="250">
        <v>64.900000000000006</v>
      </c>
      <c r="FB75" s="250">
        <v>41.2</v>
      </c>
      <c r="FC75" s="250">
        <v>0</v>
      </c>
      <c r="FD75" s="249">
        <v>0</v>
      </c>
      <c r="FE75" s="250">
        <v>0</v>
      </c>
      <c r="FF75" s="250">
        <v>0</v>
      </c>
    </row>
    <row r="76" spans="1:162">
      <c r="A76" s="234" t="s">
        <v>1322</v>
      </c>
      <c r="B76" s="234" t="s">
        <v>1323</v>
      </c>
      <c r="C76" s="246" t="s">
        <v>932</v>
      </c>
      <c r="D76" s="246" t="s">
        <v>362</v>
      </c>
      <c r="E76" s="246">
        <v>4210</v>
      </c>
      <c r="F76" s="246" t="s">
        <v>416</v>
      </c>
      <c r="G76" s="246" t="s">
        <v>417</v>
      </c>
      <c r="H76" s="246" t="s">
        <v>418</v>
      </c>
      <c r="I76" s="246">
        <v>0.89129999999999998</v>
      </c>
      <c r="J76" s="246">
        <v>3.0221</v>
      </c>
      <c r="K76" s="247">
        <v>4.2299999999999997E-2</v>
      </c>
      <c r="L76" s="247">
        <v>0.1673</v>
      </c>
      <c r="M76" s="246" t="s">
        <v>384</v>
      </c>
      <c r="N76" s="247">
        <v>8.8999999999999999E-3</v>
      </c>
      <c r="O76" s="247">
        <v>4.8399999999999999E-2</v>
      </c>
      <c r="P76" s="247">
        <v>4.0099999999999997E-2</v>
      </c>
      <c r="Q76" s="247">
        <v>7.2900000000000006E-2</v>
      </c>
      <c r="R76" s="247">
        <v>-8.0299999999999996E-2</v>
      </c>
      <c r="S76" s="247">
        <v>-9.1200000000000003E-2</v>
      </c>
      <c r="T76" s="248">
        <v>25.9</v>
      </c>
      <c r="U76" s="248">
        <v>0</v>
      </c>
      <c r="V76" s="248">
        <v>74.599999999999994</v>
      </c>
      <c r="W76" s="248">
        <v>74.599999999999994</v>
      </c>
      <c r="X76" s="248">
        <v>100.5</v>
      </c>
      <c r="Y76" s="248">
        <v>13.4</v>
      </c>
      <c r="Z76" s="248">
        <v>87.1</v>
      </c>
      <c r="AA76" s="247">
        <v>0.1333</v>
      </c>
      <c r="AB76" s="246">
        <v>1.1399999999999999</v>
      </c>
      <c r="AC76" s="247">
        <v>0.53859999999999997</v>
      </c>
      <c r="AD76" s="247">
        <v>0.74229999999999996</v>
      </c>
      <c r="AE76" s="247">
        <v>1.1674</v>
      </c>
      <c r="AF76" s="247">
        <v>2.8803000000000001</v>
      </c>
      <c r="AG76" s="248">
        <v>7.0000000000000007E-2</v>
      </c>
      <c r="AH76" s="246">
        <v>69.06</v>
      </c>
      <c r="AI76" s="247">
        <v>-1.6799999999999999E-2</v>
      </c>
      <c r="AJ76" s="246">
        <v>0.98</v>
      </c>
      <c r="AK76" s="247">
        <v>0.1414</v>
      </c>
      <c r="AL76" s="247">
        <v>0.39539999999999997</v>
      </c>
      <c r="AM76" s="246">
        <v>0.28000000000000003</v>
      </c>
      <c r="AN76" s="233" t="s">
        <v>384</v>
      </c>
      <c r="AO76" s="246">
        <v>1.01</v>
      </c>
      <c r="AP76" s="246">
        <v>4.33</v>
      </c>
      <c r="AQ76" s="246">
        <v>0.91</v>
      </c>
      <c r="AR76" s="246" t="s">
        <v>384</v>
      </c>
      <c r="AS76" s="246" t="s">
        <v>384</v>
      </c>
      <c r="AT76" s="246">
        <v>0.41</v>
      </c>
      <c r="AU76" s="246">
        <v>0.3</v>
      </c>
      <c r="AV76" s="246">
        <v>0.3</v>
      </c>
      <c r="AW76" s="246" t="s">
        <v>384</v>
      </c>
      <c r="AX76" s="246">
        <v>8710</v>
      </c>
      <c r="AY76" s="246">
        <v>0.7</v>
      </c>
      <c r="AZ76" s="246">
        <v>1.01</v>
      </c>
      <c r="BA76" s="247">
        <v>1.4916</v>
      </c>
      <c r="BB76" s="247">
        <v>0.34439999999999998</v>
      </c>
      <c r="BC76" s="247">
        <v>0.42309999999999998</v>
      </c>
      <c r="BD76" s="247">
        <v>0.58499999999999996</v>
      </c>
      <c r="BE76" s="246" t="s">
        <v>384</v>
      </c>
      <c r="BF76" s="247">
        <v>-0.128</v>
      </c>
      <c r="BG76" s="247">
        <v>7.6E-3</v>
      </c>
      <c r="BH76" s="246" t="s">
        <v>384</v>
      </c>
      <c r="BI76" s="246" t="s">
        <v>384</v>
      </c>
      <c r="BJ76" s="247">
        <v>8.6999999999999994E-2</v>
      </c>
      <c r="BK76" s="247">
        <v>-1.8200000000000001E-2</v>
      </c>
      <c r="BL76" s="246">
        <v>0.87</v>
      </c>
      <c r="BM76" s="247">
        <v>7.1999999999999995E-2</v>
      </c>
      <c r="BN76" s="247">
        <v>-2.0799999999999999E-2</v>
      </c>
      <c r="BO76" s="247">
        <v>0.19040000000000001</v>
      </c>
      <c r="BP76" s="247">
        <v>0.17</v>
      </c>
      <c r="BQ76" s="247">
        <v>0</v>
      </c>
      <c r="BR76" s="246" t="s">
        <v>384</v>
      </c>
      <c r="BS76" s="248">
        <v>25.6</v>
      </c>
      <c r="BT76" s="248">
        <v>5.98</v>
      </c>
      <c r="BU76" s="248">
        <v>-1.73</v>
      </c>
      <c r="BV76" s="248">
        <v>-1.73</v>
      </c>
      <c r="BW76" s="248">
        <v>15.8</v>
      </c>
      <c r="BX76" s="248">
        <v>86.6</v>
      </c>
      <c r="BY76" s="248">
        <v>83</v>
      </c>
      <c r="BZ76" s="248">
        <v>1.6</v>
      </c>
      <c r="CA76" s="248">
        <v>0.01</v>
      </c>
      <c r="CB76" s="248">
        <v>-1.73</v>
      </c>
      <c r="CC76" s="248">
        <v>-2.1</v>
      </c>
      <c r="CD76" s="248">
        <v>5.61</v>
      </c>
      <c r="CE76" s="248">
        <v>15.06</v>
      </c>
      <c r="CF76" s="247">
        <v>0.18140000000000001</v>
      </c>
      <c r="CG76" s="248">
        <v>30.3</v>
      </c>
      <c r="CH76" s="246" t="s">
        <v>384</v>
      </c>
      <c r="CI76" s="248">
        <v>-37.64</v>
      </c>
      <c r="CJ76" s="248">
        <v>-27.83</v>
      </c>
      <c r="CK76" s="248">
        <v>-29.93</v>
      </c>
      <c r="CL76" s="248">
        <v>68.7</v>
      </c>
      <c r="CM76" s="248">
        <v>94.9</v>
      </c>
      <c r="CN76" s="248">
        <v>63.9</v>
      </c>
      <c r="CO76" s="248">
        <v>125.1</v>
      </c>
      <c r="CP76" s="248">
        <v>-8.92</v>
      </c>
      <c r="CQ76" s="246">
        <v>0.47</v>
      </c>
      <c r="CR76" s="246">
        <v>0.31</v>
      </c>
      <c r="CS76" s="246">
        <v>0.42</v>
      </c>
      <c r="CT76" s="246">
        <v>1.63</v>
      </c>
      <c r="CU76" s="246">
        <v>0.82</v>
      </c>
      <c r="CV76" s="248">
        <v>7.0000000000000007E-2</v>
      </c>
      <c r="CW76" s="248">
        <v>0.37</v>
      </c>
      <c r="CX76" s="248">
        <v>-9.18</v>
      </c>
      <c r="CY76" s="246" t="s">
        <v>384</v>
      </c>
      <c r="CZ76" s="246" t="s">
        <v>384</v>
      </c>
      <c r="DA76" s="248">
        <v>5.98</v>
      </c>
      <c r="DB76" s="248">
        <v>25.9</v>
      </c>
      <c r="DC76" s="248">
        <v>0.01</v>
      </c>
      <c r="DD76" s="248">
        <v>87.1</v>
      </c>
      <c r="DE76" s="248">
        <v>-27.83</v>
      </c>
      <c r="DF76" s="248">
        <v>0</v>
      </c>
      <c r="DG76" s="248">
        <v>-1.73</v>
      </c>
      <c r="DH76" s="248">
        <v>125.1</v>
      </c>
      <c r="DI76" s="248">
        <v>1.6</v>
      </c>
      <c r="DJ76" s="247">
        <v>8.6999999999999994E-2</v>
      </c>
      <c r="DK76" s="247">
        <v>-1.8200000000000001E-2</v>
      </c>
      <c r="DL76" s="246">
        <v>54.44</v>
      </c>
      <c r="DM76" s="246">
        <v>1.74</v>
      </c>
      <c r="DN76" s="246">
        <v>54.48</v>
      </c>
      <c r="DO76" s="246">
        <v>7.0000000000000007E-2</v>
      </c>
      <c r="DP76" s="247">
        <v>8.0000000000000004E-4</v>
      </c>
      <c r="DQ76" s="246" t="s">
        <v>1324</v>
      </c>
      <c r="DR76" s="246" t="s">
        <v>861</v>
      </c>
      <c r="DS76" s="246" t="s">
        <v>1325</v>
      </c>
      <c r="DT76" s="246" t="e">
        <v>#REF!</v>
      </c>
      <c r="DU76" s="246" t="s">
        <v>388</v>
      </c>
      <c r="DV76" s="248">
        <v>-1.73</v>
      </c>
      <c r="DW76" s="246" t="s">
        <v>1326</v>
      </c>
      <c r="DX76" s="246" t="s">
        <v>1327</v>
      </c>
      <c r="DY76" s="246" t="s">
        <v>1328</v>
      </c>
      <c r="DZ76" s="246">
        <v>25</v>
      </c>
      <c r="EA76" s="247">
        <v>-7.1099999999999997E-2</v>
      </c>
      <c r="EB76" s="247">
        <v>-5.1000000000000004E-3</v>
      </c>
      <c r="EC76" s="247">
        <v>0.13850000000000001</v>
      </c>
      <c r="ED76" s="247">
        <v>0.16669999999999999</v>
      </c>
      <c r="EE76" s="247">
        <v>0.22750000000000001</v>
      </c>
      <c r="EF76" s="247">
        <v>-5.3600000000000002E-2</v>
      </c>
      <c r="EG76" s="247">
        <v>-2.3900000000000001E-2</v>
      </c>
      <c r="EH76" s="247">
        <v>-2.1000000000000001E-2</v>
      </c>
      <c r="EI76" s="246" t="s">
        <v>1324</v>
      </c>
      <c r="EJ76" s="234">
        <v>-1.73</v>
      </c>
      <c r="EK76" s="234">
        <v>-2.1</v>
      </c>
      <c r="EL76" s="234" t="s">
        <v>1329</v>
      </c>
      <c r="EM76" s="234" t="s">
        <v>1330</v>
      </c>
      <c r="EN76" s="234" t="s">
        <v>1331</v>
      </c>
      <c r="EO76" s="234" t="s">
        <v>1332</v>
      </c>
      <c r="EP76" s="234" t="s">
        <v>376</v>
      </c>
      <c r="EQ76" s="234" t="s">
        <v>377</v>
      </c>
      <c r="ER76" s="234">
        <v>1</v>
      </c>
      <c r="ES76" s="249">
        <v>-1.2800000000000001E-2</v>
      </c>
      <c r="ET76" s="234" t="s">
        <v>384</v>
      </c>
      <c r="EU76" s="250">
        <v>83</v>
      </c>
      <c r="EV76" s="234" t="s">
        <v>491</v>
      </c>
      <c r="EW76" s="250">
        <v>6.24</v>
      </c>
      <c r="EX76" s="250">
        <v>20.6</v>
      </c>
      <c r="EY76" s="250">
        <v>16.5</v>
      </c>
      <c r="EZ76" s="250">
        <v>24.6</v>
      </c>
      <c r="FA76" s="250">
        <v>21.1</v>
      </c>
      <c r="FB76" s="250">
        <v>18.2</v>
      </c>
      <c r="FC76" s="250">
        <v>0</v>
      </c>
      <c r="FD76" s="249">
        <v>0</v>
      </c>
      <c r="FE76" s="250">
        <v>0</v>
      </c>
      <c r="FF76" s="250">
        <v>0</v>
      </c>
    </row>
    <row r="77" spans="1:162">
      <c r="A77" s="234" t="s">
        <v>1333</v>
      </c>
      <c r="B77" s="234" t="s">
        <v>1334</v>
      </c>
      <c r="C77" s="246" t="s">
        <v>401</v>
      </c>
      <c r="D77" s="246" t="s">
        <v>362</v>
      </c>
      <c r="E77" s="246">
        <v>4210</v>
      </c>
      <c r="F77" s="246" t="s">
        <v>494</v>
      </c>
      <c r="G77" s="246" t="s">
        <v>494</v>
      </c>
      <c r="H77" s="246" t="s">
        <v>494</v>
      </c>
      <c r="I77" s="246">
        <v>0.66930000000000001</v>
      </c>
      <c r="J77" s="246">
        <v>0.93059999999999998</v>
      </c>
      <c r="K77" s="247">
        <v>5.1400000000000001E-2</v>
      </c>
      <c r="L77" s="247">
        <v>8.7300000000000003E-2</v>
      </c>
      <c r="M77" s="246" t="s">
        <v>384</v>
      </c>
      <c r="N77" s="247">
        <v>2.4400000000000002E-2</v>
      </c>
      <c r="O77" s="247">
        <v>6.3899999999999998E-2</v>
      </c>
      <c r="P77" s="247">
        <v>4.4900000000000002E-2</v>
      </c>
      <c r="Q77" s="247">
        <v>7.22E-2</v>
      </c>
      <c r="R77" s="247">
        <v>-4.4600000000000001E-2</v>
      </c>
      <c r="S77" s="247">
        <v>-5.45E-2</v>
      </c>
      <c r="T77" s="248">
        <v>25.7</v>
      </c>
      <c r="U77" s="248">
        <v>1.78</v>
      </c>
      <c r="V77" s="248">
        <v>12.5</v>
      </c>
      <c r="W77" s="248">
        <v>14.28</v>
      </c>
      <c r="X77" s="248">
        <v>39.979999999999997</v>
      </c>
      <c r="Y77" s="248">
        <v>6.62</v>
      </c>
      <c r="Z77" s="248">
        <v>33.36</v>
      </c>
      <c r="AA77" s="247">
        <v>0.1656</v>
      </c>
      <c r="AB77" s="246">
        <v>0.44</v>
      </c>
      <c r="AC77" s="247">
        <v>0.32029999999999997</v>
      </c>
      <c r="AD77" s="247">
        <v>0.35709999999999997</v>
      </c>
      <c r="AE77" s="247">
        <v>0.47120000000000001</v>
      </c>
      <c r="AF77" s="247">
        <v>0.55559999999999998</v>
      </c>
      <c r="AG77" s="248">
        <v>8.9700000000000006</v>
      </c>
      <c r="AH77" s="246">
        <v>24.3</v>
      </c>
      <c r="AI77" s="247">
        <v>0.1704</v>
      </c>
      <c r="AJ77" s="246">
        <v>1.27</v>
      </c>
      <c r="AK77" s="247">
        <v>0.10489999999999999</v>
      </c>
      <c r="AL77" s="247">
        <v>0.6956</v>
      </c>
      <c r="AM77" s="246">
        <v>0.25</v>
      </c>
      <c r="AN77" s="233">
        <v>4.9800000000000004</v>
      </c>
      <c r="AO77" s="246">
        <v>37.35</v>
      </c>
      <c r="AP77" s="246">
        <v>20.399999999999999</v>
      </c>
      <c r="AQ77" s="246">
        <v>32.58</v>
      </c>
      <c r="AR77" s="246" t="s">
        <v>384</v>
      </c>
      <c r="AS77" s="246" t="s">
        <v>384</v>
      </c>
      <c r="AT77" s="246">
        <v>0.85</v>
      </c>
      <c r="AU77" s="246">
        <v>0.87</v>
      </c>
      <c r="AV77" s="246">
        <v>0.46</v>
      </c>
      <c r="AW77" s="246">
        <v>39.04</v>
      </c>
      <c r="AX77" s="246">
        <v>8.85</v>
      </c>
      <c r="AY77" s="246">
        <v>0.88</v>
      </c>
      <c r="AZ77" s="246">
        <v>0.59</v>
      </c>
      <c r="BA77" s="247">
        <v>0.15</v>
      </c>
      <c r="BB77" s="247">
        <v>7.4000000000000003E-3</v>
      </c>
      <c r="BC77" s="247">
        <v>0.10780000000000001</v>
      </c>
      <c r="BD77" s="247">
        <v>0.06</v>
      </c>
      <c r="BE77" s="247">
        <v>0.15</v>
      </c>
      <c r="BF77" s="247">
        <v>-8.0999999999999996E-3</v>
      </c>
      <c r="BG77" s="247">
        <v>5.1000000000000004E-3</v>
      </c>
      <c r="BH77" s="246" t="s">
        <v>384</v>
      </c>
      <c r="BI77" s="246" t="s">
        <v>384</v>
      </c>
      <c r="BJ77" s="247">
        <v>4.2700000000000002E-2</v>
      </c>
      <c r="BK77" s="247">
        <v>1.77E-2</v>
      </c>
      <c r="BL77" s="246">
        <v>1.68</v>
      </c>
      <c r="BM77" s="247">
        <v>2.1299999999999999E-2</v>
      </c>
      <c r="BN77" s="247">
        <v>1.4500000000000001E-2</v>
      </c>
      <c r="BO77" s="247">
        <v>8.4099999999999994E-2</v>
      </c>
      <c r="BP77" s="247">
        <v>0.2974</v>
      </c>
      <c r="BQ77" s="247">
        <v>0.27029999999999998</v>
      </c>
      <c r="BR77" s="247">
        <v>5.57E-2</v>
      </c>
      <c r="BS77" s="248">
        <v>0.69</v>
      </c>
      <c r="BT77" s="248">
        <v>1.26</v>
      </c>
      <c r="BU77" s="248">
        <v>1.01</v>
      </c>
      <c r="BV77" s="248">
        <v>0.85</v>
      </c>
      <c r="BW77" s="248">
        <v>4.97</v>
      </c>
      <c r="BX77" s="248">
        <v>56.2</v>
      </c>
      <c r="BY77" s="248">
        <v>59.1</v>
      </c>
      <c r="BZ77" s="248">
        <v>2.59</v>
      </c>
      <c r="CA77" s="248">
        <v>3.77</v>
      </c>
      <c r="CB77" s="248">
        <v>0.62</v>
      </c>
      <c r="CC77" s="248">
        <v>0.27</v>
      </c>
      <c r="CD77" s="248">
        <v>-0.37</v>
      </c>
      <c r="CE77" s="248">
        <v>5.39</v>
      </c>
      <c r="CF77" s="247">
        <v>9.1200000000000003E-2</v>
      </c>
      <c r="CG77" s="248">
        <v>0.99</v>
      </c>
      <c r="CH77" s="247">
        <v>1.0024</v>
      </c>
      <c r="CI77" s="248">
        <v>0</v>
      </c>
      <c r="CJ77" s="248">
        <v>0.37</v>
      </c>
      <c r="CK77" s="248">
        <v>0.64</v>
      </c>
      <c r="CL77" s="248">
        <v>29.5</v>
      </c>
      <c r="CM77" s="248">
        <v>35.21</v>
      </c>
      <c r="CN77" s="248">
        <v>30.3</v>
      </c>
      <c r="CO77" s="248">
        <v>37.96</v>
      </c>
      <c r="CP77" s="248">
        <v>-0.19</v>
      </c>
      <c r="CQ77" s="246">
        <v>0.61</v>
      </c>
      <c r="CR77" s="246">
        <v>0.41</v>
      </c>
      <c r="CS77" s="246">
        <v>0.43</v>
      </c>
      <c r="CT77" s="246">
        <v>0.73</v>
      </c>
      <c r="CU77" s="246">
        <v>0.49</v>
      </c>
      <c r="CV77" s="248">
        <v>1.1000000000000001</v>
      </c>
      <c r="CW77" s="248">
        <v>1.06</v>
      </c>
      <c r="CX77" s="248">
        <v>-0.68</v>
      </c>
      <c r="CY77" s="248">
        <v>1.75</v>
      </c>
      <c r="CZ77" s="248">
        <v>0.47</v>
      </c>
      <c r="DA77" s="248">
        <v>1.26</v>
      </c>
      <c r="DB77" s="248">
        <v>25.7</v>
      </c>
      <c r="DC77" s="248">
        <v>3.77</v>
      </c>
      <c r="DD77" s="248">
        <v>33.36</v>
      </c>
      <c r="DE77" s="248">
        <v>0.37</v>
      </c>
      <c r="DF77" s="248">
        <v>0</v>
      </c>
      <c r="DG77" s="248">
        <v>0.85</v>
      </c>
      <c r="DH77" s="248">
        <v>37.96</v>
      </c>
      <c r="DI77" s="248">
        <v>2.59</v>
      </c>
      <c r="DJ77" s="247">
        <v>4.2700000000000002E-2</v>
      </c>
      <c r="DK77" s="247">
        <v>1.77E-2</v>
      </c>
      <c r="DL77" s="246">
        <v>12.88</v>
      </c>
      <c r="DM77" s="246">
        <v>0.06</v>
      </c>
      <c r="DN77" s="246">
        <v>27.1</v>
      </c>
      <c r="DO77" s="246">
        <v>1.1000000000000001</v>
      </c>
      <c r="DP77" s="247">
        <v>3.3799999999999997E-2</v>
      </c>
      <c r="DQ77" s="246" t="s">
        <v>1335</v>
      </c>
      <c r="DR77" s="246" t="s">
        <v>1336</v>
      </c>
      <c r="DS77" s="246" t="s">
        <v>644</v>
      </c>
      <c r="DT77" s="246" t="e">
        <v>#REF!</v>
      </c>
      <c r="DU77" s="246" t="s">
        <v>388</v>
      </c>
      <c r="DV77" s="246" t="s">
        <v>1337</v>
      </c>
      <c r="DW77" s="246" t="s">
        <v>1338</v>
      </c>
      <c r="DX77" s="246" t="s">
        <v>1339</v>
      </c>
      <c r="DY77" s="246" t="s">
        <v>1340</v>
      </c>
      <c r="DZ77" s="246">
        <v>129</v>
      </c>
      <c r="EA77" s="247">
        <v>-0.24829999999999999</v>
      </c>
      <c r="EB77" s="247">
        <v>4.4000000000000003E-3</v>
      </c>
      <c r="EC77" s="247">
        <v>0.1053</v>
      </c>
      <c r="ED77" s="247">
        <v>1.9800000000000002E-2</v>
      </c>
      <c r="EE77" s="247">
        <v>-0.14899999999999999</v>
      </c>
      <c r="EF77" s="247">
        <v>-8.3999999999999995E-3</v>
      </c>
      <c r="EG77" s="247">
        <v>3.3E-3</v>
      </c>
      <c r="EH77" s="247">
        <v>1.4E-2</v>
      </c>
      <c r="EI77" s="246" t="s">
        <v>1335</v>
      </c>
      <c r="EJ77" s="234">
        <v>1.01</v>
      </c>
      <c r="EK77" s="234">
        <v>0.19</v>
      </c>
      <c r="EL77" s="234" t="s">
        <v>1341</v>
      </c>
      <c r="EM77" s="234" t="s">
        <v>1026</v>
      </c>
      <c r="EN77" s="234" t="s">
        <v>1342</v>
      </c>
      <c r="EO77" s="234" t="s">
        <v>1343</v>
      </c>
      <c r="EP77" s="234" t="s">
        <v>376</v>
      </c>
      <c r="EQ77" s="234" t="s">
        <v>377</v>
      </c>
      <c r="ER77" s="234">
        <v>1</v>
      </c>
      <c r="ES77" s="249">
        <v>-6.2899999999999998E-2</v>
      </c>
      <c r="ET77" s="234" t="s">
        <v>384</v>
      </c>
      <c r="EU77" s="250">
        <v>59.1</v>
      </c>
      <c r="EV77" s="234" t="s">
        <v>491</v>
      </c>
      <c r="EW77" s="250">
        <v>9.2899999999999991</v>
      </c>
      <c r="EX77" s="250">
        <v>16.600000000000001</v>
      </c>
      <c r="EY77" s="250">
        <v>12.6</v>
      </c>
      <c r="EZ77" s="250">
        <v>13.2</v>
      </c>
      <c r="FA77" s="250">
        <v>30.2</v>
      </c>
      <c r="FB77" s="250">
        <v>23.2</v>
      </c>
      <c r="FC77" s="250">
        <v>5.59</v>
      </c>
      <c r="FD77" s="249">
        <v>0</v>
      </c>
      <c r="FE77" s="250">
        <v>0</v>
      </c>
      <c r="FF77" s="250">
        <v>0</v>
      </c>
    </row>
    <row r="78" spans="1:162">
      <c r="A78" s="234" t="s">
        <v>1344</v>
      </c>
      <c r="B78" s="234" t="s">
        <v>1345</v>
      </c>
      <c r="C78" s="246" t="s">
        <v>401</v>
      </c>
      <c r="D78" s="246" t="s">
        <v>362</v>
      </c>
      <c r="E78" s="246">
        <v>4210</v>
      </c>
      <c r="F78" s="246" t="s">
        <v>416</v>
      </c>
      <c r="G78" s="246" t="s">
        <v>417</v>
      </c>
      <c r="H78" s="246" t="s">
        <v>418</v>
      </c>
      <c r="I78" s="246">
        <v>0.66930000000000001</v>
      </c>
      <c r="J78" s="246">
        <v>0.88109999999999999</v>
      </c>
      <c r="K78" s="247">
        <v>4.2299999999999997E-2</v>
      </c>
      <c r="L78" s="247">
        <v>7.6799999999999993E-2</v>
      </c>
      <c r="M78" s="246" t="s">
        <v>384</v>
      </c>
      <c r="N78" s="247">
        <v>1.11E-2</v>
      </c>
      <c r="O78" s="247">
        <v>5.0599999999999999E-2</v>
      </c>
      <c r="P78" s="247">
        <v>4.2000000000000003E-2</v>
      </c>
      <c r="Q78" s="247">
        <v>6.7199999999999996E-2</v>
      </c>
      <c r="R78" s="247">
        <v>-7.2599999999999998E-2</v>
      </c>
      <c r="S78" s="247">
        <v>-5.5399999999999998E-2</v>
      </c>
      <c r="T78" s="248">
        <v>24.6</v>
      </c>
      <c r="U78" s="248">
        <v>0</v>
      </c>
      <c r="V78" s="248">
        <v>9.3800000000000008</v>
      </c>
      <c r="W78" s="248">
        <v>9.3800000000000008</v>
      </c>
      <c r="X78" s="248">
        <v>33.979999999999997</v>
      </c>
      <c r="Y78" s="248">
        <v>9.48</v>
      </c>
      <c r="Z78" s="248">
        <v>24.5</v>
      </c>
      <c r="AA78" s="247">
        <v>0.27900000000000003</v>
      </c>
      <c r="AB78" s="246">
        <v>0.21</v>
      </c>
      <c r="AC78" s="247">
        <v>0.18360000000000001</v>
      </c>
      <c r="AD78" s="247">
        <v>0.27600000000000002</v>
      </c>
      <c r="AE78" s="247">
        <v>0.22489999999999999</v>
      </c>
      <c r="AF78" s="247">
        <v>0.38129999999999997</v>
      </c>
      <c r="AG78" s="248">
        <v>0.02</v>
      </c>
      <c r="AH78" s="246">
        <v>69.06</v>
      </c>
      <c r="AI78" s="246" t="s">
        <v>384</v>
      </c>
      <c r="AJ78" s="246">
        <v>0.42</v>
      </c>
      <c r="AK78" s="246" t="s">
        <v>384</v>
      </c>
      <c r="AL78" s="246" t="s">
        <v>384</v>
      </c>
      <c r="AM78" s="246">
        <v>0.35</v>
      </c>
      <c r="AN78" s="233">
        <v>1.74</v>
      </c>
      <c r="AO78" s="246">
        <v>6.68</v>
      </c>
      <c r="AP78" s="246">
        <v>155.69999999999999</v>
      </c>
      <c r="AQ78" s="246">
        <v>5</v>
      </c>
      <c r="AR78" s="246" t="s">
        <v>384</v>
      </c>
      <c r="AS78" s="246" t="s">
        <v>384</v>
      </c>
      <c r="AT78" s="246">
        <v>0.59</v>
      </c>
      <c r="AU78" s="246">
        <v>0.46</v>
      </c>
      <c r="AV78" s="246">
        <v>0.51</v>
      </c>
      <c r="AW78" s="246">
        <v>42.68</v>
      </c>
      <c r="AX78" s="246">
        <v>2.52</v>
      </c>
      <c r="AY78" s="246">
        <v>0.59</v>
      </c>
      <c r="AZ78" s="246">
        <v>0.51</v>
      </c>
      <c r="BA78" s="247">
        <v>0</v>
      </c>
      <c r="BB78" s="247">
        <v>0</v>
      </c>
      <c r="BC78" s="247">
        <v>0.33700000000000002</v>
      </c>
      <c r="BD78" s="247">
        <v>-0.64400000000000002</v>
      </c>
      <c r="BE78" s="246" t="s">
        <v>384</v>
      </c>
      <c r="BF78" s="247">
        <v>8.0199999999999994E-2</v>
      </c>
      <c r="BG78" s="246" t="s">
        <v>384</v>
      </c>
      <c r="BH78" s="246" t="s">
        <v>384</v>
      </c>
      <c r="BI78" s="246" t="s">
        <v>384</v>
      </c>
      <c r="BJ78" s="247">
        <v>4.1000000000000003E-3</v>
      </c>
      <c r="BK78" s="247">
        <v>1.18E-2</v>
      </c>
      <c r="BL78" s="246">
        <v>2.0699999999999998</v>
      </c>
      <c r="BM78" s="247">
        <v>3.0999999999999999E-3</v>
      </c>
      <c r="BN78" s="247">
        <v>1.14E-2</v>
      </c>
      <c r="BO78" s="247">
        <v>0.31680000000000003</v>
      </c>
      <c r="BP78" s="247">
        <v>0.17</v>
      </c>
      <c r="BQ78" s="247">
        <v>0.5</v>
      </c>
      <c r="BR78" s="246" t="s">
        <v>384</v>
      </c>
      <c r="BS78" s="248">
        <v>3.68</v>
      </c>
      <c r="BT78" s="248">
        <v>0.16</v>
      </c>
      <c r="BU78" s="248">
        <v>0.56999999999999995</v>
      </c>
      <c r="BV78" s="248">
        <v>0.56999999999999995</v>
      </c>
      <c r="BW78" s="248">
        <v>16</v>
      </c>
      <c r="BX78" s="248">
        <v>48.5</v>
      </c>
      <c r="BY78" s="248">
        <v>50.5</v>
      </c>
      <c r="BZ78" s="248">
        <v>11.7</v>
      </c>
      <c r="CA78" s="248">
        <v>9.73</v>
      </c>
      <c r="CB78" s="248">
        <v>0.28999999999999998</v>
      </c>
      <c r="CC78" s="248">
        <v>6.64</v>
      </c>
      <c r="CD78" s="248">
        <v>1</v>
      </c>
      <c r="CE78" s="248">
        <v>11.16</v>
      </c>
      <c r="CF78" s="247">
        <v>0.221</v>
      </c>
      <c r="CG78" s="248">
        <v>12.7</v>
      </c>
      <c r="CH78" s="247">
        <v>47.735199999999999</v>
      </c>
      <c r="CI78" s="248">
        <v>-13.41</v>
      </c>
      <c r="CJ78" s="248">
        <v>-20.18</v>
      </c>
      <c r="CK78" s="248">
        <v>-13.54</v>
      </c>
      <c r="CL78" s="248">
        <v>38.299999999999997</v>
      </c>
      <c r="CM78" s="248">
        <v>24.37</v>
      </c>
      <c r="CN78" s="248">
        <v>41.7</v>
      </c>
      <c r="CO78" s="248">
        <v>41.6</v>
      </c>
      <c r="CP78" s="248">
        <v>0</v>
      </c>
      <c r="CQ78" s="246">
        <v>-0.01</v>
      </c>
      <c r="CR78" s="246">
        <v>0.55000000000000004</v>
      </c>
      <c r="CS78" s="246">
        <v>0.42</v>
      </c>
      <c r="CT78" s="246" t="s">
        <v>384</v>
      </c>
      <c r="CU78" s="246" t="s">
        <v>384</v>
      </c>
      <c r="CV78" s="246" t="s">
        <v>384</v>
      </c>
      <c r="CW78" s="246" t="s">
        <v>384</v>
      </c>
      <c r="CX78" s="248">
        <v>0</v>
      </c>
      <c r="CY78" s="248">
        <v>0.87</v>
      </c>
      <c r="CZ78" s="248">
        <v>0.7</v>
      </c>
      <c r="DA78" s="248">
        <v>0.16</v>
      </c>
      <c r="DB78" s="248">
        <v>24.6</v>
      </c>
      <c r="DC78" s="248">
        <v>9.73</v>
      </c>
      <c r="DD78" s="248">
        <v>24.5</v>
      </c>
      <c r="DE78" s="246" t="s">
        <v>384</v>
      </c>
      <c r="DF78" s="248">
        <v>0</v>
      </c>
      <c r="DG78" s="248">
        <v>0.56999999999999995</v>
      </c>
      <c r="DH78" s="248">
        <v>41.6</v>
      </c>
      <c r="DI78" s="248">
        <v>11.7</v>
      </c>
      <c r="DJ78" s="247">
        <v>4.1000000000000003E-3</v>
      </c>
      <c r="DK78" s="247">
        <v>1.18E-2</v>
      </c>
      <c r="DL78" s="246">
        <v>2.09</v>
      </c>
      <c r="DM78" s="246">
        <v>9.16</v>
      </c>
      <c r="DN78" s="246" t="s">
        <v>384</v>
      </c>
      <c r="DO78" s="246" t="s">
        <v>384</v>
      </c>
      <c r="DP78" s="246" t="s">
        <v>384</v>
      </c>
      <c r="DQ78" s="246" t="s">
        <v>1346</v>
      </c>
      <c r="DR78" s="246" t="s">
        <v>1347</v>
      </c>
      <c r="DS78" s="246" t="s">
        <v>1348</v>
      </c>
      <c r="DT78" s="246" t="e">
        <v>#REF!</v>
      </c>
      <c r="DU78" s="246" t="s">
        <v>388</v>
      </c>
      <c r="DV78" s="246" t="s">
        <v>1349</v>
      </c>
      <c r="DW78" s="246" t="s">
        <v>1350</v>
      </c>
      <c r="DX78" s="246" t="s">
        <v>1351</v>
      </c>
      <c r="DY78" s="246" t="s">
        <v>1352</v>
      </c>
      <c r="DZ78" s="246">
        <v>25</v>
      </c>
      <c r="EA78" s="247">
        <v>0.16350000000000001</v>
      </c>
      <c r="EB78" s="247">
        <v>0.1459</v>
      </c>
      <c r="EC78" s="247">
        <v>-5.1900000000000002E-2</v>
      </c>
      <c r="ED78" s="247">
        <v>0.22389999999999999</v>
      </c>
      <c r="EE78" s="247">
        <v>0.54720000000000002</v>
      </c>
      <c r="EF78" s="247">
        <v>4.1200000000000001E-2</v>
      </c>
      <c r="EG78" s="247">
        <v>4.2099999999999999E-2</v>
      </c>
      <c r="EH78" s="247">
        <v>1.0999999999999999E-2</v>
      </c>
      <c r="EI78" s="246" t="s">
        <v>1346</v>
      </c>
      <c r="EJ78" s="234">
        <v>0.56999999999999995</v>
      </c>
      <c r="EK78" s="234">
        <v>2.04</v>
      </c>
      <c r="EL78" s="234" t="s">
        <v>1353</v>
      </c>
      <c r="EM78" s="234" t="s">
        <v>1354</v>
      </c>
      <c r="EN78" s="234" t="s">
        <v>1355</v>
      </c>
      <c r="EO78" s="234" t="s">
        <v>1356</v>
      </c>
      <c r="EP78" s="234" t="s">
        <v>1357</v>
      </c>
      <c r="EQ78" s="234" t="s">
        <v>1221</v>
      </c>
      <c r="ER78" s="234">
        <v>1</v>
      </c>
      <c r="ES78" s="249">
        <v>0.1061</v>
      </c>
      <c r="ET78" s="234" t="s">
        <v>384</v>
      </c>
      <c r="EU78" s="250">
        <v>50.5</v>
      </c>
      <c r="EV78" s="234" t="s">
        <v>491</v>
      </c>
      <c r="EW78" s="250">
        <v>0</v>
      </c>
      <c r="EX78" s="250">
        <v>20.8</v>
      </c>
      <c r="EY78" s="250">
        <v>19.600000000000001</v>
      </c>
      <c r="EZ78" s="250">
        <v>15</v>
      </c>
      <c r="FA78" s="250">
        <v>15.9</v>
      </c>
      <c r="FB78" s="250">
        <v>18.399999999999999</v>
      </c>
      <c r="FC78" s="250">
        <v>0</v>
      </c>
      <c r="FD78" s="249">
        <v>0</v>
      </c>
      <c r="FE78" s="250">
        <v>0</v>
      </c>
      <c r="FF78" s="250">
        <v>0</v>
      </c>
    </row>
    <row r="79" spans="1:162">
      <c r="A79" s="234" t="s">
        <v>1358</v>
      </c>
      <c r="B79" s="234" t="s">
        <v>1359</v>
      </c>
      <c r="C79" s="246" t="s">
        <v>401</v>
      </c>
      <c r="D79" s="246" t="s">
        <v>362</v>
      </c>
      <c r="E79" s="246">
        <v>4210</v>
      </c>
      <c r="F79" s="246" t="s">
        <v>642</v>
      </c>
      <c r="G79" s="246" t="s">
        <v>417</v>
      </c>
      <c r="H79" s="246" t="s">
        <v>642</v>
      </c>
      <c r="I79" s="246">
        <v>0.66930000000000001</v>
      </c>
      <c r="J79" s="246">
        <v>0.84030000000000005</v>
      </c>
      <c r="K79" s="247">
        <v>7.0800000000000002E-2</v>
      </c>
      <c r="L79" s="247">
        <v>9.9000000000000005E-2</v>
      </c>
      <c r="M79" s="246" t="s">
        <v>384</v>
      </c>
      <c r="N79" s="247">
        <v>2.98E-2</v>
      </c>
      <c r="O79" s="247">
        <v>6.93E-2</v>
      </c>
      <c r="P79" s="247">
        <v>4.8500000000000001E-2</v>
      </c>
      <c r="Q79" s="247">
        <v>8.5500000000000007E-2</v>
      </c>
      <c r="R79" s="247">
        <v>0.9123</v>
      </c>
      <c r="S79" s="247">
        <v>0.15409999999999999</v>
      </c>
      <c r="T79" s="248">
        <v>23.1</v>
      </c>
      <c r="U79" s="248">
        <v>0</v>
      </c>
      <c r="V79" s="248">
        <v>8.43</v>
      </c>
      <c r="W79" s="248">
        <v>8.43</v>
      </c>
      <c r="X79" s="248">
        <v>31.53</v>
      </c>
      <c r="Y79" s="248">
        <v>0.1</v>
      </c>
      <c r="Z79" s="248">
        <v>31.43</v>
      </c>
      <c r="AA79" s="247">
        <v>3.0000000000000001E-3</v>
      </c>
      <c r="AB79" s="246">
        <v>4.07</v>
      </c>
      <c r="AC79" s="247">
        <v>0.71140000000000003</v>
      </c>
      <c r="AD79" s="247">
        <v>0.26740000000000003</v>
      </c>
      <c r="AE79" s="247">
        <v>2.4649000000000001</v>
      </c>
      <c r="AF79" s="247">
        <v>0.3649</v>
      </c>
      <c r="AG79" s="248">
        <v>1.53</v>
      </c>
      <c r="AH79" s="246">
        <v>69.06</v>
      </c>
      <c r="AI79" s="246" t="s">
        <v>384</v>
      </c>
      <c r="AJ79" s="246" t="s">
        <v>384</v>
      </c>
      <c r="AK79" s="246" t="s">
        <v>384</v>
      </c>
      <c r="AL79" s="246" t="s">
        <v>384</v>
      </c>
      <c r="AM79" s="246">
        <v>7.0000000000000007E-2</v>
      </c>
      <c r="AN79" s="233">
        <v>4.0199999999999996</v>
      </c>
      <c r="AO79" s="246">
        <v>17.239999999999998</v>
      </c>
      <c r="AP79" s="246">
        <v>12.91</v>
      </c>
      <c r="AQ79" s="246" t="s">
        <v>384</v>
      </c>
      <c r="AR79" s="246" t="s">
        <v>384</v>
      </c>
      <c r="AS79" s="246" t="s">
        <v>384</v>
      </c>
      <c r="AT79" s="246">
        <v>6.75</v>
      </c>
      <c r="AU79" s="246" t="s">
        <v>384</v>
      </c>
      <c r="AV79" s="246">
        <v>2.1</v>
      </c>
      <c r="AW79" s="246">
        <v>12.04</v>
      </c>
      <c r="AX79" s="246">
        <v>8.85</v>
      </c>
      <c r="AY79" s="246">
        <v>2.67</v>
      </c>
      <c r="AZ79" s="246">
        <v>2.86</v>
      </c>
      <c r="BA79" s="247">
        <v>0</v>
      </c>
      <c r="BB79" s="247">
        <v>0</v>
      </c>
      <c r="BC79" s="246" t="s">
        <v>384</v>
      </c>
      <c r="BD79" s="246" t="s">
        <v>384</v>
      </c>
      <c r="BE79" s="246" t="s">
        <v>384</v>
      </c>
      <c r="BF79" s="246" t="s">
        <v>384</v>
      </c>
      <c r="BG79" s="246" t="s">
        <v>384</v>
      </c>
      <c r="BH79" s="246" t="s">
        <v>384</v>
      </c>
      <c r="BI79" s="246" t="s">
        <v>384</v>
      </c>
      <c r="BJ79" s="247">
        <v>1.0113000000000001</v>
      </c>
      <c r="BK79" s="247">
        <v>0.23960000000000001</v>
      </c>
      <c r="BL79" s="246">
        <v>1.29</v>
      </c>
      <c r="BM79" s="247">
        <v>0.15429999999999999</v>
      </c>
      <c r="BN79" s="247">
        <v>0.22500000000000001</v>
      </c>
      <c r="BO79" s="247">
        <v>0.39739999999999998</v>
      </c>
      <c r="BP79" s="247">
        <v>0.3</v>
      </c>
      <c r="BQ79" s="247">
        <v>0.17599999999999999</v>
      </c>
      <c r="BR79" s="246" t="s">
        <v>384</v>
      </c>
      <c r="BS79" s="248">
        <v>1.34</v>
      </c>
      <c r="BT79" s="248">
        <v>1.79</v>
      </c>
      <c r="BU79" s="248">
        <v>2.61</v>
      </c>
      <c r="BV79" s="248">
        <v>2.61</v>
      </c>
      <c r="BW79" s="248">
        <v>4.6100000000000003</v>
      </c>
      <c r="BX79" s="248">
        <v>11</v>
      </c>
      <c r="BY79" s="248">
        <v>11.6</v>
      </c>
      <c r="BZ79" s="248">
        <v>2.93</v>
      </c>
      <c r="CA79" s="248">
        <v>3.55</v>
      </c>
      <c r="CB79" s="248">
        <v>2.15</v>
      </c>
      <c r="CC79" s="248">
        <v>-1.54</v>
      </c>
      <c r="CD79" s="248">
        <v>1.1100000000000001</v>
      </c>
      <c r="CE79" s="248">
        <v>3.71</v>
      </c>
      <c r="CF79" s="247">
        <v>0.31969999999999998</v>
      </c>
      <c r="CG79" s="248">
        <v>2.83</v>
      </c>
      <c r="CH79" s="247">
        <v>1.8311999999999999</v>
      </c>
      <c r="CI79" s="248">
        <v>-1.79</v>
      </c>
      <c r="CJ79" s="248">
        <v>-0.61</v>
      </c>
      <c r="CK79" s="248">
        <v>-2.15</v>
      </c>
      <c r="CL79" s="248">
        <v>1.77</v>
      </c>
      <c r="CM79" s="248">
        <v>8.9700000000000006</v>
      </c>
      <c r="CN79" s="248">
        <v>3.42</v>
      </c>
      <c r="CO79" s="248">
        <v>11.75</v>
      </c>
      <c r="CP79" s="248">
        <v>0</v>
      </c>
      <c r="CQ79" s="246" t="s">
        <v>384</v>
      </c>
      <c r="CR79" s="246" t="s">
        <v>384</v>
      </c>
      <c r="CS79" s="246">
        <v>0.42</v>
      </c>
      <c r="CT79" s="246" t="s">
        <v>384</v>
      </c>
      <c r="CU79" s="246" t="s">
        <v>384</v>
      </c>
      <c r="CV79" s="246" t="s">
        <v>384</v>
      </c>
      <c r="CW79" s="246" t="s">
        <v>384</v>
      </c>
      <c r="CX79" s="248">
        <v>0</v>
      </c>
      <c r="CY79" s="248">
        <v>2.17</v>
      </c>
      <c r="CZ79" s="248">
        <v>0.38</v>
      </c>
      <c r="DA79" s="248">
        <v>1.79</v>
      </c>
      <c r="DB79" s="248">
        <v>23.1</v>
      </c>
      <c r="DC79" s="248">
        <v>3.55</v>
      </c>
      <c r="DD79" s="248">
        <v>31.43</v>
      </c>
      <c r="DE79" s="246" t="s">
        <v>384</v>
      </c>
      <c r="DF79" s="248">
        <v>0</v>
      </c>
      <c r="DG79" s="248">
        <v>2.61</v>
      </c>
      <c r="DH79" s="248">
        <v>11.75</v>
      </c>
      <c r="DI79" s="248">
        <v>2.93</v>
      </c>
      <c r="DJ79" s="247">
        <v>1.0113000000000001</v>
      </c>
      <c r="DK79" s="247">
        <v>0.23960000000000001</v>
      </c>
      <c r="DL79" s="246">
        <v>10.73</v>
      </c>
      <c r="DM79" s="246">
        <v>0.94</v>
      </c>
      <c r="DN79" s="246" t="s">
        <v>384</v>
      </c>
      <c r="DO79" s="246" t="s">
        <v>384</v>
      </c>
      <c r="DP79" s="246" t="s">
        <v>384</v>
      </c>
      <c r="DQ79" s="246" t="s">
        <v>1360</v>
      </c>
      <c r="DR79" s="246" t="s">
        <v>1255</v>
      </c>
      <c r="DS79" s="246" t="s">
        <v>1361</v>
      </c>
      <c r="DT79" s="246" t="e">
        <v>#REF!</v>
      </c>
      <c r="DU79" s="246" t="s">
        <v>388</v>
      </c>
      <c r="DV79" s="246" t="s">
        <v>1362</v>
      </c>
      <c r="DW79" s="246" t="s">
        <v>1363</v>
      </c>
      <c r="DX79" s="246" t="s">
        <v>979</v>
      </c>
      <c r="DY79" s="246" t="s">
        <v>1364</v>
      </c>
      <c r="DZ79" s="246">
        <v>18</v>
      </c>
      <c r="EA79" s="246" t="s">
        <v>384</v>
      </c>
      <c r="EB79" s="246" t="s">
        <v>384</v>
      </c>
      <c r="EC79" s="246" t="s">
        <v>384</v>
      </c>
      <c r="ED79" s="246" t="s">
        <v>384</v>
      </c>
      <c r="EE79" s="246" t="s">
        <v>384</v>
      </c>
      <c r="EF79" s="247">
        <v>8.6999999999999994E-3</v>
      </c>
      <c r="EG79" s="247">
        <v>0.20430000000000001</v>
      </c>
      <c r="EH79" s="247">
        <v>0.22500000000000001</v>
      </c>
      <c r="EI79" s="246" t="s">
        <v>1360</v>
      </c>
      <c r="EJ79" s="234">
        <v>2.61</v>
      </c>
      <c r="EK79" s="234">
        <v>2.35</v>
      </c>
      <c r="EL79" s="234" t="s">
        <v>377</v>
      </c>
      <c r="EM79" s="234" t="s">
        <v>377</v>
      </c>
      <c r="EN79" s="234" t="s">
        <v>377</v>
      </c>
      <c r="EO79" s="234" t="s">
        <v>377</v>
      </c>
      <c r="EP79" s="234" t="s">
        <v>1365</v>
      </c>
      <c r="EQ79" s="234" t="s">
        <v>1366</v>
      </c>
      <c r="ER79" s="234">
        <v>1</v>
      </c>
      <c r="ES79" s="234" t="s">
        <v>384</v>
      </c>
      <c r="ET79" s="234" t="s">
        <v>384</v>
      </c>
      <c r="EU79" s="234" t="s">
        <v>384</v>
      </c>
      <c r="EV79" s="234" t="s">
        <v>491</v>
      </c>
      <c r="EW79" s="250">
        <v>0</v>
      </c>
      <c r="EX79" s="250">
        <v>0</v>
      </c>
      <c r="EY79" s="250">
        <v>0</v>
      </c>
      <c r="EZ79" s="250">
        <v>0</v>
      </c>
      <c r="FA79" s="250">
        <v>0</v>
      </c>
      <c r="FB79" s="250">
        <v>0</v>
      </c>
      <c r="FC79" s="250">
        <v>1</v>
      </c>
      <c r="FD79" s="249">
        <v>0</v>
      </c>
      <c r="FE79" s="250">
        <v>0</v>
      </c>
      <c r="FF79" s="250">
        <v>0</v>
      </c>
    </row>
    <row r="80" spans="1:162">
      <c r="A80" s="234" t="s">
        <v>1367</v>
      </c>
      <c r="B80" s="234" t="s">
        <v>1368</v>
      </c>
      <c r="C80" s="246" t="s">
        <v>401</v>
      </c>
      <c r="D80" s="246" t="s">
        <v>362</v>
      </c>
      <c r="E80" s="246">
        <v>4210</v>
      </c>
      <c r="F80" s="246" t="s">
        <v>1290</v>
      </c>
      <c r="G80" s="246" t="s">
        <v>417</v>
      </c>
      <c r="H80" s="246" t="s">
        <v>418</v>
      </c>
      <c r="I80" s="246">
        <v>0.66930000000000001</v>
      </c>
      <c r="J80" s="246">
        <v>0.98950000000000005</v>
      </c>
      <c r="K80" s="247">
        <v>6.3E-2</v>
      </c>
      <c r="L80" s="247">
        <v>0.1018</v>
      </c>
      <c r="M80" s="246" t="s">
        <v>384</v>
      </c>
      <c r="N80" s="247">
        <v>2.2499999999999999E-2</v>
      </c>
      <c r="O80" s="247">
        <v>6.2E-2</v>
      </c>
      <c r="P80" s="247">
        <v>4.9599999999999998E-2</v>
      </c>
      <c r="Q80" s="247">
        <v>8.2299999999999998E-2</v>
      </c>
      <c r="R80" s="247">
        <v>0.23150000000000001</v>
      </c>
      <c r="S80" s="247">
        <v>1.34E-2</v>
      </c>
      <c r="T80" s="248">
        <v>22.1</v>
      </c>
      <c r="U80" s="248">
        <v>0.11</v>
      </c>
      <c r="V80" s="248">
        <v>13.1</v>
      </c>
      <c r="W80" s="248">
        <v>13.21</v>
      </c>
      <c r="X80" s="248">
        <v>35.31</v>
      </c>
      <c r="Y80" s="248">
        <v>1</v>
      </c>
      <c r="Z80" s="248">
        <v>34.31</v>
      </c>
      <c r="AA80" s="247">
        <v>2.8299999999999999E-2</v>
      </c>
      <c r="AB80" s="246">
        <v>0.73</v>
      </c>
      <c r="AC80" s="247">
        <v>0.37209999999999999</v>
      </c>
      <c r="AD80" s="247">
        <v>0.37419999999999998</v>
      </c>
      <c r="AE80" s="247">
        <v>0.59250000000000003</v>
      </c>
      <c r="AF80" s="247">
        <v>0.59789999999999999</v>
      </c>
      <c r="AG80" s="248">
        <v>0.11</v>
      </c>
      <c r="AH80" s="246">
        <v>69.06</v>
      </c>
      <c r="AI80" s="246" t="s">
        <v>384</v>
      </c>
      <c r="AJ80" s="246">
        <v>1.49</v>
      </c>
      <c r="AK80" s="247">
        <v>0.16120000000000001</v>
      </c>
      <c r="AL80" s="247">
        <v>0.32890000000000003</v>
      </c>
      <c r="AM80" s="246">
        <v>0.24</v>
      </c>
      <c r="AN80" s="233">
        <v>5.0999999999999996</v>
      </c>
      <c r="AO80" s="246">
        <v>7.59</v>
      </c>
      <c r="AP80" s="246">
        <v>5.97</v>
      </c>
      <c r="AQ80" s="246">
        <v>6.6</v>
      </c>
      <c r="AR80" s="246" t="s">
        <v>384</v>
      </c>
      <c r="AS80" s="246" t="s">
        <v>384</v>
      </c>
      <c r="AT80" s="246">
        <v>0.99</v>
      </c>
      <c r="AU80" s="246">
        <v>0.95</v>
      </c>
      <c r="AV80" s="246">
        <v>0.74</v>
      </c>
      <c r="AW80" s="246">
        <v>9.93</v>
      </c>
      <c r="AX80" s="246">
        <v>8.8000000000000007</v>
      </c>
      <c r="AY80" s="246">
        <v>0.99</v>
      </c>
      <c r="AZ80" s="246">
        <v>1.1599999999999999</v>
      </c>
      <c r="BA80" s="247">
        <v>0.5</v>
      </c>
      <c r="BB80" s="247">
        <v>8.3699999999999997E-2</v>
      </c>
      <c r="BC80" s="247">
        <v>0.151</v>
      </c>
      <c r="BD80" s="246" t="s">
        <v>384</v>
      </c>
      <c r="BE80" s="246" t="s">
        <v>384</v>
      </c>
      <c r="BF80" s="246" t="s">
        <v>384</v>
      </c>
      <c r="BG80" s="246" t="s">
        <v>384</v>
      </c>
      <c r="BH80" s="246" t="s">
        <v>384</v>
      </c>
      <c r="BI80" s="246" t="s">
        <v>384</v>
      </c>
      <c r="BJ80" s="247">
        <v>0.33329999999999999</v>
      </c>
      <c r="BK80" s="247">
        <v>9.5699999999999993E-2</v>
      </c>
      <c r="BL80" s="246">
        <v>1.07</v>
      </c>
      <c r="BM80" s="247">
        <v>0.1108</v>
      </c>
      <c r="BN80" s="247">
        <v>0.10349999999999999</v>
      </c>
      <c r="BO80" s="247">
        <v>0.23649999999999999</v>
      </c>
      <c r="BP80" s="247">
        <v>0.2</v>
      </c>
      <c r="BQ80" s="247">
        <v>0.13850000000000001</v>
      </c>
      <c r="BR80" s="246" t="s">
        <v>384</v>
      </c>
      <c r="BS80" s="248">
        <v>2.91</v>
      </c>
      <c r="BT80" s="248">
        <v>3.7</v>
      </c>
      <c r="BU80" s="248">
        <v>3.38</v>
      </c>
      <c r="BV80" s="248">
        <v>3.46</v>
      </c>
      <c r="BW80" s="248">
        <v>7.9</v>
      </c>
      <c r="BX80" s="248">
        <v>29.7</v>
      </c>
      <c r="BY80" s="248">
        <v>33.4</v>
      </c>
      <c r="BZ80" s="248">
        <v>3.39</v>
      </c>
      <c r="CA80" s="248">
        <v>3.9</v>
      </c>
      <c r="CB80" s="248">
        <v>2.98</v>
      </c>
      <c r="CC80" s="248">
        <v>8.9</v>
      </c>
      <c r="CD80" s="248">
        <v>-0.54</v>
      </c>
      <c r="CE80" s="248">
        <v>2.37</v>
      </c>
      <c r="CF80" s="247">
        <v>7.0900000000000005E-2</v>
      </c>
      <c r="CG80" s="248">
        <v>3.31</v>
      </c>
      <c r="CH80" s="247">
        <v>0.93100000000000005</v>
      </c>
      <c r="CI80" s="248">
        <v>0.21</v>
      </c>
      <c r="CJ80" s="248">
        <v>-7.98</v>
      </c>
      <c r="CK80" s="248">
        <v>0.93</v>
      </c>
      <c r="CL80" s="248">
        <v>11.1</v>
      </c>
      <c r="CM80" s="248">
        <v>31.12</v>
      </c>
      <c r="CN80" s="248">
        <v>22.3</v>
      </c>
      <c r="CO80" s="248">
        <v>34.51</v>
      </c>
      <c r="CP80" s="248">
        <v>-1.85</v>
      </c>
      <c r="CQ80" s="246">
        <v>0.44</v>
      </c>
      <c r="CR80" s="246" t="s">
        <v>384</v>
      </c>
      <c r="CS80" s="246">
        <v>0.42</v>
      </c>
      <c r="CT80" s="246" t="s">
        <v>384</v>
      </c>
      <c r="CU80" s="246" t="s">
        <v>384</v>
      </c>
      <c r="CV80" s="246" t="s">
        <v>384</v>
      </c>
      <c r="CW80" s="246" t="s">
        <v>384</v>
      </c>
      <c r="CX80" s="248">
        <v>-1.85</v>
      </c>
      <c r="CY80" s="248">
        <v>4.3099999999999996</v>
      </c>
      <c r="CZ80" s="248">
        <v>0.6</v>
      </c>
      <c r="DA80" s="248">
        <v>3.7</v>
      </c>
      <c r="DB80" s="248">
        <v>22.1</v>
      </c>
      <c r="DC80" s="248">
        <v>3.9</v>
      </c>
      <c r="DD80" s="248">
        <v>34.31</v>
      </c>
      <c r="DE80" s="248">
        <v>-7.98</v>
      </c>
      <c r="DF80" s="248">
        <v>0</v>
      </c>
      <c r="DG80" s="248">
        <v>3.46</v>
      </c>
      <c r="DH80" s="248">
        <v>34.51</v>
      </c>
      <c r="DI80" s="248">
        <v>3.39</v>
      </c>
      <c r="DJ80" s="247">
        <v>0.33329999999999999</v>
      </c>
      <c r="DK80" s="247">
        <v>9.5699999999999993E-2</v>
      </c>
      <c r="DL80" s="246">
        <v>10.119999999999999</v>
      </c>
      <c r="DM80" s="246">
        <v>0.42</v>
      </c>
      <c r="DN80" s="246" t="s">
        <v>384</v>
      </c>
      <c r="DO80" s="246" t="s">
        <v>384</v>
      </c>
      <c r="DP80" s="246" t="s">
        <v>384</v>
      </c>
      <c r="DQ80" s="248">
        <v>-7.7</v>
      </c>
      <c r="DR80" s="246" t="s">
        <v>1369</v>
      </c>
      <c r="DS80" s="246" t="s">
        <v>1336</v>
      </c>
      <c r="DT80" s="246" t="e">
        <v>#REF!</v>
      </c>
      <c r="DU80" s="246" t="s">
        <v>1370</v>
      </c>
      <c r="DV80" s="246" t="s">
        <v>1371</v>
      </c>
      <c r="DW80" s="246" t="s">
        <v>1372</v>
      </c>
      <c r="DX80" s="246" t="s">
        <v>1373</v>
      </c>
      <c r="DY80" s="246" t="s">
        <v>1374</v>
      </c>
      <c r="DZ80" s="246">
        <v>12</v>
      </c>
      <c r="EA80" s="247">
        <v>-8.2900000000000001E-2</v>
      </c>
      <c r="EB80" s="247">
        <v>1.06E-2</v>
      </c>
      <c r="EC80" s="247">
        <v>0.2316</v>
      </c>
      <c r="ED80" s="247">
        <v>-5.5599999999999997E-2</v>
      </c>
      <c r="EE80" s="247">
        <v>7.8E-2</v>
      </c>
      <c r="EF80" s="247">
        <v>-1.18E-2</v>
      </c>
      <c r="EG80" s="247">
        <v>0.10680000000000001</v>
      </c>
      <c r="EH80" s="247">
        <v>0.104</v>
      </c>
      <c r="EI80" s="248">
        <v>-7.7</v>
      </c>
      <c r="EJ80" s="234">
        <v>3.38</v>
      </c>
      <c r="EK80" s="234">
        <v>3.61</v>
      </c>
      <c r="EL80" s="234" t="s">
        <v>1375</v>
      </c>
      <c r="EM80" s="234" t="s">
        <v>1376</v>
      </c>
      <c r="EN80" s="234" t="s">
        <v>1377</v>
      </c>
      <c r="EO80" s="234" t="s">
        <v>1378</v>
      </c>
      <c r="EP80" s="234" t="s">
        <v>376</v>
      </c>
      <c r="EQ80" s="234" t="s">
        <v>377</v>
      </c>
      <c r="ER80" s="234">
        <v>1</v>
      </c>
      <c r="ES80" s="234" t="s">
        <v>384</v>
      </c>
      <c r="ET80" s="234" t="s">
        <v>384</v>
      </c>
      <c r="EU80" s="234" t="s">
        <v>384</v>
      </c>
      <c r="EV80" s="234" t="s">
        <v>491</v>
      </c>
      <c r="EW80" s="250">
        <v>0</v>
      </c>
      <c r="EX80" s="250">
        <v>0</v>
      </c>
      <c r="EY80" s="250">
        <v>0</v>
      </c>
      <c r="EZ80" s="250">
        <v>0</v>
      </c>
      <c r="FA80" s="250">
        <v>20.5</v>
      </c>
      <c r="FB80" s="250">
        <v>19.2</v>
      </c>
      <c r="FC80" s="250">
        <v>0.28000000000000003</v>
      </c>
      <c r="FD80" s="249">
        <v>0</v>
      </c>
      <c r="FE80" s="250">
        <v>0</v>
      </c>
      <c r="FF80" s="250">
        <v>0</v>
      </c>
    </row>
    <row r="81" spans="1:162">
      <c r="A81" s="234" t="s">
        <v>1379</v>
      </c>
      <c r="B81" s="234" t="s">
        <v>1380</v>
      </c>
      <c r="C81" s="246" t="s">
        <v>401</v>
      </c>
      <c r="D81" s="246" t="s">
        <v>362</v>
      </c>
      <c r="E81" s="246">
        <v>4210</v>
      </c>
      <c r="F81" s="246" t="s">
        <v>1381</v>
      </c>
      <c r="G81" s="246" t="s">
        <v>417</v>
      </c>
      <c r="H81" s="246" t="s">
        <v>1382</v>
      </c>
      <c r="I81" s="246">
        <v>0.66930000000000001</v>
      </c>
      <c r="J81" s="246">
        <v>0.66930000000000001</v>
      </c>
      <c r="K81" s="247">
        <v>8.8900000000000007E-2</v>
      </c>
      <c r="L81" s="247">
        <v>9.9000000000000005E-2</v>
      </c>
      <c r="M81" s="246" t="s">
        <v>384</v>
      </c>
      <c r="N81" s="247">
        <v>4.1700000000000001E-2</v>
      </c>
      <c r="O81" s="247">
        <v>8.1199999999999994E-2</v>
      </c>
      <c r="P81" s="247">
        <v>6.5000000000000002E-2</v>
      </c>
      <c r="Q81" s="247">
        <v>9.9000000000000005E-2</v>
      </c>
      <c r="R81" s="247">
        <v>-4.7600000000000003E-2</v>
      </c>
      <c r="S81" s="247">
        <v>-5.9499999999999997E-2</v>
      </c>
      <c r="T81" s="248">
        <v>21.9</v>
      </c>
      <c r="U81" s="248">
        <v>0</v>
      </c>
      <c r="V81" s="248">
        <v>0</v>
      </c>
      <c r="W81" s="248">
        <v>0</v>
      </c>
      <c r="X81" s="248">
        <v>21.9</v>
      </c>
      <c r="Y81" s="248">
        <v>0.24</v>
      </c>
      <c r="Z81" s="248">
        <v>21.66</v>
      </c>
      <c r="AA81" s="247">
        <v>1.0999999999999999E-2</v>
      </c>
      <c r="AB81" s="246">
        <v>0.68</v>
      </c>
      <c r="AC81" s="247">
        <v>0</v>
      </c>
      <c r="AD81" s="247">
        <v>0</v>
      </c>
      <c r="AE81" s="247">
        <v>0</v>
      </c>
      <c r="AF81" s="247">
        <v>0</v>
      </c>
      <c r="AG81" s="248">
        <v>1.18</v>
      </c>
      <c r="AH81" s="246">
        <v>69.06</v>
      </c>
      <c r="AI81" s="247">
        <v>0.19939999999999999</v>
      </c>
      <c r="AJ81" s="246">
        <v>0.12</v>
      </c>
      <c r="AK81" s="246" t="s">
        <v>384</v>
      </c>
      <c r="AL81" s="246" t="s">
        <v>384</v>
      </c>
      <c r="AM81" s="246">
        <v>0.21</v>
      </c>
      <c r="AN81" s="233">
        <v>1.47</v>
      </c>
      <c r="AO81" s="246">
        <v>14.6</v>
      </c>
      <c r="AP81" s="246">
        <v>12.88</v>
      </c>
      <c r="AQ81" s="246">
        <v>13.87</v>
      </c>
      <c r="AR81" s="246" t="s">
        <v>384</v>
      </c>
      <c r="AS81" s="246" t="s">
        <v>384</v>
      </c>
      <c r="AT81" s="246">
        <v>0.65</v>
      </c>
      <c r="AU81" s="246">
        <v>0.86</v>
      </c>
      <c r="AV81" s="246">
        <v>0.48</v>
      </c>
      <c r="AW81" s="246">
        <v>14.64</v>
      </c>
      <c r="AX81" s="246">
        <v>3.59</v>
      </c>
      <c r="AY81" s="246">
        <v>0.65</v>
      </c>
      <c r="AZ81" s="246">
        <v>0.47</v>
      </c>
      <c r="BA81" s="247">
        <v>0.61180000000000001</v>
      </c>
      <c r="BB81" s="247">
        <v>4.7500000000000001E-2</v>
      </c>
      <c r="BC81" s="247">
        <v>5.2900000000000003E-2</v>
      </c>
      <c r="BD81" s="247">
        <v>3.0000000000000001E-3</v>
      </c>
      <c r="BE81" s="247">
        <v>0.46800000000000003</v>
      </c>
      <c r="BF81" s="247">
        <v>7.6899999999999996E-2</v>
      </c>
      <c r="BG81" s="247">
        <v>0.115</v>
      </c>
      <c r="BH81" s="246" t="s">
        <v>384</v>
      </c>
      <c r="BI81" s="246" t="s">
        <v>384</v>
      </c>
      <c r="BJ81" s="247">
        <v>5.1400000000000001E-2</v>
      </c>
      <c r="BK81" s="247">
        <v>3.95E-2</v>
      </c>
      <c r="BL81" s="246">
        <v>1.39</v>
      </c>
      <c r="BM81" s="247">
        <v>3.7400000000000003E-2</v>
      </c>
      <c r="BN81" s="247">
        <v>3.2599999999999997E-2</v>
      </c>
      <c r="BO81" s="247">
        <v>7.7100000000000002E-2</v>
      </c>
      <c r="BP81" s="247">
        <v>0.2</v>
      </c>
      <c r="BQ81" s="247">
        <v>0.12720000000000001</v>
      </c>
      <c r="BR81" s="247">
        <v>8.3199999999999996E-2</v>
      </c>
      <c r="BS81" s="248">
        <v>1.5</v>
      </c>
      <c r="BT81" s="248">
        <v>1.7</v>
      </c>
      <c r="BU81" s="248">
        <v>1.48</v>
      </c>
      <c r="BV81" s="248">
        <v>1.48</v>
      </c>
      <c r="BW81" s="248">
        <v>3.5</v>
      </c>
      <c r="BX81" s="248">
        <v>45.8</v>
      </c>
      <c r="BY81" s="248">
        <v>45.4</v>
      </c>
      <c r="BZ81" s="248">
        <v>6.54</v>
      </c>
      <c r="CA81" s="248">
        <v>6.04</v>
      </c>
      <c r="CB81" s="248">
        <v>1.29</v>
      </c>
      <c r="CC81" s="248">
        <v>-1.62</v>
      </c>
      <c r="CD81" s="248">
        <v>1.06</v>
      </c>
      <c r="CE81" s="248">
        <v>6.69</v>
      </c>
      <c r="CF81" s="247">
        <v>0.1474</v>
      </c>
      <c r="CG81" s="248">
        <v>6.25</v>
      </c>
      <c r="CH81" s="247">
        <v>5.6558000000000002</v>
      </c>
      <c r="CI81" s="248">
        <v>-6.01</v>
      </c>
      <c r="CJ81" s="248">
        <v>-3.99</v>
      </c>
      <c r="CK81" s="248">
        <v>-5.61</v>
      </c>
      <c r="CL81" s="248">
        <v>33.1</v>
      </c>
      <c r="CM81" s="248">
        <v>32.69</v>
      </c>
      <c r="CN81" s="248">
        <v>33.6</v>
      </c>
      <c r="CO81" s="248">
        <v>33.36</v>
      </c>
      <c r="CP81" s="248">
        <v>-1.04</v>
      </c>
      <c r="CQ81" s="246">
        <v>0</v>
      </c>
      <c r="CR81" s="246">
        <v>0.16</v>
      </c>
      <c r="CS81" s="246">
        <v>0.42</v>
      </c>
      <c r="CT81" s="246">
        <v>0.3</v>
      </c>
      <c r="CU81" s="246">
        <v>0.39</v>
      </c>
      <c r="CV81" s="248">
        <v>2.4700000000000002</v>
      </c>
      <c r="CW81" s="248">
        <v>1.24</v>
      </c>
      <c r="CX81" s="248">
        <v>-1.04</v>
      </c>
      <c r="CY81" s="248">
        <v>1.95</v>
      </c>
      <c r="CZ81" s="248">
        <v>0.25</v>
      </c>
      <c r="DA81" s="248">
        <v>1.7</v>
      </c>
      <c r="DB81" s="248">
        <v>21.9</v>
      </c>
      <c r="DC81" s="248">
        <v>6.04</v>
      </c>
      <c r="DD81" s="248">
        <v>21.66</v>
      </c>
      <c r="DE81" s="248">
        <v>-3.99</v>
      </c>
      <c r="DF81" s="248">
        <v>0</v>
      </c>
      <c r="DG81" s="248">
        <v>1.48</v>
      </c>
      <c r="DH81" s="248">
        <v>33.36</v>
      </c>
      <c r="DI81" s="248">
        <v>6.54</v>
      </c>
      <c r="DJ81" s="247">
        <v>5.1400000000000001E-2</v>
      </c>
      <c r="DK81" s="247">
        <v>3.95E-2</v>
      </c>
      <c r="DL81" s="246">
        <v>3.31</v>
      </c>
      <c r="DM81" s="246">
        <v>0.28000000000000003</v>
      </c>
      <c r="DN81" s="246">
        <v>35.979999999999997</v>
      </c>
      <c r="DO81" s="246">
        <v>2.4700000000000002</v>
      </c>
      <c r="DP81" s="247">
        <v>7.1300000000000002E-2</v>
      </c>
      <c r="DQ81" s="246" t="s">
        <v>1335</v>
      </c>
      <c r="DR81" s="246" t="s">
        <v>1336</v>
      </c>
      <c r="DS81" s="246" t="s">
        <v>1383</v>
      </c>
      <c r="DT81" s="246" t="e">
        <v>#REF!</v>
      </c>
      <c r="DU81" s="246" t="s">
        <v>388</v>
      </c>
      <c r="DV81" s="246" t="s">
        <v>1384</v>
      </c>
      <c r="DW81" s="246" t="s">
        <v>1385</v>
      </c>
      <c r="DX81" s="246" t="s">
        <v>388</v>
      </c>
      <c r="DY81" s="246" t="s">
        <v>1386</v>
      </c>
      <c r="DZ81" s="246">
        <v>14</v>
      </c>
      <c r="EA81" s="247">
        <v>-4.8999999999999998E-3</v>
      </c>
      <c r="EB81" s="247">
        <v>-9.9000000000000008E-3</v>
      </c>
      <c r="EC81" s="247">
        <v>0.01</v>
      </c>
      <c r="ED81" s="247">
        <v>7.8799999999999995E-2</v>
      </c>
      <c r="EE81" s="247">
        <v>7.3499999999999996E-2</v>
      </c>
      <c r="EF81" s="247">
        <v>2.2898999999999998</v>
      </c>
      <c r="EG81" s="247">
        <v>0.21010000000000001</v>
      </c>
      <c r="EH81" s="247">
        <v>3.3000000000000002E-2</v>
      </c>
      <c r="EI81" s="246" t="s">
        <v>1387</v>
      </c>
      <c r="EJ81" s="234">
        <v>1.48</v>
      </c>
      <c r="EK81" s="234">
        <v>2.9</v>
      </c>
      <c r="EL81" s="234" t="s">
        <v>1388</v>
      </c>
      <c r="EM81" s="234" t="s">
        <v>1389</v>
      </c>
      <c r="EN81" s="234" t="s">
        <v>1356</v>
      </c>
      <c r="EO81" s="234" t="s">
        <v>1389</v>
      </c>
      <c r="EP81" s="234" t="s">
        <v>376</v>
      </c>
      <c r="EQ81" s="234" t="s">
        <v>377</v>
      </c>
      <c r="ER81" s="234">
        <v>1</v>
      </c>
      <c r="ES81" s="249">
        <v>0.34539999999999998</v>
      </c>
      <c r="ET81" s="234" t="s">
        <v>384</v>
      </c>
      <c r="EU81" s="250">
        <v>45.4</v>
      </c>
      <c r="EV81" s="234" t="s">
        <v>491</v>
      </c>
      <c r="EW81" s="250">
        <v>22.4</v>
      </c>
      <c r="EX81" s="250">
        <v>16.2</v>
      </c>
      <c r="EY81" s="250">
        <v>21.9</v>
      </c>
      <c r="EZ81" s="250">
        <v>19.2</v>
      </c>
      <c r="FA81" s="250">
        <v>20.399999999999999</v>
      </c>
      <c r="FB81" s="250">
        <v>20.8</v>
      </c>
      <c r="FC81" s="250">
        <v>8.07</v>
      </c>
      <c r="FD81" s="249">
        <v>0</v>
      </c>
      <c r="FE81" s="250">
        <v>0</v>
      </c>
      <c r="FF81" s="250">
        <v>0</v>
      </c>
    </row>
    <row r="82" spans="1:162">
      <c r="A82" s="234" t="s">
        <v>1390</v>
      </c>
      <c r="B82" s="234" t="s">
        <v>1391</v>
      </c>
      <c r="C82" s="246" t="s">
        <v>401</v>
      </c>
      <c r="D82" s="246" t="s">
        <v>362</v>
      </c>
      <c r="E82" s="246">
        <v>4210</v>
      </c>
      <c r="F82" s="246" t="s">
        <v>1019</v>
      </c>
      <c r="G82" s="246" t="s">
        <v>417</v>
      </c>
      <c r="H82" s="246" t="s">
        <v>418</v>
      </c>
      <c r="I82" s="246">
        <v>0.66930000000000001</v>
      </c>
      <c r="J82" s="246">
        <v>0.76559999999999995</v>
      </c>
      <c r="K82" s="247">
        <v>6.6900000000000001E-2</v>
      </c>
      <c r="L82" s="247">
        <v>9.0700000000000003E-2</v>
      </c>
      <c r="M82" s="246" t="s">
        <v>384</v>
      </c>
      <c r="N82" s="247">
        <v>0.1047</v>
      </c>
      <c r="O82" s="247">
        <v>0.14419999999999999</v>
      </c>
      <c r="P82" s="247">
        <v>0.1125</v>
      </c>
      <c r="Q82" s="247">
        <v>9.4100000000000003E-2</v>
      </c>
      <c r="R82" s="247">
        <v>-0.1411</v>
      </c>
      <c r="S82" s="247">
        <v>-5.0799999999999998E-2</v>
      </c>
      <c r="T82" s="248">
        <v>20.6</v>
      </c>
      <c r="U82" s="248">
        <v>0</v>
      </c>
      <c r="V82" s="248">
        <v>3.8</v>
      </c>
      <c r="W82" s="248">
        <v>3.8</v>
      </c>
      <c r="X82" s="248">
        <v>24.4</v>
      </c>
      <c r="Y82" s="248">
        <v>5.96</v>
      </c>
      <c r="Z82" s="248">
        <v>18.440000000000001</v>
      </c>
      <c r="AA82" s="247">
        <v>0.24429999999999999</v>
      </c>
      <c r="AB82" s="246">
        <v>0.6</v>
      </c>
      <c r="AC82" s="247">
        <v>0.27139999999999997</v>
      </c>
      <c r="AD82" s="247">
        <v>0.15570000000000001</v>
      </c>
      <c r="AE82" s="247">
        <v>0.3725</v>
      </c>
      <c r="AF82" s="247">
        <v>0.1845</v>
      </c>
      <c r="AG82" s="248">
        <v>0.03</v>
      </c>
      <c r="AH82" s="246">
        <v>69.06</v>
      </c>
      <c r="AI82" s="247">
        <v>-0.18179999999999999</v>
      </c>
      <c r="AJ82" s="246">
        <v>1.91</v>
      </c>
      <c r="AK82" s="247">
        <v>3.1600000000000003E-2</v>
      </c>
      <c r="AL82" s="247">
        <v>1.0056</v>
      </c>
      <c r="AM82" s="246">
        <v>0.66</v>
      </c>
      <c r="AN82" s="233">
        <v>0.91</v>
      </c>
      <c r="AO82" s="246" t="s">
        <v>384</v>
      </c>
      <c r="AP82" s="246" t="s">
        <v>384</v>
      </c>
      <c r="AQ82" s="246" t="s">
        <v>384</v>
      </c>
      <c r="AR82" s="246" t="s">
        <v>384</v>
      </c>
      <c r="AS82" s="246" t="s">
        <v>384</v>
      </c>
      <c r="AT82" s="246">
        <v>2.02</v>
      </c>
      <c r="AU82" s="246">
        <v>0.67</v>
      </c>
      <c r="AV82" s="246">
        <v>0.79</v>
      </c>
      <c r="AW82" s="246">
        <v>37.479999999999997</v>
      </c>
      <c r="AX82" s="246">
        <v>7.65</v>
      </c>
      <c r="AY82" s="246">
        <v>2.29</v>
      </c>
      <c r="AZ82" s="246">
        <v>0.71</v>
      </c>
      <c r="BA82" s="246" t="s">
        <v>384</v>
      </c>
      <c r="BB82" s="247">
        <v>0</v>
      </c>
      <c r="BC82" s="247">
        <v>1.9096</v>
      </c>
      <c r="BD82" s="246" t="s">
        <v>384</v>
      </c>
      <c r="BE82" s="246" t="s">
        <v>384</v>
      </c>
      <c r="BF82" s="247">
        <v>-2.35E-2</v>
      </c>
      <c r="BG82" s="247">
        <v>-4.4200000000000003E-2</v>
      </c>
      <c r="BH82" s="246" t="s">
        <v>384</v>
      </c>
      <c r="BI82" s="246" t="s">
        <v>384</v>
      </c>
      <c r="BJ82" s="247">
        <v>-5.0299999999999997E-2</v>
      </c>
      <c r="BK82" s="247">
        <v>4.3299999999999998E-2</v>
      </c>
      <c r="BL82" s="246">
        <v>2.31</v>
      </c>
      <c r="BM82" s="247">
        <v>-2.2800000000000001E-2</v>
      </c>
      <c r="BN82" s="247">
        <v>1.8700000000000001E-2</v>
      </c>
      <c r="BO82" s="247">
        <v>0.1129</v>
      </c>
      <c r="BP82" s="247">
        <v>0.22</v>
      </c>
      <c r="BQ82" s="247">
        <v>0</v>
      </c>
      <c r="BR82" s="246" t="s">
        <v>384</v>
      </c>
      <c r="BS82" s="248">
        <v>-1.2</v>
      </c>
      <c r="BT82" s="248">
        <v>-0.6</v>
      </c>
      <c r="BU82" s="248">
        <v>0.49</v>
      </c>
      <c r="BV82" s="248">
        <v>0.49</v>
      </c>
      <c r="BW82" s="248">
        <v>2.97</v>
      </c>
      <c r="BX82" s="248">
        <v>26.1</v>
      </c>
      <c r="BY82" s="248">
        <v>26.3</v>
      </c>
      <c r="BZ82" s="248">
        <v>1.63</v>
      </c>
      <c r="CA82" s="248">
        <v>2.41</v>
      </c>
      <c r="CB82" s="248">
        <v>0.49</v>
      </c>
      <c r="CC82" s="248">
        <v>1.36</v>
      </c>
      <c r="CD82" s="248">
        <v>0</v>
      </c>
      <c r="CE82" s="248">
        <v>-0.16</v>
      </c>
      <c r="CF82" s="247">
        <v>-6.0000000000000001E-3</v>
      </c>
      <c r="CG82" s="248">
        <v>7.0000000000000007E-2</v>
      </c>
      <c r="CH82" s="247">
        <v>0.1484</v>
      </c>
      <c r="CI82" s="248">
        <v>0.42</v>
      </c>
      <c r="CJ82" s="248">
        <v>-2.0299999999999998</v>
      </c>
      <c r="CK82" s="248">
        <v>-0.67</v>
      </c>
      <c r="CL82" s="248">
        <v>11.9</v>
      </c>
      <c r="CM82" s="248">
        <v>11.37</v>
      </c>
      <c r="CN82" s="248">
        <v>10.199999999999999</v>
      </c>
      <c r="CO82" s="248">
        <v>8.0399999999999991</v>
      </c>
      <c r="CP82" s="248">
        <v>0</v>
      </c>
      <c r="CQ82" s="246">
        <v>0.27</v>
      </c>
      <c r="CR82" s="246">
        <v>1.89</v>
      </c>
      <c r="CS82" s="246">
        <v>0.42</v>
      </c>
      <c r="CT82" s="246">
        <v>0.96</v>
      </c>
      <c r="CU82" s="246">
        <v>0.9</v>
      </c>
      <c r="CV82" s="248">
        <v>1.59</v>
      </c>
      <c r="CW82" s="248">
        <v>1.05</v>
      </c>
      <c r="CX82" s="248">
        <v>0</v>
      </c>
      <c r="CY82" s="246" t="s">
        <v>384</v>
      </c>
      <c r="CZ82" s="246" t="s">
        <v>384</v>
      </c>
      <c r="DA82" s="246" t="s">
        <v>384</v>
      </c>
      <c r="DB82" s="246" t="s">
        <v>384</v>
      </c>
      <c r="DC82" s="248">
        <v>2.41</v>
      </c>
      <c r="DD82" s="248">
        <v>18.440000000000001</v>
      </c>
      <c r="DE82" s="246" t="s">
        <v>384</v>
      </c>
      <c r="DF82" s="248">
        <v>0</v>
      </c>
      <c r="DG82" s="248">
        <v>0.49</v>
      </c>
      <c r="DH82" s="248">
        <v>8.0399999999999991</v>
      </c>
      <c r="DI82" s="248">
        <v>1.63</v>
      </c>
      <c r="DJ82" s="247">
        <v>-5.0299999999999997E-2</v>
      </c>
      <c r="DK82" s="247">
        <v>4.3299999999999998E-2</v>
      </c>
      <c r="DL82" s="246">
        <v>11.31</v>
      </c>
      <c r="DM82" s="246">
        <v>7.0000000000000007E-2</v>
      </c>
      <c r="DN82" s="246">
        <v>8.84</v>
      </c>
      <c r="DO82" s="246">
        <v>1.59</v>
      </c>
      <c r="DP82" s="247">
        <v>0.188</v>
      </c>
      <c r="DQ82" s="248">
        <v>-1.44</v>
      </c>
      <c r="DR82" s="246" t="s">
        <v>977</v>
      </c>
      <c r="DS82" s="246" t="s">
        <v>644</v>
      </c>
      <c r="DT82" s="246" t="e">
        <v>#REF!</v>
      </c>
      <c r="DU82" s="246" t="s">
        <v>388</v>
      </c>
      <c r="DV82" s="246" t="s">
        <v>1392</v>
      </c>
      <c r="DW82" s="246" t="s">
        <v>745</v>
      </c>
      <c r="DX82" s="246" t="s">
        <v>1393</v>
      </c>
      <c r="DY82" s="246" t="s">
        <v>1394</v>
      </c>
      <c r="DZ82" s="246">
        <v>30</v>
      </c>
      <c r="EA82" s="247">
        <v>-0.30370000000000003</v>
      </c>
      <c r="EB82" s="247">
        <v>0.60899999999999999</v>
      </c>
      <c r="EC82" s="247">
        <v>0.14879999999999999</v>
      </c>
      <c r="ED82" s="247">
        <v>0.48199999999999998</v>
      </c>
      <c r="EE82" s="247">
        <v>0.90739999999999998</v>
      </c>
      <c r="EF82" s="247">
        <v>-3.3099999999999997E-2</v>
      </c>
      <c r="EG82" s="247">
        <v>2.6599999999999999E-2</v>
      </c>
      <c r="EH82" s="247">
        <v>1.9E-2</v>
      </c>
      <c r="EI82" s="248">
        <v>-1.44</v>
      </c>
      <c r="EJ82" s="234">
        <v>0.49</v>
      </c>
      <c r="EK82" s="234">
        <v>0.72</v>
      </c>
      <c r="EL82" s="234" t="s">
        <v>1395</v>
      </c>
      <c r="EM82" s="234" t="s">
        <v>1396</v>
      </c>
      <c r="EN82" s="234" t="s">
        <v>1397</v>
      </c>
      <c r="EO82" s="234" t="s">
        <v>1398</v>
      </c>
      <c r="EP82" s="234" t="s">
        <v>1399</v>
      </c>
      <c r="EQ82" s="234" t="s">
        <v>1400</v>
      </c>
      <c r="ER82" s="234">
        <v>0</v>
      </c>
      <c r="ES82" s="249">
        <v>-6.8500000000000005E-2</v>
      </c>
      <c r="ET82" s="234" t="s">
        <v>384</v>
      </c>
      <c r="EU82" s="250">
        <v>26.3</v>
      </c>
      <c r="EV82" s="234" t="s">
        <v>491</v>
      </c>
      <c r="EW82" s="250">
        <v>0</v>
      </c>
      <c r="EX82" s="250">
        <v>44.6</v>
      </c>
      <c r="EY82" s="250">
        <v>13.4</v>
      </c>
      <c r="EZ82" s="250">
        <v>6.6</v>
      </c>
      <c r="FA82" s="250">
        <v>10.8</v>
      </c>
      <c r="FB82" s="250">
        <v>7.08</v>
      </c>
      <c r="FC82" s="250">
        <v>0</v>
      </c>
      <c r="FD82" s="249">
        <v>0</v>
      </c>
      <c r="FE82" s="250">
        <v>0</v>
      </c>
      <c r="FF82" s="250">
        <v>0</v>
      </c>
    </row>
    <row r="83" spans="1:162">
      <c r="A83" s="234" t="s">
        <v>1401</v>
      </c>
      <c r="B83" s="234" t="s">
        <v>1402</v>
      </c>
      <c r="C83" s="246" t="s">
        <v>401</v>
      </c>
      <c r="D83" s="246" t="s">
        <v>362</v>
      </c>
      <c r="E83" s="246">
        <v>4210</v>
      </c>
      <c r="F83" s="246" t="s">
        <v>1403</v>
      </c>
      <c r="G83" s="246" t="s">
        <v>382</v>
      </c>
      <c r="H83" s="246" t="s">
        <v>383</v>
      </c>
      <c r="I83" s="246">
        <v>0.66930000000000001</v>
      </c>
      <c r="J83" s="246">
        <v>2.4327000000000001</v>
      </c>
      <c r="K83" s="247">
        <v>5.33E-2</v>
      </c>
      <c r="L83" s="247">
        <v>0.16919999999999999</v>
      </c>
      <c r="M83" s="246" t="s">
        <v>384</v>
      </c>
      <c r="N83" s="247">
        <v>1.2699999999999999E-2</v>
      </c>
      <c r="O83" s="247">
        <v>5.2200000000000003E-2</v>
      </c>
      <c r="P83" s="247">
        <v>4.2299999999999997E-2</v>
      </c>
      <c r="Q83" s="247">
        <v>7.2099999999999997E-2</v>
      </c>
      <c r="R83" s="247">
        <v>-0.1792</v>
      </c>
      <c r="S83" s="247">
        <v>-5.3800000000000001E-2</v>
      </c>
      <c r="T83" s="248">
        <v>19</v>
      </c>
      <c r="U83" s="248">
        <v>0</v>
      </c>
      <c r="V83" s="248">
        <v>61.8</v>
      </c>
      <c r="W83" s="248">
        <v>61.8</v>
      </c>
      <c r="X83" s="248">
        <v>80.8</v>
      </c>
      <c r="Y83" s="248">
        <v>16.899999999999999</v>
      </c>
      <c r="Z83" s="248">
        <v>63.9</v>
      </c>
      <c r="AA83" s="247">
        <v>0.2092</v>
      </c>
      <c r="AB83" s="246">
        <v>0.09</v>
      </c>
      <c r="AC83" s="247">
        <v>0.61619999999999997</v>
      </c>
      <c r="AD83" s="247">
        <v>0.76490000000000002</v>
      </c>
      <c r="AE83" s="247">
        <v>1.6052</v>
      </c>
      <c r="AF83" s="247">
        <v>3.2526000000000002</v>
      </c>
      <c r="AG83" s="248">
        <v>1.01</v>
      </c>
      <c r="AH83" s="246">
        <v>50.04</v>
      </c>
      <c r="AI83" s="247">
        <v>1.9699999999999999E-2</v>
      </c>
      <c r="AJ83" s="246">
        <v>0.4</v>
      </c>
      <c r="AK83" s="247">
        <v>6.3200000000000006E-2</v>
      </c>
      <c r="AL83" s="247">
        <v>0.24479999999999999</v>
      </c>
      <c r="AM83" s="246">
        <v>0.28000000000000003</v>
      </c>
      <c r="AN83" s="233">
        <v>1</v>
      </c>
      <c r="AO83" s="246">
        <v>30.79</v>
      </c>
      <c r="AP83" s="246" t="s">
        <v>384</v>
      </c>
      <c r="AQ83" s="246">
        <v>23.5</v>
      </c>
      <c r="AR83" s="246" t="s">
        <v>384</v>
      </c>
      <c r="AS83" s="246" t="s">
        <v>384</v>
      </c>
      <c r="AT83" s="246">
        <v>0.49</v>
      </c>
      <c r="AU83" s="246">
        <v>0.42</v>
      </c>
      <c r="AV83" s="246">
        <v>0.36</v>
      </c>
      <c r="AW83" s="246">
        <v>78.209999999999994</v>
      </c>
      <c r="AX83" s="246">
        <v>34.17</v>
      </c>
      <c r="AY83" s="246">
        <v>0.93</v>
      </c>
      <c r="AZ83" s="246">
        <v>1.19</v>
      </c>
      <c r="BA83" s="246" t="s">
        <v>384</v>
      </c>
      <c r="BB83" s="247">
        <v>0</v>
      </c>
      <c r="BC83" s="247">
        <v>0.31030000000000002</v>
      </c>
      <c r="BD83" s="246" t="s">
        <v>384</v>
      </c>
      <c r="BE83" s="246" t="s">
        <v>384</v>
      </c>
      <c r="BF83" s="247">
        <v>6.0699999999999997E-2</v>
      </c>
      <c r="BG83" s="246" t="s">
        <v>384</v>
      </c>
      <c r="BH83" s="246" t="s">
        <v>384</v>
      </c>
      <c r="BI83" s="246" t="s">
        <v>384</v>
      </c>
      <c r="BJ83" s="247">
        <v>-0.01</v>
      </c>
      <c r="BK83" s="247">
        <v>1.83E-2</v>
      </c>
      <c r="BL83" s="246">
        <v>1.32</v>
      </c>
      <c r="BM83" s="247">
        <v>-6.1999999999999998E-3</v>
      </c>
      <c r="BN83" s="247">
        <v>1.3899999999999999E-2</v>
      </c>
      <c r="BO83" s="247">
        <v>8.0799999999999997E-2</v>
      </c>
      <c r="BP83" s="247">
        <v>0.19</v>
      </c>
      <c r="BQ83" s="247">
        <v>0</v>
      </c>
      <c r="BR83" s="247">
        <v>0.1118</v>
      </c>
      <c r="BS83" s="248">
        <v>0.62</v>
      </c>
      <c r="BT83" s="248">
        <v>-0.37</v>
      </c>
      <c r="BU83" s="248">
        <v>0.82</v>
      </c>
      <c r="BV83" s="248">
        <v>0.82</v>
      </c>
      <c r="BW83" s="248">
        <v>4.76</v>
      </c>
      <c r="BX83" s="248">
        <v>53.5</v>
      </c>
      <c r="BY83" s="248">
        <v>58.9</v>
      </c>
      <c r="BZ83" s="248">
        <v>1.29</v>
      </c>
      <c r="CA83" s="248">
        <v>1.87</v>
      </c>
      <c r="CB83" s="248">
        <v>0.82</v>
      </c>
      <c r="CC83" s="248">
        <v>-17.899999999999999</v>
      </c>
      <c r="CD83" s="248">
        <v>-0.5</v>
      </c>
      <c r="CE83" s="248">
        <v>5.68</v>
      </c>
      <c r="CF83" s="247">
        <v>9.64E-2</v>
      </c>
      <c r="CG83" s="248">
        <v>17.829999999999998</v>
      </c>
      <c r="CH83" s="247">
        <v>21.2118</v>
      </c>
      <c r="CI83" s="248">
        <v>-16.510000000000002</v>
      </c>
      <c r="CJ83" s="248">
        <v>0.2</v>
      </c>
      <c r="CK83" s="248">
        <v>-17.7</v>
      </c>
      <c r="CL83" s="248">
        <v>36.6</v>
      </c>
      <c r="CM83" s="248">
        <v>44.56</v>
      </c>
      <c r="CN83" s="248">
        <v>38.5</v>
      </c>
      <c r="CO83" s="248">
        <v>68.599999999999994</v>
      </c>
      <c r="CP83" s="248">
        <v>0</v>
      </c>
      <c r="CQ83" s="246">
        <v>0.13</v>
      </c>
      <c r="CR83" s="246">
        <v>0.4</v>
      </c>
      <c r="CS83" s="246">
        <v>0.55000000000000004</v>
      </c>
      <c r="CT83" s="246">
        <v>0.99</v>
      </c>
      <c r="CU83" s="246">
        <v>0.8</v>
      </c>
      <c r="CV83" s="248">
        <v>1.54</v>
      </c>
      <c r="CW83" s="248">
        <v>2.61</v>
      </c>
      <c r="CX83" s="248">
        <v>0</v>
      </c>
      <c r="CY83" s="246" t="s">
        <v>384</v>
      </c>
      <c r="CZ83" s="246" t="s">
        <v>384</v>
      </c>
      <c r="DA83" s="246" t="s">
        <v>384</v>
      </c>
      <c r="DB83" s="246" t="s">
        <v>384</v>
      </c>
      <c r="DC83" s="248">
        <v>1.87</v>
      </c>
      <c r="DD83" s="248">
        <v>63.9</v>
      </c>
      <c r="DE83" s="246" t="s">
        <v>384</v>
      </c>
      <c r="DF83" s="248">
        <v>0</v>
      </c>
      <c r="DG83" s="248">
        <v>0.82</v>
      </c>
      <c r="DH83" s="248">
        <v>68.599999999999994</v>
      </c>
      <c r="DI83" s="248">
        <v>1.29</v>
      </c>
      <c r="DJ83" s="247">
        <v>-0.01</v>
      </c>
      <c r="DK83" s="247">
        <v>1.83E-2</v>
      </c>
      <c r="DL83" s="246">
        <v>49.53</v>
      </c>
      <c r="DM83" s="246">
        <v>1.05</v>
      </c>
      <c r="DN83" s="246">
        <v>12.44</v>
      </c>
      <c r="DO83" s="246">
        <v>1.54</v>
      </c>
      <c r="DP83" s="247">
        <v>3.7999999999999999E-2</v>
      </c>
      <c r="DQ83" s="246" t="s">
        <v>1404</v>
      </c>
      <c r="DR83" s="246" t="s">
        <v>1236</v>
      </c>
      <c r="DS83" s="246" t="s">
        <v>1405</v>
      </c>
      <c r="DT83" s="246" t="e">
        <v>#REF!</v>
      </c>
      <c r="DU83" s="246" t="s">
        <v>388</v>
      </c>
      <c r="DV83" s="246" t="s">
        <v>1406</v>
      </c>
      <c r="DW83" s="246" t="s">
        <v>1407</v>
      </c>
      <c r="DX83" s="246" t="s">
        <v>1408</v>
      </c>
      <c r="DY83" s="246" t="s">
        <v>1409</v>
      </c>
      <c r="DZ83" s="246">
        <v>16</v>
      </c>
      <c r="EA83" s="247">
        <v>0.124</v>
      </c>
      <c r="EB83" s="247">
        <v>0.6</v>
      </c>
      <c r="EC83" s="247">
        <v>-0.1638</v>
      </c>
      <c r="ED83" s="247">
        <v>-2.06E-2</v>
      </c>
      <c r="EE83" s="247">
        <v>0.47289999999999999</v>
      </c>
      <c r="EF83" s="247">
        <v>-1.67E-2</v>
      </c>
      <c r="EG83" s="247">
        <v>1.6199999999999999E-2</v>
      </c>
      <c r="EH83" s="247">
        <v>1.4E-2</v>
      </c>
      <c r="EI83" s="246" t="s">
        <v>1404</v>
      </c>
      <c r="EJ83" s="234">
        <v>0.82</v>
      </c>
      <c r="EK83" s="234">
        <v>0.97</v>
      </c>
      <c r="EL83" s="234" t="s">
        <v>1410</v>
      </c>
      <c r="EM83" s="234" t="s">
        <v>1411</v>
      </c>
      <c r="EN83" s="234" t="s">
        <v>1412</v>
      </c>
      <c r="EO83" s="234" t="s">
        <v>1413</v>
      </c>
      <c r="EP83" s="234" t="s">
        <v>376</v>
      </c>
      <c r="EQ83" s="234" t="s">
        <v>377</v>
      </c>
      <c r="ER83" s="234">
        <v>0</v>
      </c>
      <c r="ES83" s="249">
        <v>0.1706</v>
      </c>
      <c r="ET83" s="234" t="s">
        <v>384</v>
      </c>
      <c r="EU83" s="250">
        <v>58.9</v>
      </c>
      <c r="EV83" s="234" t="s">
        <v>491</v>
      </c>
      <c r="EW83" s="250">
        <v>17.5</v>
      </c>
      <c r="EX83" s="250">
        <v>17.8</v>
      </c>
      <c r="EY83" s="250">
        <v>12.3</v>
      </c>
      <c r="EZ83" s="250">
        <v>17</v>
      </c>
      <c r="FA83" s="250">
        <v>12.9</v>
      </c>
      <c r="FB83" s="250">
        <v>14.5</v>
      </c>
      <c r="FC83" s="250">
        <v>2.84</v>
      </c>
      <c r="FD83" s="249">
        <v>0</v>
      </c>
      <c r="FE83" s="250">
        <v>0</v>
      </c>
      <c r="FF83" s="250">
        <v>0</v>
      </c>
    </row>
    <row r="84" spans="1:162">
      <c r="A84" s="234" t="s">
        <v>1414</v>
      </c>
      <c r="B84" s="234" t="s">
        <v>1415</v>
      </c>
      <c r="C84" s="246" t="s">
        <v>401</v>
      </c>
      <c r="D84" s="246" t="s">
        <v>362</v>
      </c>
      <c r="E84" s="246">
        <v>4210</v>
      </c>
      <c r="F84" s="246" t="s">
        <v>1290</v>
      </c>
      <c r="G84" s="246" t="s">
        <v>417</v>
      </c>
      <c r="H84" s="246" t="s">
        <v>418</v>
      </c>
      <c r="I84" s="246">
        <v>0.66930000000000001</v>
      </c>
      <c r="J84" s="246">
        <v>0.91620000000000001</v>
      </c>
      <c r="K84" s="247">
        <v>6.3E-2</v>
      </c>
      <c r="L84" s="247">
        <v>9.7199999999999995E-2</v>
      </c>
      <c r="M84" s="246" t="s">
        <v>384</v>
      </c>
      <c r="N84" s="247">
        <v>2.2499999999999999E-2</v>
      </c>
      <c r="O84" s="247">
        <v>6.2E-2</v>
      </c>
      <c r="P84" s="247">
        <v>4.9599999999999998E-2</v>
      </c>
      <c r="Q84" s="247">
        <v>8.2199999999999995E-2</v>
      </c>
      <c r="R84" s="247">
        <v>-2.4899999999999999E-2</v>
      </c>
      <c r="S84" s="247">
        <v>-4.2599999999999999E-2</v>
      </c>
      <c r="T84" s="248">
        <v>17.7</v>
      </c>
      <c r="U84" s="248">
        <v>0</v>
      </c>
      <c r="V84" s="248">
        <v>8.16</v>
      </c>
      <c r="W84" s="248">
        <v>8.16</v>
      </c>
      <c r="X84" s="248">
        <v>25.86</v>
      </c>
      <c r="Y84" s="248">
        <v>1.05</v>
      </c>
      <c r="Z84" s="248">
        <v>24.81</v>
      </c>
      <c r="AA84" s="247">
        <v>4.0599999999999997E-2</v>
      </c>
      <c r="AB84" s="246">
        <v>0.4</v>
      </c>
      <c r="AC84" s="247">
        <v>0.215</v>
      </c>
      <c r="AD84" s="247">
        <v>0.3155</v>
      </c>
      <c r="AE84" s="247">
        <v>0.27379999999999999</v>
      </c>
      <c r="AF84" s="247">
        <v>0.46100000000000002</v>
      </c>
      <c r="AG84" s="248">
        <v>0.02</v>
      </c>
      <c r="AH84" s="246">
        <v>69.06</v>
      </c>
      <c r="AI84" s="246" t="s">
        <v>384</v>
      </c>
      <c r="AJ84" s="246">
        <v>1.28</v>
      </c>
      <c r="AK84" s="247">
        <v>0.21210000000000001</v>
      </c>
      <c r="AL84" s="247">
        <v>0.37840000000000001</v>
      </c>
      <c r="AM84" s="246">
        <v>0.21</v>
      </c>
      <c r="AN84" s="233">
        <v>5.18</v>
      </c>
      <c r="AO84" s="246">
        <v>9.1199999999999992</v>
      </c>
      <c r="AP84" s="246">
        <v>8.59</v>
      </c>
      <c r="AQ84" s="246">
        <v>9.9499999999999993</v>
      </c>
      <c r="AR84" s="246">
        <v>8</v>
      </c>
      <c r="AS84" s="246" t="s">
        <v>384</v>
      </c>
      <c r="AT84" s="246">
        <v>0.59</v>
      </c>
      <c r="AU84" s="246">
        <v>0.7</v>
      </c>
      <c r="AV84" s="246">
        <v>0.72</v>
      </c>
      <c r="AW84" s="246">
        <v>14.42</v>
      </c>
      <c r="AX84" s="246">
        <v>19.690000000000001</v>
      </c>
      <c r="AY84" s="246">
        <v>0.67</v>
      </c>
      <c r="AZ84" s="246">
        <v>1.01</v>
      </c>
      <c r="BA84" s="247">
        <v>0.3291</v>
      </c>
      <c r="BB84" s="247">
        <v>3.8300000000000001E-2</v>
      </c>
      <c r="BC84" s="247">
        <v>-8.2900000000000001E-2</v>
      </c>
      <c r="BD84" s="247">
        <v>0.151</v>
      </c>
      <c r="BE84" s="247">
        <v>0.14199999999999999</v>
      </c>
      <c r="BF84" s="247">
        <v>8.7099999999999997E-2</v>
      </c>
      <c r="BG84" s="247">
        <v>6.1800000000000001E-2</v>
      </c>
      <c r="BH84" s="246" t="s">
        <v>384</v>
      </c>
      <c r="BI84" s="247">
        <v>2.8E-3</v>
      </c>
      <c r="BJ84" s="247">
        <v>7.2300000000000003E-2</v>
      </c>
      <c r="BK84" s="247">
        <v>3.9600000000000003E-2</v>
      </c>
      <c r="BL84" s="246">
        <v>0.68</v>
      </c>
      <c r="BM84" s="247">
        <v>7.8899999999999998E-2</v>
      </c>
      <c r="BN84" s="247">
        <v>6.59E-2</v>
      </c>
      <c r="BO84" s="247">
        <v>0.151</v>
      </c>
      <c r="BP84" s="247">
        <v>0.2</v>
      </c>
      <c r="BQ84" s="247">
        <v>0.12130000000000001</v>
      </c>
      <c r="BR84" s="246" t="s">
        <v>384</v>
      </c>
      <c r="BS84" s="248">
        <v>1.94</v>
      </c>
      <c r="BT84" s="248">
        <v>2.06</v>
      </c>
      <c r="BU84" s="248">
        <v>1.72</v>
      </c>
      <c r="BV84" s="248">
        <v>1.72</v>
      </c>
      <c r="BW84" s="248">
        <v>3.94</v>
      </c>
      <c r="BX84" s="248">
        <v>24.5</v>
      </c>
      <c r="BY84" s="248">
        <v>26.1</v>
      </c>
      <c r="BZ84" s="248">
        <v>2.4500000000000002</v>
      </c>
      <c r="CA84" s="248">
        <v>1.26</v>
      </c>
      <c r="CB84" s="248">
        <v>1.51</v>
      </c>
      <c r="CC84" s="248">
        <v>2.4700000000000002</v>
      </c>
      <c r="CD84" s="248">
        <v>0.01</v>
      </c>
      <c r="CE84" s="248">
        <v>0.44</v>
      </c>
      <c r="CF84" s="247">
        <v>1.6799999999999999E-2</v>
      </c>
      <c r="CG84" s="248">
        <v>0.61</v>
      </c>
      <c r="CH84" s="247">
        <v>0.40760000000000002</v>
      </c>
      <c r="CI84" s="248">
        <v>0.9</v>
      </c>
      <c r="CJ84" s="248">
        <v>-1.03</v>
      </c>
      <c r="CK84" s="248">
        <v>1.44</v>
      </c>
      <c r="CL84" s="248">
        <v>28.5</v>
      </c>
      <c r="CM84" s="248">
        <v>38.159999999999997</v>
      </c>
      <c r="CN84" s="248">
        <v>29.8</v>
      </c>
      <c r="CO84" s="248">
        <v>36.909999999999997</v>
      </c>
      <c r="CP84" s="248">
        <v>-0.68</v>
      </c>
      <c r="CQ84" s="246">
        <v>0.67</v>
      </c>
      <c r="CR84" s="246">
        <v>0.27</v>
      </c>
      <c r="CS84" s="246">
        <v>0.42</v>
      </c>
      <c r="CT84" s="246" t="s">
        <v>384</v>
      </c>
      <c r="CU84" s="246" t="s">
        <v>384</v>
      </c>
      <c r="CV84" s="246" t="s">
        <v>384</v>
      </c>
      <c r="CW84" s="246" t="s">
        <v>384</v>
      </c>
      <c r="CX84" s="248">
        <v>-0.68</v>
      </c>
      <c r="CY84" s="248">
        <v>2.35</v>
      </c>
      <c r="CZ84" s="248">
        <v>0.28999999999999998</v>
      </c>
      <c r="DA84" s="248">
        <v>2.06</v>
      </c>
      <c r="DB84" s="248">
        <v>17.7</v>
      </c>
      <c r="DC84" s="248">
        <v>1.26</v>
      </c>
      <c r="DD84" s="248">
        <v>24.81</v>
      </c>
      <c r="DE84" s="248">
        <v>-1.03</v>
      </c>
      <c r="DF84" s="248">
        <v>0</v>
      </c>
      <c r="DG84" s="248">
        <v>1.72</v>
      </c>
      <c r="DH84" s="248">
        <v>36.909999999999997</v>
      </c>
      <c r="DI84" s="248">
        <v>2.4500000000000002</v>
      </c>
      <c r="DJ84" s="247">
        <v>7.2300000000000003E-2</v>
      </c>
      <c r="DK84" s="247">
        <v>3.9600000000000003E-2</v>
      </c>
      <c r="DL84" s="246">
        <v>10.130000000000001</v>
      </c>
      <c r="DM84" s="246">
        <v>-0.46</v>
      </c>
      <c r="DN84" s="246" t="s">
        <v>384</v>
      </c>
      <c r="DO84" s="246" t="s">
        <v>384</v>
      </c>
      <c r="DP84" s="246" t="s">
        <v>384</v>
      </c>
      <c r="DQ84" s="248">
        <v>-2.54</v>
      </c>
      <c r="DR84" s="246" t="s">
        <v>1416</v>
      </c>
      <c r="DS84" s="246" t="s">
        <v>1243</v>
      </c>
      <c r="DT84" s="246" t="e">
        <v>#REF!</v>
      </c>
      <c r="DU84" s="246" t="s">
        <v>388</v>
      </c>
      <c r="DV84" s="246" t="s">
        <v>1417</v>
      </c>
      <c r="DW84" s="246" t="s">
        <v>1350</v>
      </c>
      <c r="DX84" s="246" t="s">
        <v>1073</v>
      </c>
      <c r="DY84" s="246" t="s">
        <v>1418</v>
      </c>
      <c r="DZ84" s="246">
        <v>27</v>
      </c>
      <c r="EA84" s="247">
        <v>-0.16669999999999999</v>
      </c>
      <c r="EB84" s="247">
        <v>-0.1048</v>
      </c>
      <c r="EC84" s="247">
        <v>0.14360000000000001</v>
      </c>
      <c r="ED84" s="247">
        <v>-0.1767</v>
      </c>
      <c r="EE84" s="247">
        <v>-0.29759999999999998</v>
      </c>
      <c r="EF84" s="247">
        <v>-3.8E-3</v>
      </c>
      <c r="EG84" s="247">
        <v>7.7100000000000002E-2</v>
      </c>
      <c r="EH84" s="247">
        <v>6.6000000000000003E-2</v>
      </c>
      <c r="EI84" s="248">
        <v>-2.54</v>
      </c>
      <c r="EJ84" s="234">
        <v>1.72</v>
      </c>
      <c r="EK84" s="234">
        <v>2.02</v>
      </c>
      <c r="EL84" s="234" t="s">
        <v>1343</v>
      </c>
      <c r="EM84" s="234" t="s">
        <v>1419</v>
      </c>
      <c r="EN84" s="234" t="s">
        <v>1376</v>
      </c>
      <c r="EO84" s="234" t="s">
        <v>1271</v>
      </c>
      <c r="EP84" s="234" t="s">
        <v>376</v>
      </c>
      <c r="EQ84" s="234" t="s">
        <v>377</v>
      </c>
      <c r="ER84" s="234">
        <v>1</v>
      </c>
      <c r="ES84" s="249">
        <v>5.3600000000000002E-2</v>
      </c>
      <c r="ET84" s="234" t="s">
        <v>384</v>
      </c>
      <c r="EU84" s="250">
        <v>26.1</v>
      </c>
      <c r="EV84" s="234" t="s">
        <v>491</v>
      </c>
      <c r="EW84" s="250">
        <v>0</v>
      </c>
      <c r="EX84" s="250">
        <v>41.4</v>
      </c>
      <c r="EY84" s="250">
        <v>36.299999999999997</v>
      </c>
      <c r="EZ84" s="250">
        <v>48.3</v>
      </c>
      <c r="FA84" s="250">
        <v>25.2</v>
      </c>
      <c r="FB84" s="250">
        <v>19.3</v>
      </c>
      <c r="FC84" s="250">
        <v>0</v>
      </c>
      <c r="FD84" s="249">
        <v>0</v>
      </c>
      <c r="FE84" s="250">
        <v>0</v>
      </c>
      <c r="FF84" s="250">
        <v>0</v>
      </c>
    </row>
    <row r="85" spans="1:162">
      <c r="A85" s="234" t="s">
        <v>1420</v>
      </c>
      <c r="B85" s="234" t="s">
        <v>1421</v>
      </c>
      <c r="C85" s="246" t="s">
        <v>361</v>
      </c>
      <c r="D85" s="246" t="s">
        <v>362</v>
      </c>
      <c r="E85" s="246">
        <v>4210</v>
      </c>
      <c r="F85" s="246" t="s">
        <v>1034</v>
      </c>
      <c r="G85" s="246" t="s">
        <v>417</v>
      </c>
      <c r="H85" s="246" t="s">
        <v>418</v>
      </c>
      <c r="I85" s="246">
        <v>0.74739999999999995</v>
      </c>
      <c r="J85" s="246">
        <v>1.0965</v>
      </c>
      <c r="K85" s="247">
        <v>5.7799999999999997E-2</v>
      </c>
      <c r="L85" s="247">
        <v>0.10290000000000001</v>
      </c>
      <c r="M85" s="246" t="s">
        <v>384</v>
      </c>
      <c r="N85" s="247">
        <v>1.9099999999999999E-2</v>
      </c>
      <c r="O85" s="247">
        <v>5.8599999999999999E-2</v>
      </c>
      <c r="P85" s="247">
        <v>4.4499999999999998E-2</v>
      </c>
      <c r="Q85" s="247">
        <v>8.0699999999999994E-2</v>
      </c>
      <c r="R85" s="247">
        <v>-0.16300000000000001</v>
      </c>
      <c r="S85" s="247">
        <v>-8.2500000000000004E-2</v>
      </c>
      <c r="T85" s="248">
        <v>16.600000000000001</v>
      </c>
      <c r="U85" s="248">
        <v>0</v>
      </c>
      <c r="V85" s="248">
        <v>10.199999999999999</v>
      </c>
      <c r="W85" s="248">
        <v>10.199999999999999</v>
      </c>
      <c r="X85" s="248">
        <v>26.8</v>
      </c>
      <c r="Y85" s="248">
        <v>0.81</v>
      </c>
      <c r="Z85" s="248">
        <v>25.99</v>
      </c>
      <c r="AA85" s="247">
        <v>3.0300000000000001E-2</v>
      </c>
      <c r="AB85" s="246">
        <v>0.52</v>
      </c>
      <c r="AC85" s="247">
        <v>0.34460000000000002</v>
      </c>
      <c r="AD85" s="247">
        <v>0.38059999999999999</v>
      </c>
      <c r="AE85" s="247">
        <v>0.52580000000000005</v>
      </c>
      <c r="AF85" s="247">
        <v>0.61450000000000005</v>
      </c>
      <c r="AG85" s="248">
        <v>0.05</v>
      </c>
      <c r="AH85" s="246">
        <v>69.06</v>
      </c>
      <c r="AI85" s="247">
        <v>-0.32090000000000002</v>
      </c>
      <c r="AJ85" s="246">
        <v>0.43</v>
      </c>
      <c r="AK85" s="247">
        <v>5.4800000000000001E-2</v>
      </c>
      <c r="AL85" s="247">
        <v>0.379</v>
      </c>
      <c r="AM85" s="246">
        <v>0.24</v>
      </c>
      <c r="AN85" s="233" t="s">
        <v>384</v>
      </c>
      <c r="AO85" s="246" t="s">
        <v>384</v>
      </c>
      <c r="AP85" s="246" t="s">
        <v>384</v>
      </c>
      <c r="AQ85" s="246" t="s">
        <v>384</v>
      </c>
      <c r="AR85" s="246" t="s">
        <v>384</v>
      </c>
      <c r="AS85" s="246" t="s">
        <v>384</v>
      </c>
      <c r="AT85" s="246">
        <v>0.86</v>
      </c>
      <c r="AU85" s="246">
        <v>1</v>
      </c>
      <c r="AV85" s="246">
        <v>3.81</v>
      </c>
      <c r="AW85" s="246" t="s">
        <v>384</v>
      </c>
      <c r="AX85" s="246">
        <v>25.48</v>
      </c>
      <c r="AY85" s="246">
        <v>0.99</v>
      </c>
      <c r="AZ85" s="246">
        <v>5.96</v>
      </c>
      <c r="BA85" s="246" t="s">
        <v>384</v>
      </c>
      <c r="BB85" s="247">
        <v>0</v>
      </c>
      <c r="BC85" s="247">
        <v>-0.1399</v>
      </c>
      <c r="BD85" s="246" t="s">
        <v>384</v>
      </c>
      <c r="BE85" s="246" t="s">
        <v>384</v>
      </c>
      <c r="BF85" s="247">
        <v>-9.7000000000000003E-2</v>
      </c>
      <c r="BG85" s="247">
        <v>7.3300000000000004E-2</v>
      </c>
      <c r="BH85" s="246" t="s">
        <v>384</v>
      </c>
      <c r="BI85" s="246" t="s">
        <v>384</v>
      </c>
      <c r="BJ85" s="247">
        <v>-6.0100000000000001E-2</v>
      </c>
      <c r="BK85" s="247">
        <v>-1.8E-3</v>
      </c>
      <c r="BL85" s="246">
        <v>0.13</v>
      </c>
      <c r="BM85" s="247">
        <v>-0.31919999999999998</v>
      </c>
      <c r="BN85" s="247">
        <v>-1.37E-2</v>
      </c>
      <c r="BO85" s="247">
        <v>9.7000000000000003E-2</v>
      </c>
      <c r="BP85" s="247">
        <v>0.24</v>
      </c>
      <c r="BQ85" s="247">
        <v>0</v>
      </c>
      <c r="BR85" s="247">
        <v>3.0499999999999999E-2</v>
      </c>
      <c r="BS85" s="248">
        <v>-3.1</v>
      </c>
      <c r="BT85" s="248">
        <v>-1.28</v>
      </c>
      <c r="BU85" s="248">
        <v>-0.06</v>
      </c>
      <c r="BV85" s="248">
        <v>-0.06</v>
      </c>
      <c r="BW85" s="248">
        <v>0.39</v>
      </c>
      <c r="BX85" s="248">
        <v>4.3600000000000003</v>
      </c>
      <c r="BY85" s="248">
        <v>4.01</v>
      </c>
      <c r="BZ85" s="248">
        <v>0.04</v>
      </c>
      <c r="CA85" s="248">
        <v>1.02</v>
      </c>
      <c r="CB85" s="248">
        <v>-0.06</v>
      </c>
      <c r="CC85" s="248">
        <v>1.46</v>
      </c>
      <c r="CD85" s="248">
        <v>-2.4300000000000002</v>
      </c>
      <c r="CE85" s="248">
        <v>-1.28</v>
      </c>
      <c r="CF85" s="247">
        <v>-0.31919999999999998</v>
      </c>
      <c r="CG85" s="248">
        <v>-1.04</v>
      </c>
      <c r="CH85" s="246" t="s">
        <v>384</v>
      </c>
      <c r="CI85" s="248">
        <v>3.42</v>
      </c>
      <c r="CJ85" s="248">
        <v>0.73</v>
      </c>
      <c r="CK85" s="248">
        <v>2.19</v>
      </c>
      <c r="CL85" s="248">
        <v>21.3</v>
      </c>
      <c r="CM85" s="248">
        <v>30.59</v>
      </c>
      <c r="CN85" s="248">
        <v>19.399999999999999</v>
      </c>
      <c r="CO85" s="248">
        <v>26.36</v>
      </c>
      <c r="CP85" s="248">
        <v>0</v>
      </c>
      <c r="CQ85" s="246">
        <v>0.17</v>
      </c>
      <c r="CR85" s="246">
        <v>0.2</v>
      </c>
      <c r="CS85" s="246">
        <v>0.42</v>
      </c>
      <c r="CT85" s="246">
        <v>0.85</v>
      </c>
      <c r="CU85" s="246">
        <v>1.08</v>
      </c>
      <c r="CV85" s="248">
        <v>-1.1100000000000001</v>
      </c>
      <c r="CW85" s="248">
        <v>-1.1399999999999999</v>
      </c>
      <c r="CX85" s="248">
        <v>0</v>
      </c>
      <c r="CY85" s="246" t="s">
        <v>384</v>
      </c>
      <c r="CZ85" s="246" t="s">
        <v>384</v>
      </c>
      <c r="DA85" s="246" t="s">
        <v>384</v>
      </c>
      <c r="DB85" s="246" t="s">
        <v>384</v>
      </c>
      <c r="DC85" s="248">
        <v>1.02</v>
      </c>
      <c r="DD85" s="248">
        <v>25.99</v>
      </c>
      <c r="DE85" s="246" t="s">
        <v>384</v>
      </c>
      <c r="DF85" s="248">
        <v>0</v>
      </c>
      <c r="DG85" s="248">
        <v>-0.06</v>
      </c>
      <c r="DH85" s="248">
        <v>26.36</v>
      </c>
      <c r="DI85" s="248">
        <v>0.04</v>
      </c>
      <c r="DJ85" s="247">
        <v>-6.0100000000000001E-2</v>
      </c>
      <c r="DK85" s="247">
        <v>-1.8E-3</v>
      </c>
      <c r="DL85" s="246">
        <v>702.41</v>
      </c>
      <c r="DM85" s="246">
        <v>1.08</v>
      </c>
      <c r="DN85" s="246">
        <v>13.91</v>
      </c>
      <c r="DO85" s="246">
        <v>-1.1100000000000001</v>
      </c>
      <c r="DP85" s="247">
        <v>-5.5199999999999999E-2</v>
      </c>
      <c r="DQ85" s="248">
        <v>-1.7</v>
      </c>
      <c r="DR85" s="246" t="s">
        <v>1422</v>
      </c>
      <c r="DS85" s="246" t="s">
        <v>644</v>
      </c>
      <c r="DT85" s="246" t="e">
        <v>#REF!</v>
      </c>
      <c r="DU85" s="246" t="s">
        <v>388</v>
      </c>
      <c r="DV85" s="248">
        <v>-0.06</v>
      </c>
      <c r="DW85" s="246" t="s">
        <v>1423</v>
      </c>
      <c r="DX85" s="246" t="s">
        <v>1424</v>
      </c>
      <c r="DY85" s="246" t="s">
        <v>1425</v>
      </c>
      <c r="DZ85" s="246">
        <v>25</v>
      </c>
      <c r="EA85" s="247">
        <v>-0.1366</v>
      </c>
      <c r="EB85" s="247">
        <v>7.1400000000000005E-2</v>
      </c>
      <c r="EC85" s="247">
        <v>-0.219</v>
      </c>
      <c r="ED85" s="247">
        <v>1.2200000000000001E-2</v>
      </c>
      <c r="EE85" s="247">
        <v>-0.26869999999999999</v>
      </c>
      <c r="EF85" s="247">
        <v>2.8199999999999999E-2</v>
      </c>
      <c r="EG85" s="247">
        <v>-0.23180000000000001</v>
      </c>
      <c r="EH85" s="247">
        <v>-1.4E-2</v>
      </c>
      <c r="EI85" s="248">
        <v>-1.7</v>
      </c>
      <c r="EJ85" s="234">
        <v>-0.06</v>
      </c>
      <c r="EK85" s="234">
        <v>-0.9</v>
      </c>
      <c r="EL85" s="234" t="s">
        <v>1026</v>
      </c>
      <c r="EM85" s="234" t="s">
        <v>1330</v>
      </c>
      <c r="EN85" s="234" t="s">
        <v>1419</v>
      </c>
      <c r="EO85" s="234" t="s">
        <v>1426</v>
      </c>
      <c r="EP85" s="234" t="s">
        <v>376</v>
      </c>
      <c r="EQ85" s="234" t="s">
        <v>377</v>
      </c>
      <c r="ER85" s="234">
        <v>0</v>
      </c>
      <c r="ES85" s="249">
        <v>6.7699999999999996E-2</v>
      </c>
      <c r="ET85" s="234" t="s">
        <v>384</v>
      </c>
      <c r="EU85" s="250">
        <v>4.01</v>
      </c>
      <c r="EV85" s="234" t="s">
        <v>491</v>
      </c>
      <c r="EW85" s="250">
        <v>25</v>
      </c>
      <c r="EX85" s="250">
        <v>39.200000000000003</v>
      </c>
      <c r="EY85" s="250">
        <v>32.9</v>
      </c>
      <c r="EZ85" s="250">
        <v>28.7</v>
      </c>
      <c r="FA85" s="250">
        <v>22.7</v>
      </c>
      <c r="FB85" s="250">
        <v>19.3</v>
      </c>
      <c r="FC85" s="250">
        <v>0</v>
      </c>
      <c r="FD85" s="249">
        <v>0</v>
      </c>
      <c r="FE85" s="250">
        <v>10.1</v>
      </c>
      <c r="FF85" s="250">
        <v>0.03</v>
      </c>
    </row>
    <row r="86" spans="1:162">
      <c r="A86" s="234" t="s">
        <v>1427</v>
      </c>
      <c r="B86" s="234" t="s">
        <v>1428</v>
      </c>
      <c r="C86" s="246" t="s">
        <v>401</v>
      </c>
      <c r="D86" s="246" t="s">
        <v>362</v>
      </c>
      <c r="E86" s="246">
        <v>4210</v>
      </c>
      <c r="F86" s="246" t="s">
        <v>642</v>
      </c>
      <c r="G86" s="246" t="s">
        <v>417</v>
      </c>
      <c r="H86" s="246" t="s">
        <v>642</v>
      </c>
      <c r="I86" s="246">
        <v>0.66930000000000001</v>
      </c>
      <c r="J86" s="246">
        <v>0.83609999999999995</v>
      </c>
      <c r="K86" s="247">
        <v>7.0800000000000002E-2</v>
      </c>
      <c r="L86" s="247">
        <v>9.8699999999999996E-2</v>
      </c>
      <c r="M86" s="246" t="s">
        <v>384</v>
      </c>
      <c r="N86" s="247">
        <v>2.98E-2</v>
      </c>
      <c r="O86" s="247">
        <v>6.93E-2</v>
      </c>
      <c r="P86" s="247">
        <v>4.8500000000000001E-2</v>
      </c>
      <c r="Q86" s="247">
        <v>8.5500000000000007E-2</v>
      </c>
      <c r="R86" s="246" t="s">
        <v>384</v>
      </c>
      <c r="S86" s="247">
        <v>0.1537</v>
      </c>
      <c r="T86" s="248">
        <v>15.9</v>
      </c>
      <c r="U86" s="248">
        <v>0</v>
      </c>
      <c r="V86" s="248">
        <v>5.66</v>
      </c>
      <c r="W86" s="248">
        <v>5.66</v>
      </c>
      <c r="X86" s="248">
        <v>21.56</v>
      </c>
      <c r="Y86" s="248">
        <v>0.04</v>
      </c>
      <c r="Z86" s="248">
        <v>21.52</v>
      </c>
      <c r="AA86" s="247">
        <v>1.9E-3</v>
      </c>
      <c r="AB86" s="246">
        <v>2.82</v>
      </c>
      <c r="AC86" s="247">
        <v>0.71460000000000001</v>
      </c>
      <c r="AD86" s="247">
        <v>0.26250000000000001</v>
      </c>
      <c r="AE86" s="247">
        <v>2.5044</v>
      </c>
      <c r="AF86" s="247">
        <v>0.35599999999999998</v>
      </c>
      <c r="AG86" s="248">
        <v>1.83</v>
      </c>
      <c r="AH86" s="246">
        <v>69.06</v>
      </c>
      <c r="AI86" s="246" t="s">
        <v>384</v>
      </c>
      <c r="AJ86" s="246" t="s">
        <v>384</v>
      </c>
      <c r="AK86" s="246" t="s">
        <v>384</v>
      </c>
      <c r="AL86" s="246" t="s">
        <v>384</v>
      </c>
      <c r="AM86" s="246">
        <v>0.27</v>
      </c>
      <c r="AN86" s="233">
        <v>4.43</v>
      </c>
      <c r="AO86" s="246">
        <v>18.88</v>
      </c>
      <c r="AP86" s="246">
        <v>18.88</v>
      </c>
      <c r="AQ86" s="246" t="s">
        <v>384</v>
      </c>
      <c r="AR86" s="246" t="s">
        <v>384</v>
      </c>
      <c r="AS86" s="246" t="s">
        <v>384</v>
      </c>
      <c r="AT86" s="246">
        <v>7.04</v>
      </c>
      <c r="AU86" s="246">
        <v>0.77</v>
      </c>
      <c r="AV86" s="246">
        <v>1.21</v>
      </c>
      <c r="AW86" s="246">
        <v>14.84</v>
      </c>
      <c r="AX86" s="246">
        <v>10.87</v>
      </c>
      <c r="AY86" s="246">
        <v>2.73</v>
      </c>
      <c r="AZ86" s="246">
        <v>1.64</v>
      </c>
      <c r="BA86" s="247">
        <v>0</v>
      </c>
      <c r="BB86" s="247">
        <v>0</v>
      </c>
      <c r="BC86" s="247">
        <v>-0.1719</v>
      </c>
      <c r="BD86" s="247">
        <v>0.95799999999999996</v>
      </c>
      <c r="BE86" s="246" t="s">
        <v>384</v>
      </c>
      <c r="BF86" s="247">
        <v>0.29699999999999999</v>
      </c>
      <c r="BG86" s="246" t="s">
        <v>384</v>
      </c>
      <c r="BH86" s="246" t="s">
        <v>384</v>
      </c>
      <c r="BI86" s="246" t="s">
        <v>384</v>
      </c>
      <c r="BJ86" s="246" t="s">
        <v>384</v>
      </c>
      <c r="BK86" s="247">
        <v>0.2392</v>
      </c>
      <c r="BL86" s="246">
        <v>2.91</v>
      </c>
      <c r="BM86" s="247">
        <v>6.4299999999999996E-2</v>
      </c>
      <c r="BN86" s="247">
        <v>0.11070000000000001</v>
      </c>
      <c r="BO86" s="247">
        <v>0.1588</v>
      </c>
      <c r="BP86" s="247">
        <v>0.3</v>
      </c>
      <c r="BQ86" s="247">
        <v>0.25750000000000001</v>
      </c>
      <c r="BR86" s="246" t="s">
        <v>384</v>
      </c>
      <c r="BS86" s="248">
        <v>0.84</v>
      </c>
      <c r="BT86" s="248">
        <v>0.84</v>
      </c>
      <c r="BU86" s="248">
        <v>1.45</v>
      </c>
      <c r="BV86" s="248">
        <v>1.45</v>
      </c>
      <c r="BW86" s="248">
        <v>2.08</v>
      </c>
      <c r="BX86" s="248">
        <v>13.1</v>
      </c>
      <c r="BY86" s="248">
        <v>13.1</v>
      </c>
      <c r="BZ86" s="248">
        <v>1.98</v>
      </c>
      <c r="CA86" s="248">
        <v>1.98</v>
      </c>
      <c r="CB86" s="248">
        <v>1.08</v>
      </c>
      <c r="CC86" s="248">
        <v>-0.35</v>
      </c>
      <c r="CD86" s="248">
        <v>1.82</v>
      </c>
      <c r="CE86" s="248">
        <v>3.72</v>
      </c>
      <c r="CF86" s="247">
        <v>0.28370000000000001</v>
      </c>
      <c r="CG86" s="248">
        <v>-0.4</v>
      </c>
      <c r="CH86" s="247">
        <v>1.3162</v>
      </c>
      <c r="CI86" s="248">
        <v>-0.34</v>
      </c>
      <c r="CJ86" s="248">
        <v>-0.22</v>
      </c>
      <c r="CK86" s="248">
        <v>-0.57999999999999996</v>
      </c>
      <c r="CL86" s="248">
        <v>0</v>
      </c>
      <c r="CM86" s="248">
        <v>4.5</v>
      </c>
      <c r="CN86" s="248">
        <v>2.2599999999999998</v>
      </c>
      <c r="CO86" s="248">
        <v>7.88</v>
      </c>
      <c r="CP86" s="248">
        <v>0</v>
      </c>
      <c r="CQ86" s="246" t="s">
        <v>384</v>
      </c>
      <c r="CR86" s="246" t="s">
        <v>384</v>
      </c>
      <c r="CS86" s="246">
        <v>0.42</v>
      </c>
      <c r="CT86" s="246" t="s">
        <v>384</v>
      </c>
      <c r="CU86" s="246" t="s">
        <v>384</v>
      </c>
      <c r="CV86" s="246" t="s">
        <v>384</v>
      </c>
      <c r="CW86" s="246" t="s">
        <v>384</v>
      </c>
      <c r="CX86" s="248">
        <v>0</v>
      </c>
      <c r="CY86" s="248">
        <v>1.1299999999999999</v>
      </c>
      <c r="CZ86" s="248">
        <v>0.28999999999999998</v>
      </c>
      <c r="DA86" s="248">
        <v>0.84</v>
      </c>
      <c r="DB86" s="248">
        <v>15.9</v>
      </c>
      <c r="DC86" s="248">
        <v>1.98</v>
      </c>
      <c r="DD86" s="248">
        <v>21.52</v>
      </c>
      <c r="DE86" s="246" t="s">
        <v>384</v>
      </c>
      <c r="DF86" s="248">
        <v>0</v>
      </c>
      <c r="DG86" s="248">
        <v>1.45</v>
      </c>
      <c r="DH86" s="248">
        <v>7.88</v>
      </c>
      <c r="DI86" s="248">
        <v>1.98</v>
      </c>
      <c r="DJ86" s="246" t="s">
        <v>384</v>
      </c>
      <c r="DK86" s="247">
        <v>0.2392</v>
      </c>
      <c r="DL86" s="246">
        <v>10.87</v>
      </c>
      <c r="DM86" s="246">
        <v>0.53</v>
      </c>
      <c r="DN86" s="246" t="s">
        <v>384</v>
      </c>
      <c r="DO86" s="246" t="s">
        <v>384</v>
      </c>
      <c r="DP86" s="246" t="s">
        <v>384</v>
      </c>
      <c r="DQ86" s="246" t="s">
        <v>1429</v>
      </c>
      <c r="DR86" s="246" t="s">
        <v>1243</v>
      </c>
      <c r="DS86" s="246" t="s">
        <v>1022</v>
      </c>
      <c r="DT86" s="246" t="e">
        <v>#REF!</v>
      </c>
      <c r="DU86" s="246" t="s">
        <v>388</v>
      </c>
      <c r="DV86" s="246" t="s">
        <v>1430</v>
      </c>
      <c r="DW86" s="246" t="s">
        <v>1350</v>
      </c>
      <c r="DX86" s="246" t="s">
        <v>1073</v>
      </c>
      <c r="DY86" s="246" t="s">
        <v>1431</v>
      </c>
      <c r="DZ86" s="246">
        <v>14</v>
      </c>
      <c r="EA86" s="247">
        <v>-0.2031</v>
      </c>
      <c r="EB86" s="247">
        <v>-9.8000000000000004E-2</v>
      </c>
      <c r="EC86" s="247">
        <v>-9.2399999999999996E-2</v>
      </c>
      <c r="ED86" s="247">
        <v>-4.7899999999999998E-2</v>
      </c>
      <c r="EE86" s="247">
        <v>-0.37890000000000001</v>
      </c>
      <c r="EF86" s="247">
        <v>-0.39629999999999999</v>
      </c>
      <c r="EG86" s="247">
        <v>4.7E-2</v>
      </c>
      <c r="EH86" s="247">
        <v>0.111</v>
      </c>
      <c r="EI86" s="246" t="s">
        <v>1432</v>
      </c>
      <c r="EJ86" s="234">
        <v>1.45</v>
      </c>
      <c r="EK86" s="234">
        <v>1.02</v>
      </c>
      <c r="EL86" s="234" t="s">
        <v>1433</v>
      </c>
      <c r="EM86" s="234" t="s">
        <v>1388</v>
      </c>
      <c r="EN86" s="234" t="s">
        <v>1434</v>
      </c>
      <c r="EO86" s="234" t="s">
        <v>1435</v>
      </c>
      <c r="EP86" s="234" t="s">
        <v>1436</v>
      </c>
      <c r="EQ86" s="234" t="s">
        <v>1353</v>
      </c>
      <c r="ER86" s="234">
        <v>1</v>
      </c>
      <c r="ES86" s="249">
        <v>-5.9499999999999997E-2</v>
      </c>
      <c r="ET86" s="234" t="s">
        <v>384</v>
      </c>
      <c r="EU86" s="250">
        <v>13.1</v>
      </c>
      <c r="EV86" s="234" t="s">
        <v>491</v>
      </c>
      <c r="EW86" s="250">
        <v>0</v>
      </c>
      <c r="EX86" s="250">
        <v>0</v>
      </c>
      <c r="EY86" s="250">
        <v>0</v>
      </c>
      <c r="EZ86" s="250">
        <v>0</v>
      </c>
      <c r="FA86" s="250">
        <v>25.6</v>
      </c>
      <c r="FB86" s="250">
        <v>19.2</v>
      </c>
      <c r="FC86" s="250">
        <v>1.57</v>
      </c>
      <c r="FD86" s="249">
        <v>0</v>
      </c>
      <c r="FE86" s="250">
        <v>0</v>
      </c>
      <c r="FF86" s="250">
        <v>0</v>
      </c>
    </row>
    <row r="87" spans="1:162">
      <c r="A87" s="234" t="s">
        <v>1437</v>
      </c>
      <c r="B87" s="234" t="s">
        <v>1438</v>
      </c>
      <c r="C87" s="246" t="s">
        <v>401</v>
      </c>
      <c r="D87" s="246" t="s">
        <v>362</v>
      </c>
      <c r="E87" s="246">
        <v>4210</v>
      </c>
      <c r="F87" s="246" t="s">
        <v>363</v>
      </c>
      <c r="G87" s="246" t="s">
        <v>363</v>
      </c>
      <c r="H87" s="246" t="s">
        <v>363</v>
      </c>
      <c r="I87" s="246">
        <v>0.66930000000000001</v>
      </c>
      <c r="J87" s="246">
        <v>0.70579999999999998</v>
      </c>
      <c r="K87" s="247">
        <v>4.4600000000000001E-2</v>
      </c>
      <c r="L87" s="247">
        <v>7.0999999999999994E-2</v>
      </c>
      <c r="M87" s="246" t="s">
        <v>384</v>
      </c>
      <c r="N87" s="247">
        <v>1.34E-2</v>
      </c>
      <c r="O87" s="247">
        <v>5.2900000000000003E-2</v>
      </c>
      <c r="P87" s="247">
        <v>3.9699999999999999E-2</v>
      </c>
      <c r="Q87" s="247">
        <v>6.8900000000000003E-2</v>
      </c>
      <c r="R87" s="247">
        <v>-1.071</v>
      </c>
      <c r="S87" s="247">
        <v>-1.0689</v>
      </c>
      <c r="T87" s="248">
        <v>15.7</v>
      </c>
      <c r="U87" s="248">
        <v>0.6</v>
      </c>
      <c r="V87" s="248">
        <v>0.54</v>
      </c>
      <c r="W87" s="248">
        <v>1.1399999999999999</v>
      </c>
      <c r="X87" s="248">
        <v>16.84</v>
      </c>
      <c r="Y87" s="248">
        <v>0.46</v>
      </c>
      <c r="Z87" s="248">
        <v>16.38</v>
      </c>
      <c r="AA87" s="247">
        <v>2.75E-2</v>
      </c>
      <c r="AB87" s="246">
        <v>1.1499999999999999</v>
      </c>
      <c r="AC87" s="247">
        <v>0.1109</v>
      </c>
      <c r="AD87" s="247">
        <v>6.7799999999999999E-2</v>
      </c>
      <c r="AE87" s="247">
        <v>0.12470000000000001</v>
      </c>
      <c r="AF87" s="247">
        <v>7.2800000000000004E-2</v>
      </c>
      <c r="AG87" s="248">
        <v>0.81</v>
      </c>
      <c r="AH87" s="246">
        <v>31.61</v>
      </c>
      <c r="AI87" s="246" t="s">
        <v>384</v>
      </c>
      <c r="AJ87" s="246" t="s">
        <v>384</v>
      </c>
      <c r="AK87" s="246" t="s">
        <v>384</v>
      </c>
      <c r="AL87" s="246" t="s">
        <v>384</v>
      </c>
      <c r="AM87" s="246">
        <v>0.73</v>
      </c>
      <c r="AN87" s="233" t="s">
        <v>384</v>
      </c>
      <c r="AO87" s="246">
        <v>89.71</v>
      </c>
      <c r="AP87" s="246" t="s">
        <v>384</v>
      </c>
      <c r="AQ87" s="246">
        <v>146.29</v>
      </c>
      <c r="AR87" s="246" t="s">
        <v>384</v>
      </c>
      <c r="AS87" s="246" t="s">
        <v>384</v>
      </c>
      <c r="AT87" s="246">
        <v>1.71</v>
      </c>
      <c r="AU87" s="246">
        <v>10.08</v>
      </c>
      <c r="AV87" s="246">
        <v>0.98</v>
      </c>
      <c r="AW87" s="246" t="s">
        <v>384</v>
      </c>
      <c r="AX87" s="246" t="s">
        <v>384</v>
      </c>
      <c r="AY87" s="246">
        <v>1.66</v>
      </c>
      <c r="AZ87" s="246">
        <v>1.02</v>
      </c>
      <c r="BA87" s="246" t="s">
        <v>384</v>
      </c>
      <c r="BB87" s="247">
        <v>0</v>
      </c>
      <c r="BC87" s="247">
        <v>-0.38669999999999999</v>
      </c>
      <c r="BD87" s="246" t="s">
        <v>384</v>
      </c>
      <c r="BE87" s="246" t="s">
        <v>384</v>
      </c>
      <c r="BF87" s="246" t="s">
        <v>384</v>
      </c>
      <c r="BG87" s="246" t="s">
        <v>384</v>
      </c>
      <c r="BH87" s="246" t="s">
        <v>384</v>
      </c>
      <c r="BI87" s="246" t="s">
        <v>384</v>
      </c>
      <c r="BJ87" s="247">
        <v>-1</v>
      </c>
      <c r="BK87" s="247">
        <v>-1</v>
      </c>
      <c r="BL87" s="246">
        <v>5.92</v>
      </c>
      <c r="BM87" s="247">
        <v>-0.38879999999999998</v>
      </c>
      <c r="BN87" s="247">
        <v>-0.4143</v>
      </c>
      <c r="BO87" s="247">
        <v>0.17829999999999999</v>
      </c>
      <c r="BP87" s="247">
        <v>0.25</v>
      </c>
      <c r="BQ87" s="247">
        <v>0</v>
      </c>
      <c r="BR87" s="247">
        <v>1.2999999999999999E-3</v>
      </c>
      <c r="BS87" s="248">
        <v>0.18</v>
      </c>
      <c r="BT87" s="248">
        <v>-6.26</v>
      </c>
      <c r="BU87" s="248">
        <v>-6.79</v>
      </c>
      <c r="BV87" s="248">
        <v>-6.67</v>
      </c>
      <c r="BW87" s="248">
        <v>2.87</v>
      </c>
      <c r="BX87" s="248">
        <v>16</v>
      </c>
      <c r="BY87" s="248">
        <v>16.100000000000001</v>
      </c>
      <c r="BZ87" s="248">
        <v>-0.48</v>
      </c>
      <c r="CA87" s="248">
        <v>-6.07</v>
      </c>
      <c r="CB87" s="248">
        <v>-6.67</v>
      </c>
      <c r="CC87" s="248">
        <v>0.21</v>
      </c>
      <c r="CD87" s="248">
        <v>-0.09</v>
      </c>
      <c r="CE87" s="248">
        <v>1.1100000000000001</v>
      </c>
      <c r="CF87" s="247">
        <v>6.88E-2</v>
      </c>
      <c r="CG87" s="248">
        <v>2.1800000000000002</v>
      </c>
      <c r="CH87" s="246" t="s">
        <v>384</v>
      </c>
      <c r="CI87" s="248">
        <v>-8.76</v>
      </c>
      <c r="CJ87" s="248">
        <v>-8.56</v>
      </c>
      <c r="CK87" s="248">
        <v>-8.35</v>
      </c>
      <c r="CL87" s="248">
        <v>2.6</v>
      </c>
      <c r="CM87" s="248">
        <v>2.72</v>
      </c>
      <c r="CN87" s="248">
        <v>9.16</v>
      </c>
      <c r="CO87" s="248">
        <v>9.84</v>
      </c>
      <c r="CP87" s="248">
        <v>0</v>
      </c>
      <c r="CQ87" s="246" t="s">
        <v>384</v>
      </c>
      <c r="CR87" s="246" t="s">
        <v>384</v>
      </c>
      <c r="CS87" s="246">
        <v>1.1200000000000001</v>
      </c>
      <c r="CT87" s="246" t="s">
        <v>384</v>
      </c>
      <c r="CU87" s="246" t="s">
        <v>384</v>
      </c>
      <c r="CV87" s="246" t="s">
        <v>384</v>
      </c>
      <c r="CW87" s="246" t="s">
        <v>384</v>
      </c>
      <c r="CX87" s="248">
        <v>0</v>
      </c>
      <c r="CY87" s="246" t="s">
        <v>384</v>
      </c>
      <c r="CZ87" s="246" t="s">
        <v>384</v>
      </c>
      <c r="DA87" s="246" t="s">
        <v>384</v>
      </c>
      <c r="DB87" s="246" t="s">
        <v>384</v>
      </c>
      <c r="DC87" s="246" t="s">
        <v>384</v>
      </c>
      <c r="DD87" s="246" t="s">
        <v>384</v>
      </c>
      <c r="DE87" s="246" t="s">
        <v>384</v>
      </c>
      <c r="DF87" s="248">
        <v>0</v>
      </c>
      <c r="DG87" s="248">
        <v>-6.67</v>
      </c>
      <c r="DH87" s="248">
        <v>9.84</v>
      </c>
      <c r="DI87" s="248">
        <v>-0.48</v>
      </c>
      <c r="DJ87" s="247">
        <v>-2.4077000000000002</v>
      </c>
      <c r="DK87" s="247">
        <v>-2.4533</v>
      </c>
      <c r="DL87" s="246" t="s">
        <v>384</v>
      </c>
      <c r="DM87" s="246">
        <v>0.48</v>
      </c>
      <c r="DN87" s="246" t="s">
        <v>384</v>
      </c>
      <c r="DO87" s="246" t="s">
        <v>384</v>
      </c>
      <c r="DP87" s="246" t="s">
        <v>384</v>
      </c>
      <c r="DQ87" s="248">
        <v>-0.26</v>
      </c>
      <c r="DR87" s="246" t="s">
        <v>1155</v>
      </c>
      <c r="DS87" s="246" t="s">
        <v>1439</v>
      </c>
      <c r="DT87" s="246" t="e">
        <v>#REF!</v>
      </c>
      <c r="DU87" s="246" t="s">
        <v>1440</v>
      </c>
      <c r="DV87" s="248">
        <v>-6.79</v>
      </c>
      <c r="DW87" s="246" t="s">
        <v>1441</v>
      </c>
      <c r="DX87" s="246" t="s">
        <v>1170</v>
      </c>
      <c r="DY87" s="246" t="s">
        <v>1442</v>
      </c>
      <c r="DZ87" s="246">
        <v>6</v>
      </c>
      <c r="EA87" s="246" t="s">
        <v>384</v>
      </c>
      <c r="EB87" s="247">
        <v>-0.1716</v>
      </c>
      <c r="EC87" s="247">
        <v>-0.1321</v>
      </c>
      <c r="ED87" s="247">
        <v>-0.35389999999999999</v>
      </c>
      <c r="EE87" s="246" t="s">
        <v>384</v>
      </c>
      <c r="EF87" s="247">
        <v>4.5499999999999999E-2</v>
      </c>
      <c r="EG87" s="247">
        <v>-0.1948</v>
      </c>
      <c r="EH87" s="247">
        <v>-0.41399999999999998</v>
      </c>
      <c r="EI87" s="248">
        <v>-0.26</v>
      </c>
      <c r="EJ87" s="234">
        <v>-6.79</v>
      </c>
      <c r="EK87" s="234">
        <v>-3</v>
      </c>
      <c r="EL87" s="234" t="s">
        <v>377</v>
      </c>
      <c r="EM87" s="234" t="s">
        <v>1443</v>
      </c>
      <c r="EN87" s="234" t="s">
        <v>1444</v>
      </c>
      <c r="EO87" s="234" t="s">
        <v>1445</v>
      </c>
      <c r="EP87" s="234" t="s">
        <v>376</v>
      </c>
      <c r="EQ87" s="234" t="s">
        <v>377</v>
      </c>
      <c r="ER87" s="234">
        <v>0</v>
      </c>
      <c r="ES87" s="234" t="s">
        <v>384</v>
      </c>
      <c r="ET87" s="234" t="s">
        <v>384</v>
      </c>
      <c r="EU87" s="234" t="s">
        <v>384</v>
      </c>
      <c r="EV87" s="234" t="s">
        <v>491</v>
      </c>
      <c r="EW87" s="250">
        <v>0</v>
      </c>
      <c r="EX87" s="250">
        <v>0</v>
      </c>
      <c r="EY87" s="250">
        <v>0</v>
      </c>
      <c r="EZ87" s="250">
        <v>0</v>
      </c>
      <c r="FA87" s="250">
        <v>0</v>
      </c>
      <c r="FB87" s="250">
        <v>25.6</v>
      </c>
      <c r="FC87" s="250">
        <v>0.08</v>
      </c>
      <c r="FD87" s="249">
        <v>0.64200000000000002</v>
      </c>
      <c r="FE87" s="250">
        <v>0</v>
      </c>
      <c r="FF87" s="250">
        <v>0.54</v>
      </c>
    </row>
    <row r="88" spans="1:162">
      <c r="A88" s="234" t="s">
        <v>1446</v>
      </c>
      <c r="B88" s="234" t="s">
        <v>1447</v>
      </c>
      <c r="C88" s="246" t="s">
        <v>361</v>
      </c>
      <c r="D88" s="246" t="s">
        <v>362</v>
      </c>
      <c r="E88" s="246">
        <v>4210</v>
      </c>
      <c r="F88" s="246" t="s">
        <v>1019</v>
      </c>
      <c r="G88" s="246" t="s">
        <v>417</v>
      </c>
      <c r="H88" s="246" t="s">
        <v>418</v>
      </c>
      <c r="I88" s="246">
        <v>0.74739999999999995</v>
      </c>
      <c r="J88" s="246">
        <v>0.75229999999999997</v>
      </c>
      <c r="K88" s="247">
        <v>6.6900000000000001E-2</v>
      </c>
      <c r="L88" s="247">
        <v>8.9800000000000005E-2</v>
      </c>
      <c r="M88" s="246" t="s">
        <v>384</v>
      </c>
      <c r="N88" s="247">
        <v>4.8300000000000003E-2</v>
      </c>
      <c r="O88" s="247">
        <v>8.7800000000000003E-2</v>
      </c>
      <c r="P88" s="247">
        <v>6.8500000000000005E-2</v>
      </c>
      <c r="Q88" s="247">
        <v>8.9700000000000002E-2</v>
      </c>
      <c r="R88" s="247">
        <v>-8.5199999999999998E-2</v>
      </c>
      <c r="S88" s="247">
        <v>-2.7199999999999998E-2</v>
      </c>
      <c r="T88" s="248">
        <v>15.2</v>
      </c>
      <c r="U88" s="248">
        <v>0</v>
      </c>
      <c r="V88" s="248">
        <v>0.13</v>
      </c>
      <c r="W88" s="248">
        <v>0.13</v>
      </c>
      <c r="X88" s="248">
        <v>15.33</v>
      </c>
      <c r="Y88" s="248">
        <v>1.42</v>
      </c>
      <c r="Z88" s="248">
        <v>13.91</v>
      </c>
      <c r="AA88" s="247">
        <v>9.2600000000000002E-2</v>
      </c>
      <c r="AB88" s="246">
        <v>0.67</v>
      </c>
      <c r="AC88" s="247">
        <v>1.0500000000000001E-2</v>
      </c>
      <c r="AD88" s="247">
        <v>8.3999999999999995E-3</v>
      </c>
      <c r="AE88" s="247">
        <v>1.06E-2</v>
      </c>
      <c r="AF88" s="247">
        <v>8.3999999999999995E-3</v>
      </c>
      <c r="AG88" s="248">
        <v>0.02</v>
      </c>
      <c r="AH88" s="246">
        <v>69.06</v>
      </c>
      <c r="AI88" s="247">
        <v>-0.48370000000000002</v>
      </c>
      <c r="AJ88" s="246">
        <v>1.42</v>
      </c>
      <c r="AK88" s="247">
        <v>7.0699999999999999E-2</v>
      </c>
      <c r="AL88" s="247">
        <v>0.89939999999999998</v>
      </c>
      <c r="AM88" s="246">
        <v>0.79</v>
      </c>
      <c r="AN88" s="233">
        <v>0.98</v>
      </c>
      <c r="AO88" s="246">
        <v>249.18</v>
      </c>
      <c r="AP88" s="246">
        <v>276.36</v>
      </c>
      <c r="AQ88" s="246">
        <v>286.89</v>
      </c>
      <c r="AR88" s="246" t="s">
        <v>384</v>
      </c>
      <c r="AS88" s="246" t="s">
        <v>384</v>
      </c>
      <c r="AT88" s="246">
        <v>1.26</v>
      </c>
      <c r="AU88" s="246">
        <v>2.37</v>
      </c>
      <c r="AV88" s="246">
        <v>0.36</v>
      </c>
      <c r="AW88" s="246">
        <v>20.73</v>
      </c>
      <c r="AX88" s="246">
        <v>14.64</v>
      </c>
      <c r="AY88" s="246">
        <v>1.29</v>
      </c>
      <c r="AZ88" s="246">
        <v>0.33</v>
      </c>
      <c r="BA88" s="247">
        <v>0</v>
      </c>
      <c r="BB88" s="247">
        <v>0</v>
      </c>
      <c r="BC88" s="247">
        <v>-0.13139999999999999</v>
      </c>
      <c r="BD88" s="247">
        <v>-0.67100000000000004</v>
      </c>
      <c r="BE88" s="247">
        <v>-0.54400000000000004</v>
      </c>
      <c r="BF88" s="247">
        <v>-2.7300000000000001E-2</v>
      </c>
      <c r="BG88" s="247">
        <v>4.5400000000000003E-2</v>
      </c>
      <c r="BH88" s="246" t="s">
        <v>384</v>
      </c>
      <c r="BI88" s="246" t="s">
        <v>384</v>
      </c>
      <c r="BJ88" s="247">
        <v>4.7000000000000002E-3</v>
      </c>
      <c r="BK88" s="247">
        <v>6.25E-2</v>
      </c>
      <c r="BL88" s="246">
        <v>4.13</v>
      </c>
      <c r="BM88" s="247">
        <v>1.6000000000000001E-3</v>
      </c>
      <c r="BN88" s="247">
        <v>0.02</v>
      </c>
      <c r="BO88" s="247">
        <v>0.1857</v>
      </c>
      <c r="BP88" s="247">
        <v>0.22</v>
      </c>
      <c r="BQ88" s="247">
        <v>0.2432</v>
      </c>
      <c r="BR88" s="246" t="s">
        <v>384</v>
      </c>
      <c r="BS88" s="248">
        <v>0.06</v>
      </c>
      <c r="BT88" s="248">
        <v>0.06</v>
      </c>
      <c r="BU88" s="248">
        <v>0.67</v>
      </c>
      <c r="BV88" s="248">
        <v>0.67</v>
      </c>
      <c r="BW88" s="248">
        <v>6.24</v>
      </c>
      <c r="BX88" s="248">
        <v>42.4</v>
      </c>
      <c r="BY88" s="248">
        <v>33.6</v>
      </c>
      <c r="BZ88" s="248">
        <v>1.2</v>
      </c>
      <c r="CA88" s="248">
        <v>0.95</v>
      </c>
      <c r="CB88" s="248">
        <v>0.51</v>
      </c>
      <c r="CC88" s="248">
        <v>-3.41</v>
      </c>
      <c r="CD88" s="248">
        <v>0</v>
      </c>
      <c r="CE88" s="248">
        <v>12.71</v>
      </c>
      <c r="CF88" s="247">
        <v>0.37819999999999998</v>
      </c>
      <c r="CG88" s="248">
        <v>-0.14000000000000001</v>
      </c>
      <c r="CH88" s="247">
        <v>-0.2757</v>
      </c>
      <c r="CI88" s="248">
        <v>0.65</v>
      </c>
      <c r="CJ88" s="248">
        <v>3.61</v>
      </c>
      <c r="CK88" s="248">
        <v>0.2</v>
      </c>
      <c r="CL88" s="248">
        <v>11.8</v>
      </c>
      <c r="CM88" s="248">
        <v>8.1300000000000008</v>
      </c>
      <c r="CN88" s="248">
        <v>12.1</v>
      </c>
      <c r="CO88" s="248">
        <v>10.81</v>
      </c>
      <c r="CP88" s="248">
        <v>0</v>
      </c>
      <c r="CQ88" s="246">
        <v>0.53</v>
      </c>
      <c r="CR88" s="246">
        <v>0.74</v>
      </c>
      <c r="CS88" s="246">
        <v>0.42</v>
      </c>
      <c r="CT88" s="246">
        <v>1.37</v>
      </c>
      <c r="CU88" s="246">
        <v>1.47</v>
      </c>
      <c r="CV88" s="248">
        <v>0.75</v>
      </c>
      <c r="CW88" s="248">
        <v>0.45</v>
      </c>
      <c r="CX88" s="248">
        <v>0</v>
      </c>
      <c r="CY88" s="248">
        <v>7.0000000000000007E-2</v>
      </c>
      <c r="CZ88" s="248">
        <v>0.02</v>
      </c>
      <c r="DA88" s="248">
        <v>0.06</v>
      </c>
      <c r="DB88" s="248">
        <v>15.2</v>
      </c>
      <c r="DC88" s="248">
        <v>0.95</v>
      </c>
      <c r="DD88" s="248">
        <v>13.91</v>
      </c>
      <c r="DE88" s="246" t="s">
        <v>384</v>
      </c>
      <c r="DF88" s="248">
        <v>0</v>
      </c>
      <c r="DG88" s="248">
        <v>0.67</v>
      </c>
      <c r="DH88" s="248">
        <v>10.81</v>
      </c>
      <c r="DI88" s="248">
        <v>1.2</v>
      </c>
      <c r="DJ88" s="247">
        <v>4.7000000000000002E-3</v>
      </c>
      <c r="DK88" s="247">
        <v>6.25E-2</v>
      </c>
      <c r="DL88" s="246">
        <v>11.59</v>
      </c>
      <c r="DM88" s="246">
        <v>0.3</v>
      </c>
      <c r="DN88" s="246" t="s">
        <v>384</v>
      </c>
      <c r="DO88" s="246">
        <v>0.75</v>
      </c>
      <c r="DP88" s="246" t="s">
        <v>384</v>
      </c>
      <c r="DQ88" s="246" t="s">
        <v>1448</v>
      </c>
      <c r="DR88" s="246" t="s">
        <v>1449</v>
      </c>
      <c r="DS88" s="246" t="s">
        <v>839</v>
      </c>
      <c r="DT88" s="246" t="e">
        <v>#REF!</v>
      </c>
      <c r="DU88" s="246" t="s">
        <v>388</v>
      </c>
      <c r="DV88" s="246" t="s">
        <v>1450</v>
      </c>
      <c r="DW88" s="246" t="s">
        <v>1185</v>
      </c>
      <c r="DX88" s="246" t="s">
        <v>658</v>
      </c>
      <c r="DY88" s="246" t="s">
        <v>1451</v>
      </c>
      <c r="DZ88" s="246">
        <v>6</v>
      </c>
      <c r="EA88" s="247">
        <v>3.7039</v>
      </c>
      <c r="EB88" s="247">
        <v>-0.35239999999999999</v>
      </c>
      <c r="EC88" s="247">
        <v>0.17710000000000001</v>
      </c>
      <c r="ED88" s="247">
        <v>0.39450000000000002</v>
      </c>
      <c r="EE88" s="247">
        <v>4</v>
      </c>
      <c r="EF88" s="247">
        <v>3732.3332999999998</v>
      </c>
      <c r="EG88" s="247">
        <v>-79.888900000000007</v>
      </c>
      <c r="EH88" s="247">
        <v>0.02</v>
      </c>
      <c r="EI88" s="246" t="s">
        <v>1307</v>
      </c>
      <c r="EJ88" s="234">
        <v>0.67</v>
      </c>
      <c r="EK88" s="234">
        <v>-0.72</v>
      </c>
      <c r="EL88" s="234" t="s">
        <v>1452</v>
      </c>
      <c r="EM88" s="234" t="s">
        <v>1453</v>
      </c>
      <c r="EN88" s="234" t="s">
        <v>1454</v>
      </c>
      <c r="EO88" s="234" t="s">
        <v>1455</v>
      </c>
      <c r="EP88" s="234" t="s">
        <v>1456</v>
      </c>
      <c r="EQ88" s="234" t="s">
        <v>1457</v>
      </c>
      <c r="ER88" s="234">
        <v>1</v>
      </c>
      <c r="ES88" s="234" t="s">
        <v>384</v>
      </c>
      <c r="ET88" s="234" t="s">
        <v>384</v>
      </c>
      <c r="EU88" s="234" t="s">
        <v>384</v>
      </c>
      <c r="EV88" s="234" t="s">
        <v>491</v>
      </c>
      <c r="EW88" s="250">
        <v>0</v>
      </c>
      <c r="EX88" s="250">
        <v>0</v>
      </c>
      <c r="EY88" s="250">
        <v>4.88</v>
      </c>
      <c r="EZ88" s="250">
        <v>2.92</v>
      </c>
      <c r="FA88" s="250">
        <v>3.04</v>
      </c>
      <c r="FB88" s="250">
        <v>17.5</v>
      </c>
      <c r="FC88" s="250">
        <v>5.18</v>
      </c>
      <c r="FD88" s="249">
        <v>0</v>
      </c>
      <c r="FE88" s="250">
        <v>0</v>
      </c>
      <c r="FF88" s="250">
        <v>0.13</v>
      </c>
    </row>
    <row r="89" spans="1:162">
      <c r="A89" s="234" t="s">
        <v>1458</v>
      </c>
      <c r="B89" s="234" t="s">
        <v>1459</v>
      </c>
      <c r="C89" s="246" t="s">
        <v>401</v>
      </c>
      <c r="D89" s="246" t="s">
        <v>362</v>
      </c>
      <c r="E89" s="246">
        <v>4210</v>
      </c>
      <c r="F89" s="246" t="s">
        <v>642</v>
      </c>
      <c r="G89" s="246" t="s">
        <v>417</v>
      </c>
      <c r="H89" s="246" t="s">
        <v>642</v>
      </c>
      <c r="I89" s="246">
        <v>0.66930000000000001</v>
      </c>
      <c r="J89" s="246">
        <v>0.73070000000000002</v>
      </c>
      <c r="K89" s="247">
        <v>7.0800000000000002E-2</v>
      </c>
      <c r="L89" s="247">
        <v>9.1200000000000003E-2</v>
      </c>
      <c r="M89" s="246" t="s">
        <v>384</v>
      </c>
      <c r="N89" s="247">
        <v>2.98E-2</v>
      </c>
      <c r="O89" s="247">
        <v>6.93E-2</v>
      </c>
      <c r="P89" s="247">
        <v>4.8500000000000001E-2</v>
      </c>
      <c r="Q89" s="247">
        <v>8.6300000000000002E-2</v>
      </c>
      <c r="R89" s="247">
        <v>0.14990000000000001</v>
      </c>
      <c r="S89" s="247">
        <v>9.35E-2</v>
      </c>
      <c r="T89" s="248">
        <v>15.1</v>
      </c>
      <c r="U89" s="248">
        <v>0</v>
      </c>
      <c r="V89" s="248">
        <v>1.98</v>
      </c>
      <c r="W89" s="248">
        <v>1.98</v>
      </c>
      <c r="X89" s="248">
        <v>17.079999999999998</v>
      </c>
      <c r="Y89" s="248">
        <v>1.37</v>
      </c>
      <c r="Z89" s="248">
        <v>15.71</v>
      </c>
      <c r="AA89" s="247">
        <v>8.0199999999999994E-2</v>
      </c>
      <c r="AB89" s="246">
        <v>0.64</v>
      </c>
      <c r="AC89" s="247">
        <v>0.19370000000000001</v>
      </c>
      <c r="AD89" s="247">
        <v>0.1159</v>
      </c>
      <c r="AE89" s="247">
        <v>0.24030000000000001</v>
      </c>
      <c r="AF89" s="247">
        <v>0.13109999999999999</v>
      </c>
      <c r="AG89" s="248">
        <v>2.04</v>
      </c>
      <c r="AH89" s="246">
        <v>69.06</v>
      </c>
      <c r="AI89" s="246" t="s">
        <v>384</v>
      </c>
      <c r="AJ89" s="246" t="s">
        <v>384</v>
      </c>
      <c r="AK89" s="246" t="s">
        <v>384</v>
      </c>
      <c r="AL89" s="246" t="s">
        <v>384</v>
      </c>
      <c r="AM89" s="246">
        <v>0.15</v>
      </c>
      <c r="AN89" s="233">
        <v>4.38</v>
      </c>
      <c r="AO89" s="246">
        <v>12.58</v>
      </c>
      <c r="AP89" s="246">
        <v>18.149999999999999</v>
      </c>
      <c r="AQ89" s="246" t="s">
        <v>384</v>
      </c>
      <c r="AR89" s="246" t="s">
        <v>384</v>
      </c>
      <c r="AS89" s="246" t="s">
        <v>384</v>
      </c>
      <c r="AT89" s="246">
        <v>1.83</v>
      </c>
      <c r="AU89" s="246" t="s">
        <v>384</v>
      </c>
      <c r="AV89" s="246">
        <v>0.75</v>
      </c>
      <c r="AW89" s="246">
        <v>12.98</v>
      </c>
      <c r="AX89" s="246">
        <v>7.41</v>
      </c>
      <c r="AY89" s="246">
        <v>1.78</v>
      </c>
      <c r="AZ89" s="246">
        <v>0.78</v>
      </c>
      <c r="BA89" s="247">
        <v>0</v>
      </c>
      <c r="BB89" s="247">
        <v>0</v>
      </c>
      <c r="BC89" s="247">
        <v>-0.12720000000000001</v>
      </c>
      <c r="BD89" s="246" t="s">
        <v>384</v>
      </c>
      <c r="BE89" s="246" t="s">
        <v>384</v>
      </c>
      <c r="BF89" s="246" t="s">
        <v>384</v>
      </c>
      <c r="BG89" s="246" t="s">
        <v>384</v>
      </c>
      <c r="BH89" s="246" t="s">
        <v>384</v>
      </c>
      <c r="BI89" s="246" t="s">
        <v>384</v>
      </c>
      <c r="BJ89" s="247">
        <v>0.2412</v>
      </c>
      <c r="BK89" s="247">
        <v>0.17979999999999999</v>
      </c>
      <c r="BL89" s="246">
        <v>3.62</v>
      </c>
      <c r="BM89" s="247">
        <v>4.5499999999999999E-2</v>
      </c>
      <c r="BN89" s="247">
        <v>6.6100000000000006E-2</v>
      </c>
      <c r="BO89" s="247">
        <v>0.1426</v>
      </c>
      <c r="BP89" s="247">
        <v>0.3</v>
      </c>
      <c r="BQ89" s="247">
        <v>0.2482</v>
      </c>
      <c r="BR89" s="246" t="s">
        <v>384</v>
      </c>
      <c r="BS89" s="248">
        <v>1.2</v>
      </c>
      <c r="BT89" s="248">
        <v>0.83</v>
      </c>
      <c r="BU89" s="248">
        <v>1.21</v>
      </c>
      <c r="BV89" s="248">
        <v>1.21</v>
      </c>
      <c r="BW89" s="248">
        <v>2.61</v>
      </c>
      <c r="BX89" s="248">
        <v>20.2</v>
      </c>
      <c r="BY89" s="248">
        <v>18.3</v>
      </c>
      <c r="BZ89" s="248">
        <v>2.38</v>
      </c>
      <c r="CA89" s="248">
        <v>2.12</v>
      </c>
      <c r="CB89" s="248">
        <v>0.91</v>
      </c>
      <c r="CC89" s="248">
        <v>1.85</v>
      </c>
      <c r="CD89" s="248">
        <v>2.68</v>
      </c>
      <c r="CE89" s="248">
        <v>4.4800000000000004</v>
      </c>
      <c r="CF89" s="247">
        <v>0.24490000000000001</v>
      </c>
      <c r="CG89" s="248">
        <v>0.73</v>
      </c>
      <c r="CH89" s="247">
        <v>3.7484999999999999</v>
      </c>
      <c r="CI89" s="248">
        <v>-2.5</v>
      </c>
      <c r="CJ89" s="248">
        <v>-4.43</v>
      </c>
      <c r="CK89" s="248">
        <v>-2.58</v>
      </c>
      <c r="CL89" s="248">
        <v>3.45</v>
      </c>
      <c r="CM89" s="248">
        <v>5.0599999999999996</v>
      </c>
      <c r="CN89" s="248">
        <v>8.24</v>
      </c>
      <c r="CO89" s="248">
        <v>8.85</v>
      </c>
      <c r="CP89" s="248">
        <v>0</v>
      </c>
      <c r="CQ89" s="246" t="s">
        <v>384</v>
      </c>
      <c r="CR89" s="246" t="s">
        <v>384</v>
      </c>
      <c r="CS89" s="246">
        <v>0.42</v>
      </c>
      <c r="CT89" s="246" t="s">
        <v>384</v>
      </c>
      <c r="CU89" s="246" t="s">
        <v>384</v>
      </c>
      <c r="CV89" s="246" t="s">
        <v>384</v>
      </c>
      <c r="CW89" s="246" t="s">
        <v>384</v>
      </c>
      <c r="CX89" s="248">
        <v>0</v>
      </c>
      <c r="CY89" s="248">
        <v>1.1000000000000001</v>
      </c>
      <c r="CZ89" s="248">
        <v>0.27</v>
      </c>
      <c r="DA89" s="248">
        <v>0.83</v>
      </c>
      <c r="DB89" s="248">
        <v>15.1</v>
      </c>
      <c r="DC89" s="248">
        <v>2.12</v>
      </c>
      <c r="DD89" s="248">
        <v>15.71</v>
      </c>
      <c r="DE89" s="246" t="s">
        <v>384</v>
      </c>
      <c r="DF89" s="248">
        <v>0</v>
      </c>
      <c r="DG89" s="248">
        <v>1.21</v>
      </c>
      <c r="DH89" s="248">
        <v>8.85</v>
      </c>
      <c r="DI89" s="248">
        <v>2.38</v>
      </c>
      <c r="DJ89" s="247">
        <v>0.2412</v>
      </c>
      <c r="DK89" s="247">
        <v>0.17979999999999999</v>
      </c>
      <c r="DL89" s="246">
        <v>6.6</v>
      </c>
      <c r="DM89" s="246">
        <v>0.9</v>
      </c>
      <c r="DN89" s="246" t="s">
        <v>384</v>
      </c>
      <c r="DO89" s="246" t="s">
        <v>384</v>
      </c>
      <c r="DP89" s="246" t="s">
        <v>384</v>
      </c>
      <c r="DQ89" s="248">
        <v>-2.09</v>
      </c>
      <c r="DR89" s="246" t="s">
        <v>1439</v>
      </c>
      <c r="DS89" s="246" t="s">
        <v>1460</v>
      </c>
      <c r="DT89" s="246" t="e">
        <v>#REF!</v>
      </c>
      <c r="DU89" s="246" t="s">
        <v>1461</v>
      </c>
      <c r="DV89" s="246" t="s">
        <v>1462</v>
      </c>
      <c r="DW89" s="246" t="s">
        <v>1463</v>
      </c>
      <c r="DX89" s="246" t="s">
        <v>1424</v>
      </c>
      <c r="DY89" s="246" t="s">
        <v>1464</v>
      </c>
      <c r="DZ89" s="246">
        <v>14</v>
      </c>
      <c r="EA89" s="246" t="s">
        <v>384</v>
      </c>
      <c r="EB89" s="247">
        <v>-5.1400000000000001E-2</v>
      </c>
      <c r="EC89" s="246" t="s">
        <v>384</v>
      </c>
      <c r="ED89" s="246" t="s">
        <v>384</v>
      </c>
      <c r="EE89" s="246" t="s">
        <v>384</v>
      </c>
      <c r="EF89" s="247">
        <v>-6.1499999999999999E-2</v>
      </c>
      <c r="EG89" s="247">
        <v>7.0300000000000001E-2</v>
      </c>
      <c r="EH89" s="247">
        <v>6.6000000000000003E-2</v>
      </c>
      <c r="EI89" s="248">
        <v>-2.09</v>
      </c>
      <c r="EJ89" s="234">
        <v>1.21</v>
      </c>
      <c r="EK89" s="234">
        <v>1.37</v>
      </c>
      <c r="EL89" s="234" t="s">
        <v>377</v>
      </c>
      <c r="EM89" s="234" t="s">
        <v>1465</v>
      </c>
      <c r="EN89" s="234" t="s">
        <v>981</v>
      </c>
      <c r="EO89" s="234" t="s">
        <v>377</v>
      </c>
      <c r="EP89" s="234" t="s">
        <v>376</v>
      </c>
      <c r="EQ89" s="234" t="s">
        <v>377</v>
      </c>
      <c r="ER89" s="234">
        <v>1</v>
      </c>
      <c r="ES89" s="234" t="s">
        <v>384</v>
      </c>
      <c r="ET89" s="234" t="s">
        <v>384</v>
      </c>
      <c r="EU89" s="234" t="s">
        <v>384</v>
      </c>
      <c r="EV89" s="234" t="s">
        <v>491</v>
      </c>
      <c r="EW89" s="250">
        <v>0</v>
      </c>
      <c r="EX89" s="250">
        <v>0</v>
      </c>
      <c r="EY89" s="250">
        <v>0</v>
      </c>
      <c r="EZ89" s="250">
        <v>0</v>
      </c>
      <c r="FA89" s="250">
        <v>0</v>
      </c>
      <c r="FB89" s="250">
        <v>17.3</v>
      </c>
      <c r="FC89" s="250">
        <v>1.1399999999999999</v>
      </c>
      <c r="FD89" s="249">
        <v>0</v>
      </c>
      <c r="FE89" s="250">
        <v>0</v>
      </c>
      <c r="FF89" s="250">
        <v>0</v>
      </c>
    </row>
    <row r="90" spans="1:162">
      <c r="A90" s="234" t="s">
        <v>1466</v>
      </c>
      <c r="B90" s="234" t="s">
        <v>1467</v>
      </c>
      <c r="C90" s="246" t="s">
        <v>401</v>
      </c>
      <c r="D90" s="246" t="s">
        <v>362</v>
      </c>
      <c r="E90" s="246">
        <v>4210</v>
      </c>
      <c r="F90" s="246" t="s">
        <v>1019</v>
      </c>
      <c r="G90" s="246" t="s">
        <v>417</v>
      </c>
      <c r="H90" s="246" t="s">
        <v>418</v>
      </c>
      <c r="I90" s="246">
        <v>0.66930000000000001</v>
      </c>
      <c r="J90" s="246">
        <v>0.68799999999999994</v>
      </c>
      <c r="K90" s="247">
        <v>6.6900000000000001E-2</v>
      </c>
      <c r="L90" s="247">
        <v>8.5500000000000007E-2</v>
      </c>
      <c r="M90" s="246" t="s">
        <v>384</v>
      </c>
      <c r="N90" s="247">
        <v>2.7300000000000001E-2</v>
      </c>
      <c r="O90" s="247">
        <v>6.6799999999999998E-2</v>
      </c>
      <c r="P90" s="247">
        <v>5.21E-2</v>
      </c>
      <c r="Q90" s="247">
        <v>8.4400000000000003E-2</v>
      </c>
      <c r="R90" s="247">
        <v>-0.21290000000000001</v>
      </c>
      <c r="S90" s="247">
        <v>-0.1628</v>
      </c>
      <c r="T90" s="248">
        <v>14</v>
      </c>
      <c r="U90" s="248">
        <v>0</v>
      </c>
      <c r="V90" s="248">
        <v>0.5</v>
      </c>
      <c r="W90" s="248">
        <v>0.5</v>
      </c>
      <c r="X90" s="248">
        <v>14.5</v>
      </c>
      <c r="Y90" s="248">
        <v>0.13</v>
      </c>
      <c r="Z90" s="248">
        <v>14.37</v>
      </c>
      <c r="AA90" s="247">
        <v>8.6999999999999994E-3</v>
      </c>
      <c r="AB90" s="246">
        <v>2.29</v>
      </c>
      <c r="AC90" s="247">
        <v>0.16450000000000001</v>
      </c>
      <c r="AD90" s="247">
        <v>3.4500000000000003E-2</v>
      </c>
      <c r="AE90" s="247">
        <v>0.19689999999999999</v>
      </c>
      <c r="AF90" s="247">
        <v>3.5700000000000003E-2</v>
      </c>
      <c r="AG90" s="248">
        <v>0.03</v>
      </c>
      <c r="AH90" s="246">
        <v>69.06</v>
      </c>
      <c r="AI90" s="247">
        <v>0.2296</v>
      </c>
      <c r="AJ90" s="246">
        <v>0.24</v>
      </c>
      <c r="AK90" s="246" t="s">
        <v>384</v>
      </c>
      <c r="AL90" s="246" t="s">
        <v>384</v>
      </c>
      <c r="AM90" s="246">
        <v>0.79</v>
      </c>
      <c r="AN90" s="233" t="s">
        <v>384</v>
      </c>
      <c r="AO90" s="246" t="s">
        <v>384</v>
      </c>
      <c r="AP90" s="246" t="s">
        <v>384</v>
      </c>
      <c r="AQ90" s="246" t="s">
        <v>384</v>
      </c>
      <c r="AR90" s="246" t="s">
        <v>384</v>
      </c>
      <c r="AS90" s="246" t="s">
        <v>384</v>
      </c>
      <c r="AT90" s="246">
        <v>5.51</v>
      </c>
      <c r="AU90" s="246">
        <v>0.91</v>
      </c>
      <c r="AV90" s="246">
        <v>4.43</v>
      </c>
      <c r="AW90" s="246" t="s">
        <v>384</v>
      </c>
      <c r="AX90" s="246">
        <v>133.09</v>
      </c>
      <c r="AY90" s="246">
        <v>4.93</v>
      </c>
      <c r="AZ90" s="246">
        <v>4.55</v>
      </c>
      <c r="BA90" s="246" t="s">
        <v>384</v>
      </c>
      <c r="BB90" s="247">
        <v>0</v>
      </c>
      <c r="BC90" s="247">
        <v>4.3029999999999999</v>
      </c>
      <c r="BD90" s="246" t="s">
        <v>384</v>
      </c>
      <c r="BE90" s="246" t="s">
        <v>384</v>
      </c>
      <c r="BF90" s="247">
        <v>2.4799999999999999E-2</v>
      </c>
      <c r="BG90" s="247">
        <v>-2.9100000000000001E-2</v>
      </c>
      <c r="BH90" s="246" t="s">
        <v>384</v>
      </c>
      <c r="BI90" s="246" t="s">
        <v>384</v>
      </c>
      <c r="BJ90" s="247">
        <v>-0.1273</v>
      </c>
      <c r="BK90" s="247">
        <v>-7.85E-2</v>
      </c>
      <c r="BL90" s="246">
        <v>0.7</v>
      </c>
      <c r="BM90" s="247">
        <v>-0.1673</v>
      </c>
      <c r="BN90" s="247">
        <v>-0.1118</v>
      </c>
      <c r="BO90" s="247">
        <v>0.12690000000000001</v>
      </c>
      <c r="BP90" s="247">
        <v>0.22</v>
      </c>
      <c r="BQ90" s="247">
        <v>0</v>
      </c>
      <c r="BR90" s="246" t="s">
        <v>384</v>
      </c>
      <c r="BS90" s="248">
        <v>-0.28999999999999998</v>
      </c>
      <c r="BT90" s="248">
        <v>-0.41</v>
      </c>
      <c r="BU90" s="248">
        <v>-0.27</v>
      </c>
      <c r="BV90" s="248">
        <v>-0.27</v>
      </c>
      <c r="BW90" s="248">
        <v>0.31</v>
      </c>
      <c r="BX90" s="248">
        <v>3.16</v>
      </c>
      <c r="BY90" s="248">
        <v>2.4500000000000002</v>
      </c>
      <c r="BZ90" s="248">
        <v>0.24</v>
      </c>
      <c r="CA90" s="248">
        <v>0.11</v>
      </c>
      <c r="CB90" s="248">
        <v>-0.27</v>
      </c>
      <c r="CC90" s="248">
        <v>-0.06</v>
      </c>
      <c r="CD90" s="248">
        <v>0</v>
      </c>
      <c r="CE90" s="248">
        <v>0.45</v>
      </c>
      <c r="CF90" s="247">
        <v>0.18240000000000001</v>
      </c>
      <c r="CG90" s="248">
        <v>0.09</v>
      </c>
      <c r="CH90" s="246" t="s">
        <v>384</v>
      </c>
      <c r="CI90" s="248">
        <v>-0.37</v>
      </c>
      <c r="CJ90" s="248">
        <v>-0.45</v>
      </c>
      <c r="CK90" s="248">
        <v>-0.5</v>
      </c>
      <c r="CL90" s="248">
        <v>3.22</v>
      </c>
      <c r="CM90" s="248">
        <v>3.49</v>
      </c>
      <c r="CN90" s="248">
        <v>2.54</v>
      </c>
      <c r="CO90" s="248">
        <v>2.91</v>
      </c>
      <c r="CP90" s="248">
        <v>0</v>
      </c>
      <c r="CQ90" s="246">
        <v>-0.06</v>
      </c>
      <c r="CR90" s="246">
        <v>0.43</v>
      </c>
      <c r="CS90" s="246">
        <v>0.42</v>
      </c>
      <c r="CT90" s="246">
        <v>1.1399999999999999</v>
      </c>
      <c r="CU90" s="246">
        <v>1.23</v>
      </c>
      <c r="CV90" s="248">
        <v>-0.04</v>
      </c>
      <c r="CW90" s="248">
        <v>-0.13</v>
      </c>
      <c r="CX90" s="248">
        <v>0</v>
      </c>
      <c r="CY90" s="246" t="s">
        <v>384</v>
      </c>
      <c r="CZ90" s="246" t="s">
        <v>384</v>
      </c>
      <c r="DA90" s="246" t="s">
        <v>384</v>
      </c>
      <c r="DB90" s="246" t="s">
        <v>384</v>
      </c>
      <c r="DC90" s="248">
        <v>0.11</v>
      </c>
      <c r="DD90" s="248">
        <v>14.37</v>
      </c>
      <c r="DE90" s="246" t="s">
        <v>384</v>
      </c>
      <c r="DF90" s="248">
        <v>0</v>
      </c>
      <c r="DG90" s="248">
        <v>-0.27</v>
      </c>
      <c r="DH90" s="248">
        <v>2.91</v>
      </c>
      <c r="DI90" s="248">
        <v>0.24</v>
      </c>
      <c r="DJ90" s="247">
        <v>-0.1273</v>
      </c>
      <c r="DK90" s="247">
        <v>-7.85E-2</v>
      </c>
      <c r="DL90" s="246">
        <v>60.65</v>
      </c>
      <c r="DM90" s="246">
        <v>0.38</v>
      </c>
      <c r="DN90" s="246" t="s">
        <v>384</v>
      </c>
      <c r="DO90" s="246">
        <v>-0.04</v>
      </c>
      <c r="DP90" s="246" t="s">
        <v>384</v>
      </c>
      <c r="DQ90" s="246" t="s">
        <v>1468</v>
      </c>
      <c r="DR90" s="246" t="s">
        <v>1469</v>
      </c>
      <c r="DS90" s="246" t="s">
        <v>1470</v>
      </c>
      <c r="DT90" s="246" t="e">
        <v>#REF!</v>
      </c>
      <c r="DU90" s="246" t="s">
        <v>388</v>
      </c>
      <c r="DV90" s="248">
        <v>-0.27</v>
      </c>
      <c r="DW90" s="246" t="s">
        <v>406</v>
      </c>
      <c r="DX90" s="246" t="s">
        <v>388</v>
      </c>
      <c r="DY90" s="246" t="s">
        <v>1471</v>
      </c>
      <c r="DZ90" s="246">
        <v>40</v>
      </c>
      <c r="EA90" s="247">
        <v>0.24229999999999999</v>
      </c>
      <c r="EB90" s="247">
        <v>0.28010000000000002</v>
      </c>
      <c r="EC90" s="247">
        <v>1.7479</v>
      </c>
      <c r="ED90" s="247">
        <v>0.4113</v>
      </c>
      <c r="EE90" s="247">
        <v>5.1673999999999998</v>
      </c>
      <c r="EF90" s="247">
        <v>-5.4100000000000002E-2</v>
      </c>
      <c r="EG90" s="247">
        <v>-9.69E-2</v>
      </c>
      <c r="EH90" s="247">
        <v>-0.112</v>
      </c>
      <c r="EI90" s="246" t="s">
        <v>1468</v>
      </c>
      <c r="EJ90" s="234">
        <v>-0.27</v>
      </c>
      <c r="EK90" s="234">
        <v>-0.25</v>
      </c>
      <c r="EL90" s="234" t="s">
        <v>1472</v>
      </c>
      <c r="EM90" s="234" t="s">
        <v>1473</v>
      </c>
      <c r="EN90" s="234" t="s">
        <v>1474</v>
      </c>
      <c r="EO90" s="234" t="s">
        <v>1475</v>
      </c>
      <c r="EP90" s="234" t="s">
        <v>376</v>
      </c>
      <c r="EQ90" s="234" t="s">
        <v>377</v>
      </c>
      <c r="ER90" s="234">
        <v>0</v>
      </c>
      <c r="ES90" s="249">
        <v>-4.4699999999999997E-2</v>
      </c>
      <c r="ET90" s="234" t="s">
        <v>384</v>
      </c>
      <c r="EU90" s="250">
        <v>2.4500000000000002</v>
      </c>
      <c r="EV90" s="234" t="s">
        <v>491</v>
      </c>
      <c r="EW90" s="250">
        <v>0</v>
      </c>
      <c r="EX90" s="250">
        <v>4.96</v>
      </c>
      <c r="EY90" s="250">
        <v>2.78</v>
      </c>
      <c r="EZ90" s="250">
        <v>2.4300000000000002</v>
      </c>
      <c r="FA90" s="250">
        <v>2.27</v>
      </c>
      <c r="FB90" s="250">
        <v>2.64</v>
      </c>
      <c r="FC90" s="250">
        <v>0.44</v>
      </c>
      <c r="FD90" s="249">
        <v>0</v>
      </c>
      <c r="FE90" s="250">
        <v>0</v>
      </c>
      <c r="FF90" s="250">
        <v>0</v>
      </c>
    </row>
    <row r="91" spans="1:162">
      <c r="A91" s="234" t="s">
        <v>1476</v>
      </c>
      <c r="B91" s="234" t="s">
        <v>1477</v>
      </c>
      <c r="C91" s="246" t="s">
        <v>401</v>
      </c>
      <c r="D91" s="246" t="s">
        <v>362</v>
      </c>
      <c r="E91" s="246">
        <v>4210</v>
      </c>
      <c r="F91" s="246" t="s">
        <v>509</v>
      </c>
      <c r="G91" s="246" t="s">
        <v>417</v>
      </c>
      <c r="H91" s="246" t="s">
        <v>509</v>
      </c>
      <c r="I91" s="246">
        <v>0.66930000000000001</v>
      </c>
      <c r="J91" s="246">
        <v>0.88939999999999997</v>
      </c>
      <c r="K91" s="247">
        <v>5.1400000000000001E-2</v>
      </c>
      <c r="L91" s="247">
        <v>8.5199999999999998E-2</v>
      </c>
      <c r="M91" s="246" t="s">
        <v>384</v>
      </c>
      <c r="N91" s="247">
        <v>1.7100000000000001E-2</v>
      </c>
      <c r="O91" s="247">
        <v>5.6599999999999998E-2</v>
      </c>
      <c r="P91" s="247">
        <v>4.2500000000000003E-2</v>
      </c>
      <c r="Q91" s="247">
        <v>7.22E-2</v>
      </c>
      <c r="R91" s="247">
        <v>8.6499999999999994E-2</v>
      </c>
      <c r="S91" s="247">
        <v>6.4000000000000001E-2</v>
      </c>
      <c r="T91" s="248">
        <v>13.8</v>
      </c>
      <c r="U91" s="248">
        <v>1.67</v>
      </c>
      <c r="V91" s="248">
        <v>4.38</v>
      </c>
      <c r="W91" s="248">
        <v>6.05</v>
      </c>
      <c r="X91" s="248">
        <v>19.850000000000001</v>
      </c>
      <c r="Y91" s="248">
        <v>5.77</v>
      </c>
      <c r="Z91" s="248">
        <v>14.08</v>
      </c>
      <c r="AA91" s="247">
        <v>0.29070000000000001</v>
      </c>
      <c r="AB91" s="246">
        <v>10.31</v>
      </c>
      <c r="AC91" s="247">
        <v>0.27689999999999998</v>
      </c>
      <c r="AD91" s="247">
        <v>0.30480000000000002</v>
      </c>
      <c r="AE91" s="247">
        <v>0.38300000000000001</v>
      </c>
      <c r="AF91" s="247">
        <v>0.4385</v>
      </c>
      <c r="AG91" s="248">
        <v>1.1499999999999999</v>
      </c>
      <c r="AH91" s="246">
        <v>69.06</v>
      </c>
      <c r="AI91" s="246" t="s">
        <v>384</v>
      </c>
      <c r="AJ91" s="246" t="s">
        <v>384</v>
      </c>
      <c r="AK91" s="246" t="s">
        <v>384</v>
      </c>
      <c r="AL91" s="246" t="s">
        <v>384</v>
      </c>
      <c r="AM91" s="246">
        <v>0.61</v>
      </c>
      <c r="AN91" s="233">
        <v>9.64</v>
      </c>
      <c r="AO91" s="246">
        <v>7.75</v>
      </c>
      <c r="AP91" s="246">
        <v>7.58</v>
      </c>
      <c r="AQ91" s="246">
        <v>0</v>
      </c>
      <c r="AR91" s="246" t="s">
        <v>384</v>
      </c>
      <c r="AS91" s="246" t="s">
        <v>384</v>
      </c>
      <c r="AT91" s="246">
        <v>0.87</v>
      </c>
      <c r="AU91" s="246">
        <v>0</v>
      </c>
      <c r="AV91" s="246">
        <v>0.35</v>
      </c>
      <c r="AW91" s="246">
        <v>5.35</v>
      </c>
      <c r="AX91" s="246">
        <v>4.59</v>
      </c>
      <c r="AY91" s="246">
        <v>0.88</v>
      </c>
      <c r="AZ91" s="246">
        <v>0.35</v>
      </c>
      <c r="BA91" s="247">
        <v>0</v>
      </c>
      <c r="BB91" s="247">
        <v>0</v>
      </c>
      <c r="BC91" s="246" t="s">
        <v>384</v>
      </c>
      <c r="BD91" s="246" t="s">
        <v>384</v>
      </c>
      <c r="BE91" s="246" t="s">
        <v>384</v>
      </c>
      <c r="BF91" s="246" t="s">
        <v>384</v>
      </c>
      <c r="BG91" s="246" t="s">
        <v>384</v>
      </c>
      <c r="BH91" s="246" t="s">
        <v>384</v>
      </c>
      <c r="BI91" s="246" t="s">
        <v>384</v>
      </c>
      <c r="BJ91" s="247">
        <v>0.17169999999999999</v>
      </c>
      <c r="BK91" s="247">
        <v>0.13619999999999999</v>
      </c>
      <c r="BL91" s="246">
        <v>2.96</v>
      </c>
      <c r="BM91" s="247">
        <v>3.9600000000000003E-2</v>
      </c>
      <c r="BN91" s="247">
        <v>5.7200000000000001E-2</v>
      </c>
      <c r="BO91" s="247">
        <v>0.13020000000000001</v>
      </c>
      <c r="BP91" s="247">
        <v>0.25</v>
      </c>
      <c r="BQ91" s="247">
        <v>0.19470000000000001</v>
      </c>
      <c r="BR91" s="247">
        <v>8.9999999999999998E-4</v>
      </c>
      <c r="BS91" s="248">
        <v>1.78</v>
      </c>
      <c r="BT91" s="248">
        <v>1.82</v>
      </c>
      <c r="BU91" s="248">
        <v>2.41</v>
      </c>
      <c r="BV91" s="248">
        <v>2.63</v>
      </c>
      <c r="BW91" s="248">
        <v>5.99</v>
      </c>
      <c r="BX91" s="248">
        <v>40</v>
      </c>
      <c r="BY91" s="248">
        <v>46</v>
      </c>
      <c r="BZ91" s="248">
        <v>2.36</v>
      </c>
      <c r="CA91" s="248">
        <v>3.07</v>
      </c>
      <c r="CB91" s="248">
        <v>2.12</v>
      </c>
      <c r="CC91" s="248">
        <v>-0.94</v>
      </c>
      <c r="CD91" s="248">
        <v>2.86</v>
      </c>
      <c r="CE91" s="248">
        <v>12.63</v>
      </c>
      <c r="CF91" s="247">
        <v>0.27460000000000001</v>
      </c>
      <c r="CG91" s="248">
        <v>0.19</v>
      </c>
      <c r="CH91" s="247">
        <v>1.4411</v>
      </c>
      <c r="CI91" s="248">
        <v>-0.93</v>
      </c>
      <c r="CJ91" s="248">
        <v>-0.28999999999999998</v>
      </c>
      <c r="CK91" s="248">
        <v>-1.23</v>
      </c>
      <c r="CL91" s="248">
        <v>10.6</v>
      </c>
      <c r="CM91" s="248">
        <v>15.55</v>
      </c>
      <c r="CN91" s="248">
        <v>15.8</v>
      </c>
      <c r="CO91" s="248">
        <v>16.079999999999998</v>
      </c>
      <c r="CP91" s="248">
        <v>0</v>
      </c>
      <c r="CQ91" s="246" t="s">
        <v>384</v>
      </c>
      <c r="CR91" s="246" t="s">
        <v>384</v>
      </c>
      <c r="CS91" s="246">
        <v>0.42</v>
      </c>
      <c r="CT91" s="246" t="s">
        <v>384</v>
      </c>
      <c r="CU91" s="246" t="s">
        <v>384</v>
      </c>
      <c r="CV91" s="246" t="s">
        <v>384</v>
      </c>
      <c r="CW91" s="246" t="s">
        <v>384</v>
      </c>
      <c r="CX91" s="248">
        <v>0</v>
      </c>
      <c r="CY91" s="248">
        <v>2.2599999999999998</v>
      </c>
      <c r="CZ91" s="248">
        <v>0.44</v>
      </c>
      <c r="DA91" s="248">
        <v>1.82</v>
      </c>
      <c r="DB91" s="248">
        <v>13.8</v>
      </c>
      <c r="DC91" s="248">
        <v>3.07</v>
      </c>
      <c r="DD91" s="248">
        <v>14.08</v>
      </c>
      <c r="DE91" s="246" t="s">
        <v>384</v>
      </c>
      <c r="DF91" s="248">
        <v>0</v>
      </c>
      <c r="DG91" s="248">
        <v>2.63</v>
      </c>
      <c r="DH91" s="248">
        <v>16.079999999999998</v>
      </c>
      <c r="DI91" s="248">
        <v>2.36</v>
      </c>
      <c r="DJ91" s="247">
        <v>0.17169999999999999</v>
      </c>
      <c r="DK91" s="247">
        <v>0.13619999999999999</v>
      </c>
      <c r="DL91" s="246">
        <v>5.97</v>
      </c>
      <c r="DM91" s="246">
        <v>0.1</v>
      </c>
      <c r="DN91" s="246" t="s">
        <v>384</v>
      </c>
      <c r="DO91" s="246" t="s">
        <v>384</v>
      </c>
      <c r="DP91" s="246" t="s">
        <v>384</v>
      </c>
      <c r="DQ91" s="248">
        <v>-0.38</v>
      </c>
      <c r="DR91" s="246" t="s">
        <v>1478</v>
      </c>
      <c r="DS91" s="246" t="s">
        <v>965</v>
      </c>
      <c r="DT91" s="246" t="e">
        <v>#REF!</v>
      </c>
      <c r="DU91" s="246" t="s">
        <v>1479</v>
      </c>
      <c r="DV91" s="246" t="s">
        <v>1480</v>
      </c>
      <c r="DW91" s="246" t="s">
        <v>1481</v>
      </c>
      <c r="DX91" s="246" t="s">
        <v>1373</v>
      </c>
      <c r="DY91" s="246" t="s">
        <v>1482</v>
      </c>
      <c r="DZ91" s="246">
        <v>-3</v>
      </c>
      <c r="EA91" s="246" t="s">
        <v>384</v>
      </c>
      <c r="EB91" s="246" t="s">
        <v>384</v>
      </c>
      <c r="EC91" s="246" t="s">
        <v>384</v>
      </c>
      <c r="ED91" s="247">
        <v>-0.49640000000000001</v>
      </c>
      <c r="EE91" s="246" t="s">
        <v>384</v>
      </c>
      <c r="EF91" s="247">
        <v>6.9800000000000001E-2</v>
      </c>
      <c r="EG91" s="247">
        <v>5.4399999999999997E-2</v>
      </c>
      <c r="EH91" s="247">
        <v>5.7000000000000002E-2</v>
      </c>
      <c r="EI91" s="248">
        <v>-0.38</v>
      </c>
      <c r="EJ91" s="234">
        <v>2.41</v>
      </c>
      <c r="EK91" s="234">
        <v>2.34</v>
      </c>
      <c r="EL91" s="234" t="s">
        <v>377</v>
      </c>
      <c r="EM91" s="234" t="s">
        <v>377</v>
      </c>
      <c r="EN91" s="234" t="s">
        <v>377</v>
      </c>
      <c r="EO91" s="234" t="s">
        <v>1483</v>
      </c>
      <c r="EP91" s="234" t="s">
        <v>376</v>
      </c>
      <c r="EQ91" s="234" t="s">
        <v>377</v>
      </c>
      <c r="ER91" s="234">
        <v>1</v>
      </c>
      <c r="ES91" s="234" t="s">
        <v>384</v>
      </c>
      <c r="ET91" s="234" t="s">
        <v>384</v>
      </c>
      <c r="EU91" s="234" t="s">
        <v>384</v>
      </c>
      <c r="EV91" s="234" t="s">
        <v>491</v>
      </c>
      <c r="EW91" s="250">
        <v>0</v>
      </c>
      <c r="EX91" s="250">
        <v>0</v>
      </c>
      <c r="EY91" s="250">
        <v>0</v>
      </c>
      <c r="EZ91" s="250">
        <v>0</v>
      </c>
      <c r="FA91" s="250">
        <v>0</v>
      </c>
      <c r="FB91" s="250">
        <v>0</v>
      </c>
      <c r="FC91" s="250">
        <v>4.38</v>
      </c>
      <c r="FD91" s="249">
        <v>0</v>
      </c>
      <c r="FE91" s="250">
        <v>0</v>
      </c>
      <c r="FF91" s="250">
        <v>0</v>
      </c>
    </row>
    <row r="92" spans="1:162">
      <c r="A92" s="234" t="s">
        <v>1484</v>
      </c>
      <c r="B92" s="234" t="s">
        <v>1485</v>
      </c>
      <c r="C92" s="246" t="s">
        <v>361</v>
      </c>
      <c r="D92" s="246" t="s">
        <v>362</v>
      </c>
      <c r="E92" s="246">
        <v>4210</v>
      </c>
      <c r="F92" s="246" t="s">
        <v>434</v>
      </c>
      <c r="G92" s="246" t="s">
        <v>435</v>
      </c>
      <c r="H92" s="246" t="s">
        <v>434</v>
      </c>
      <c r="I92" s="246">
        <v>0.74739999999999995</v>
      </c>
      <c r="J92" s="246">
        <v>0.74739999999999995</v>
      </c>
      <c r="K92" s="247">
        <v>4.2299999999999997E-2</v>
      </c>
      <c r="L92" s="247">
        <v>7.1099999999999997E-2</v>
      </c>
      <c r="M92" s="246" t="s">
        <v>384</v>
      </c>
      <c r="N92" s="247">
        <v>1.11E-2</v>
      </c>
      <c r="O92" s="247">
        <v>5.0599999999999999E-2</v>
      </c>
      <c r="P92" s="247">
        <v>3.7400000000000003E-2</v>
      </c>
      <c r="Q92" s="247">
        <v>7.1099999999999997E-2</v>
      </c>
      <c r="R92" s="246" t="s">
        <v>384</v>
      </c>
      <c r="S92" s="246" t="s">
        <v>384</v>
      </c>
      <c r="T92" s="248">
        <v>12.8</v>
      </c>
      <c r="U92" s="248">
        <v>0</v>
      </c>
      <c r="V92" s="248">
        <v>0</v>
      </c>
      <c r="W92" s="248">
        <v>0</v>
      </c>
      <c r="X92" s="248">
        <v>12.8</v>
      </c>
      <c r="Y92" s="248">
        <v>0.4</v>
      </c>
      <c r="Z92" s="248">
        <v>12.4</v>
      </c>
      <c r="AA92" s="247">
        <v>3.1300000000000001E-2</v>
      </c>
      <c r="AB92" s="246">
        <v>0.04</v>
      </c>
      <c r="AC92" s="247">
        <v>0</v>
      </c>
      <c r="AD92" s="247">
        <v>0</v>
      </c>
      <c r="AE92" s="247">
        <v>0</v>
      </c>
      <c r="AF92" s="247">
        <v>0</v>
      </c>
      <c r="AG92" s="248">
        <v>0.39</v>
      </c>
      <c r="AH92" s="246">
        <v>16.54</v>
      </c>
      <c r="AI92" s="247">
        <v>-0.2046</v>
      </c>
      <c r="AJ92" s="246">
        <v>-0.12</v>
      </c>
      <c r="AK92" s="247">
        <v>0.1095</v>
      </c>
      <c r="AL92" s="246" t="s">
        <v>384</v>
      </c>
      <c r="AM92" s="246">
        <v>0.71</v>
      </c>
      <c r="AN92" s="233" t="s">
        <v>384</v>
      </c>
      <c r="AO92" s="246" t="s">
        <v>384</v>
      </c>
      <c r="AP92" s="246">
        <v>224.56</v>
      </c>
      <c r="AQ92" s="246" t="s">
        <v>384</v>
      </c>
      <c r="AR92" s="246" t="s">
        <v>384</v>
      </c>
      <c r="AS92" s="246" t="s">
        <v>384</v>
      </c>
      <c r="AT92" s="246">
        <v>21.59</v>
      </c>
      <c r="AU92" s="246" t="s">
        <v>384</v>
      </c>
      <c r="AV92" s="246">
        <v>4.4400000000000004</v>
      </c>
      <c r="AW92" s="246">
        <v>217.53</v>
      </c>
      <c r="AX92" s="246">
        <v>263.81</v>
      </c>
      <c r="AY92" s="246">
        <v>64.58</v>
      </c>
      <c r="AZ92" s="246">
        <v>4.3099999999999996</v>
      </c>
      <c r="BA92" s="247">
        <v>0</v>
      </c>
      <c r="BB92" s="247">
        <v>0</v>
      </c>
      <c r="BC92" s="247">
        <v>0.70209999999999995</v>
      </c>
      <c r="BD92" s="246" t="s">
        <v>384</v>
      </c>
      <c r="BE92" s="246" t="s">
        <v>384</v>
      </c>
      <c r="BF92" s="247">
        <v>0.192</v>
      </c>
      <c r="BG92" s="247">
        <v>0.33</v>
      </c>
      <c r="BH92" s="246" t="s">
        <v>384</v>
      </c>
      <c r="BI92" s="246" t="s">
        <v>384</v>
      </c>
      <c r="BJ92" s="246" t="s">
        <v>384</v>
      </c>
      <c r="BK92" s="246" t="s">
        <v>384</v>
      </c>
      <c r="BL92" s="246" t="s">
        <v>384</v>
      </c>
      <c r="BM92" s="247">
        <v>1.49E-2</v>
      </c>
      <c r="BN92" s="247">
        <v>1.49E-2</v>
      </c>
      <c r="BO92" s="247">
        <v>0.3508</v>
      </c>
      <c r="BP92" s="247">
        <v>0.26140000000000002</v>
      </c>
      <c r="BQ92" s="247">
        <v>0</v>
      </c>
      <c r="BR92" s="246" t="s">
        <v>384</v>
      </c>
      <c r="BS92" s="248">
        <v>-0.06</v>
      </c>
      <c r="BT92" s="248">
        <v>0.06</v>
      </c>
      <c r="BU92" s="248">
        <v>0.06</v>
      </c>
      <c r="BV92" s="248">
        <v>0.06</v>
      </c>
      <c r="BW92" s="248">
        <v>1.34</v>
      </c>
      <c r="BX92" s="248">
        <v>2.88</v>
      </c>
      <c r="BY92" s="248">
        <v>3.82</v>
      </c>
      <c r="BZ92" s="248">
        <v>-0.06</v>
      </c>
      <c r="CA92" s="248">
        <v>0.05</v>
      </c>
      <c r="CB92" s="248">
        <v>0.06</v>
      </c>
      <c r="CC92" s="248">
        <v>0</v>
      </c>
      <c r="CD92" s="248">
        <v>0.13</v>
      </c>
      <c r="CE92" s="248">
        <v>7.0000000000000007E-2</v>
      </c>
      <c r="CF92" s="247">
        <v>1.8599999999999998E-2</v>
      </c>
      <c r="CG92" s="248">
        <v>0</v>
      </c>
      <c r="CH92" s="247">
        <v>2.4211</v>
      </c>
      <c r="CI92" s="248">
        <v>-0.08</v>
      </c>
      <c r="CJ92" s="248">
        <v>-0.08</v>
      </c>
      <c r="CK92" s="248">
        <v>-0.08</v>
      </c>
      <c r="CL92" s="248">
        <v>-0.2</v>
      </c>
      <c r="CM92" s="248">
        <v>0</v>
      </c>
      <c r="CN92" s="248">
        <v>0.59</v>
      </c>
      <c r="CO92" s="248">
        <v>0.19</v>
      </c>
      <c r="CP92" s="248">
        <v>0</v>
      </c>
      <c r="CQ92" s="246" t="s">
        <v>384</v>
      </c>
      <c r="CR92" s="246">
        <v>-0.64</v>
      </c>
      <c r="CS92" s="246">
        <v>0.79</v>
      </c>
      <c r="CT92" s="246">
        <v>0.71</v>
      </c>
      <c r="CU92" s="246">
        <v>0.63</v>
      </c>
      <c r="CV92" s="248">
        <v>-1.07</v>
      </c>
      <c r="CW92" s="248">
        <v>-1.29</v>
      </c>
      <c r="CX92" s="248">
        <v>0</v>
      </c>
      <c r="CY92" s="248">
        <v>0.06</v>
      </c>
      <c r="CZ92" s="246" t="s">
        <v>384</v>
      </c>
      <c r="DA92" s="248">
        <v>0.06</v>
      </c>
      <c r="DB92" s="248">
        <v>12.8</v>
      </c>
      <c r="DC92" s="248">
        <v>0.05</v>
      </c>
      <c r="DD92" s="248">
        <v>12.4</v>
      </c>
      <c r="DE92" s="246" t="s">
        <v>384</v>
      </c>
      <c r="DF92" s="248">
        <v>0</v>
      </c>
      <c r="DG92" s="248">
        <v>0.06</v>
      </c>
      <c r="DH92" s="248">
        <v>0.19</v>
      </c>
      <c r="DI92" s="248">
        <v>-0.06</v>
      </c>
      <c r="DJ92" s="246" t="s">
        <v>384</v>
      </c>
      <c r="DK92" s="246" t="s">
        <v>384</v>
      </c>
      <c r="DL92" s="246" t="s">
        <v>384</v>
      </c>
      <c r="DM92" s="246">
        <v>-0.01</v>
      </c>
      <c r="DN92" s="246">
        <v>-0.06</v>
      </c>
      <c r="DO92" s="246">
        <v>-1.07</v>
      </c>
      <c r="DP92" s="247">
        <v>-15.692600000000001</v>
      </c>
      <c r="DQ92" s="246" t="s">
        <v>1387</v>
      </c>
      <c r="DR92" s="246" t="s">
        <v>644</v>
      </c>
      <c r="DS92" s="246" t="s">
        <v>644</v>
      </c>
      <c r="DT92" s="246" t="e">
        <v>#REF!</v>
      </c>
      <c r="DU92" s="246" t="s">
        <v>1170</v>
      </c>
      <c r="DV92" s="246" t="s">
        <v>1486</v>
      </c>
      <c r="DW92" s="246" t="s">
        <v>388</v>
      </c>
      <c r="DX92" s="246" t="s">
        <v>388</v>
      </c>
      <c r="DY92" s="246" t="s">
        <v>1487</v>
      </c>
      <c r="DZ92" s="246">
        <v>6</v>
      </c>
      <c r="EA92" s="246" t="s">
        <v>384</v>
      </c>
      <c r="EB92" s="246" t="s">
        <v>384</v>
      </c>
      <c r="EC92" s="246" t="s">
        <v>384</v>
      </c>
      <c r="ED92" s="247">
        <v>0.60399999999999998</v>
      </c>
      <c r="EE92" s="247">
        <v>0.72509999999999997</v>
      </c>
      <c r="EF92" s="247">
        <v>0.11700000000000001</v>
      </c>
      <c r="EG92" s="247">
        <v>-6.7000000000000002E-3</v>
      </c>
      <c r="EH92" s="247">
        <v>1.4999999999999999E-2</v>
      </c>
      <c r="EI92" s="246" t="s">
        <v>1387</v>
      </c>
      <c r="EJ92" s="234">
        <v>0.06</v>
      </c>
      <c r="EK92" s="234">
        <v>-0.02</v>
      </c>
      <c r="EL92" s="234" t="s">
        <v>1488</v>
      </c>
      <c r="EM92" s="234" t="s">
        <v>377</v>
      </c>
      <c r="EN92" s="234" t="s">
        <v>377</v>
      </c>
      <c r="EO92" s="234" t="s">
        <v>1489</v>
      </c>
      <c r="EP92" s="234" t="s">
        <v>376</v>
      </c>
      <c r="EQ92" s="234" t="s">
        <v>377</v>
      </c>
      <c r="ER92" s="234">
        <v>1</v>
      </c>
      <c r="ES92" s="249">
        <v>0.27579999999999999</v>
      </c>
      <c r="ET92" s="234" t="s">
        <v>384</v>
      </c>
      <c r="EU92" s="250">
        <v>3.82</v>
      </c>
      <c r="EV92" s="234" t="s">
        <v>491</v>
      </c>
      <c r="EW92" s="250">
        <v>28</v>
      </c>
      <c r="EX92" s="250">
        <v>20.3</v>
      </c>
      <c r="EY92" s="250">
        <v>16.399999999999999</v>
      </c>
      <c r="EZ92" s="250">
        <v>6.82</v>
      </c>
      <c r="FA92" s="250">
        <v>7.42</v>
      </c>
      <c r="FB92" s="250">
        <v>7.52</v>
      </c>
      <c r="FC92" s="250">
        <v>0</v>
      </c>
      <c r="FD92" s="249">
        <v>0</v>
      </c>
      <c r="FE92" s="250">
        <v>0</v>
      </c>
      <c r="FF92" s="250">
        <v>0</v>
      </c>
    </row>
    <row r="93" spans="1:162">
      <c r="A93" s="234" t="s">
        <v>1490</v>
      </c>
      <c r="B93" s="234" t="s">
        <v>1491</v>
      </c>
      <c r="C93" s="246" t="s">
        <v>1492</v>
      </c>
      <c r="D93" s="246" t="s">
        <v>1493</v>
      </c>
      <c r="E93" s="246">
        <v>4210</v>
      </c>
      <c r="F93" s="246" t="s">
        <v>988</v>
      </c>
      <c r="G93" s="246" t="s">
        <v>435</v>
      </c>
      <c r="H93" s="246" t="s">
        <v>989</v>
      </c>
      <c r="I93" s="246">
        <v>1.3289</v>
      </c>
      <c r="J93" s="246">
        <v>1.5113000000000001</v>
      </c>
      <c r="K93" s="247">
        <v>4.2299999999999997E-2</v>
      </c>
      <c r="L93" s="247">
        <v>0.10340000000000001</v>
      </c>
      <c r="M93" s="246" t="s">
        <v>384</v>
      </c>
      <c r="N93" s="247">
        <v>1.11E-2</v>
      </c>
      <c r="O93" s="247">
        <v>5.0599999999999999E-2</v>
      </c>
      <c r="P93" s="247">
        <v>3.5400000000000001E-2</v>
      </c>
      <c r="Q93" s="247">
        <v>9.2299999999999993E-2</v>
      </c>
      <c r="R93" s="247">
        <v>-1.1033999999999999</v>
      </c>
      <c r="S93" s="247">
        <v>-0.86480000000000001</v>
      </c>
      <c r="T93" s="248">
        <v>12.5</v>
      </c>
      <c r="U93" s="248">
        <v>0</v>
      </c>
      <c r="V93" s="248">
        <v>2.4500000000000002</v>
      </c>
      <c r="W93" s="248">
        <v>2.4500000000000002</v>
      </c>
      <c r="X93" s="248">
        <v>14.95</v>
      </c>
      <c r="Y93" s="248">
        <v>1.18</v>
      </c>
      <c r="Z93" s="248">
        <v>13.77</v>
      </c>
      <c r="AA93" s="247">
        <v>7.8899999999999998E-2</v>
      </c>
      <c r="AB93" s="246">
        <v>0.06</v>
      </c>
      <c r="AC93" s="247">
        <v>0.69799999999999995</v>
      </c>
      <c r="AD93" s="247">
        <v>0.16389999999999999</v>
      </c>
      <c r="AE93" s="247">
        <v>2.3113000000000001</v>
      </c>
      <c r="AF93" s="247">
        <v>0.19600000000000001</v>
      </c>
      <c r="AG93" s="248">
        <v>0.04</v>
      </c>
      <c r="AH93" s="246">
        <v>16.54</v>
      </c>
      <c r="AI93" s="246" t="s">
        <v>384</v>
      </c>
      <c r="AJ93" s="246" t="s">
        <v>384</v>
      </c>
      <c r="AK93" s="246" t="s">
        <v>384</v>
      </c>
      <c r="AL93" s="246" t="s">
        <v>384</v>
      </c>
      <c r="AM93" s="246">
        <v>7.0000000000000007E-2</v>
      </c>
      <c r="AN93" s="233" t="s">
        <v>384</v>
      </c>
      <c r="AO93" s="246" t="s">
        <v>384</v>
      </c>
      <c r="AP93" s="246" t="s">
        <v>384</v>
      </c>
      <c r="AQ93" s="246" t="s">
        <v>384</v>
      </c>
      <c r="AR93" s="246" t="s">
        <v>384</v>
      </c>
      <c r="AS93" s="246" t="s">
        <v>384</v>
      </c>
      <c r="AT93" s="246">
        <v>11.79</v>
      </c>
      <c r="AU93" s="246" t="s">
        <v>384</v>
      </c>
      <c r="AV93" s="246">
        <v>3.18</v>
      </c>
      <c r="AW93" s="246" t="s">
        <v>384</v>
      </c>
      <c r="AX93" s="246" t="s">
        <v>384</v>
      </c>
      <c r="AY93" s="246">
        <v>6.71</v>
      </c>
      <c r="AZ93" s="246">
        <v>3.5</v>
      </c>
      <c r="BA93" s="246" t="s">
        <v>384</v>
      </c>
      <c r="BB93" s="247">
        <v>0</v>
      </c>
      <c r="BC93" s="246" t="s">
        <v>384</v>
      </c>
      <c r="BD93" s="246" t="s">
        <v>384</v>
      </c>
      <c r="BE93" s="246" t="s">
        <v>384</v>
      </c>
      <c r="BF93" s="247">
        <v>8.9499999999999996E-2</v>
      </c>
      <c r="BG93" s="247">
        <v>0.224</v>
      </c>
      <c r="BH93" s="246" t="s">
        <v>384</v>
      </c>
      <c r="BI93" s="246" t="s">
        <v>384</v>
      </c>
      <c r="BJ93" s="247">
        <v>-1</v>
      </c>
      <c r="BK93" s="247">
        <v>-0.77249999999999996</v>
      </c>
      <c r="BL93" s="246">
        <v>3.61</v>
      </c>
      <c r="BM93" s="247">
        <v>-0.30280000000000001</v>
      </c>
      <c r="BN93" s="247">
        <v>-0.2142</v>
      </c>
      <c r="BO93" s="247">
        <v>0.39190000000000003</v>
      </c>
      <c r="BP93" s="247">
        <v>0.3</v>
      </c>
      <c r="BQ93" s="247">
        <v>0</v>
      </c>
      <c r="BR93" s="247">
        <v>0.1479</v>
      </c>
      <c r="BS93" s="248">
        <v>-1.19</v>
      </c>
      <c r="BT93" s="248">
        <v>-1.19</v>
      </c>
      <c r="BU93" s="248">
        <v>-0.84</v>
      </c>
      <c r="BV93" s="248">
        <v>-0.84</v>
      </c>
      <c r="BW93" s="248">
        <v>1.54</v>
      </c>
      <c r="BX93" s="248">
        <v>3.93</v>
      </c>
      <c r="BY93" s="248">
        <v>3.93</v>
      </c>
      <c r="BZ93" s="248">
        <v>-0.72</v>
      </c>
      <c r="CA93" s="248">
        <v>-0.72</v>
      </c>
      <c r="CB93" s="248">
        <v>-0.84</v>
      </c>
      <c r="CC93" s="248">
        <v>0.02</v>
      </c>
      <c r="CD93" s="248">
        <v>-0.19</v>
      </c>
      <c r="CE93" s="248">
        <v>-0.03</v>
      </c>
      <c r="CF93" s="247">
        <v>-7.6E-3</v>
      </c>
      <c r="CG93" s="248">
        <v>-0.69</v>
      </c>
      <c r="CH93" s="246" t="s">
        <v>384</v>
      </c>
      <c r="CI93" s="248">
        <v>0.04</v>
      </c>
      <c r="CJ93" s="248">
        <v>-0.33</v>
      </c>
      <c r="CK93" s="248">
        <v>-0.31</v>
      </c>
      <c r="CL93" s="248">
        <v>0.32</v>
      </c>
      <c r="CM93" s="248">
        <v>1.0900000000000001</v>
      </c>
      <c r="CN93" s="248">
        <v>1.06</v>
      </c>
      <c r="CO93" s="248">
        <v>2.0499999999999998</v>
      </c>
      <c r="CP93" s="248">
        <v>0</v>
      </c>
      <c r="CQ93" s="246" t="s">
        <v>384</v>
      </c>
      <c r="CR93" s="246" t="s">
        <v>384</v>
      </c>
      <c r="CS93" s="246">
        <v>0.79</v>
      </c>
      <c r="CT93" s="246" t="s">
        <v>384</v>
      </c>
      <c r="CU93" s="246" t="s">
        <v>384</v>
      </c>
      <c r="CV93" s="246" t="s">
        <v>384</v>
      </c>
      <c r="CW93" s="246" t="s">
        <v>384</v>
      </c>
      <c r="CX93" s="248">
        <v>0</v>
      </c>
      <c r="CY93" s="246" t="s">
        <v>384</v>
      </c>
      <c r="CZ93" s="246" t="s">
        <v>384</v>
      </c>
      <c r="DA93" s="246" t="s">
        <v>384</v>
      </c>
      <c r="DB93" s="246" t="s">
        <v>384</v>
      </c>
      <c r="DC93" s="246" t="s">
        <v>384</v>
      </c>
      <c r="DD93" s="246" t="s">
        <v>384</v>
      </c>
      <c r="DE93" s="246" t="s">
        <v>384</v>
      </c>
      <c r="DF93" s="248">
        <v>1.2</v>
      </c>
      <c r="DG93" s="248">
        <v>-0.79</v>
      </c>
      <c r="DH93" s="248">
        <v>3.25</v>
      </c>
      <c r="DI93" s="248">
        <v>-0.31</v>
      </c>
      <c r="DJ93" s="247">
        <v>-0.74919999999999998</v>
      </c>
      <c r="DK93" s="247">
        <v>-0.3458</v>
      </c>
      <c r="DL93" s="246" t="s">
        <v>384</v>
      </c>
      <c r="DM93" s="246">
        <v>0.71</v>
      </c>
      <c r="DN93" s="246" t="s">
        <v>384</v>
      </c>
      <c r="DO93" s="246" t="s">
        <v>384</v>
      </c>
      <c r="DP93" s="246" t="s">
        <v>384</v>
      </c>
      <c r="DQ93" s="246" t="s">
        <v>1494</v>
      </c>
      <c r="DR93" s="246" t="s">
        <v>628</v>
      </c>
      <c r="DS93" s="246" t="s">
        <v>628</v>
      </c>
      <c r="DT93" s="246" t="e">
        <v>#REF!</v>
      </c>
      <c r="DU93" s="246" t="s">
        <v>1495</v>
      </c>
      <c r="DV93" s="248">
        <v>-0.84</v>
      </c>
      <c r="DW93" s="246" t="s">
        <v>878</v>
      </c>
      <c r="DX93" s="246" t="s">
        <v>1073</v>
      </c>
      <c r="DY93" s="246" t="s">
        <v>1496</v>
      </c>
      <c r="DZ93" s="246">
        <v>6</v>
      </c>
      <c r="EA93" s="246" t="s">
        <v>384</v>
      </c>
      <c r="EB93" s="246" t="s">
        <v>384</v>
      </c>
      <c r="EC93" s="246" t="s">
        <v>384</v>
      </c>
      <c r="ED93" s="246" t="s">
        <v>384</v>
      </c>
      <c r="EE93" s="246" t="s">
        <v>384</v>
      </c>
      <c r="EF93" s="247">
        <v>4.8000000000000001E-2</v>
      </c>
      <c r="EG93" s="247">
        <v>-0.23710000000000001</v>
      </c>
      <c r="EH93" s="247">
        <v>-0.214</v>
      </c>
      <c r="EI93" s="246" t="s">
        <v>1494</v>
      </c>
      <c r="EJ93" s="234">
        <v>-0.84</v>
      </c>
      <c r="EK93" s="234">
        <v>-0.89</v>
      </c>
      <c r="EL93" s="234" t="s">
        <v>377</v>
      </c>
      <c r="EM93" s="234" t="s">
        <v>377</v>
      </c>
      <c r="EN93" s="234" t="s">
        <v>377</v>
      </c>
      <c r="EO93" s="234" t="s">
        <v>377</v>
      </c>
      <c r="EP93" s="234" t="s">
        <v>1497</v>
      </c>
      <c r="EQ93" s="234" t="s">
        <v>854</v>
      </c>
      <c r="ER93" s="234">
        <v>0</v>
      </c>
      <c r="ES93" s="249">
        <v>0.12720000000000001</v>
      </c>
      <c r="ET93" s="234" t="s">
        <v>384</v>
      </c>
      <c r="EU93" s="250">
        <v>3.93</v>
      </c>
      <c r="EV93" s="234" t="s">
        <v>491</v>
      </c>
      <c r="EW93" s="250">
        <v>0</v>
      </c>
      <c r="EX93" s="250">
        <v>0</v>
      </c>
      <c r="EY93" s="250">
        <v>0</v>
      </c>
      <c r="EZ93" s="250">
        <v>0</v>
      </c>
      <c r="FA93" s="250">
        <v>0</v>
      </c>
      <c r="FB93" s="250">
        <v>0</v>
      </c>
      <c r="FC93" s="250">
        <v>0.02</v>
      </c>
      <c r="FD93" s="249">
        <v>0</v>
      </c>
      <c r="FE93" s="250">
        <v>0</v>
      </c>
      <c r="FF93" s="250">
        <v>2.15</v>
      </c>
    </row>
    <row r="94" spans="1:162">
      <c r="A94" s="234" t="s">
        <v>1498</v>
      </c>
      <c r="B94" s="234" t="s">
        <v>1499</v>
      </c>
      <c r="C94" s="246" t="s">
        <v>401</v>
      </c>
      <c r="D94" s="246" t="s">
        <v>362</v>
      </c>
      <c r="E94" s="246">
        <v>4210</v>
      </c>
      <c r="F94" s="246" t="s">
        <v>642</v>
      </c>
      <c r="G94" s="246" t="s">
        <v>417</v>
      </c>
      <c r="H94" s="246" t="s">
        <v>642</v>
      </c>
      <c r="I94" s="246">
        <v>0.66930000000000001</v>
      </c>
      <c r="J94" s="246">
        <v>0.91449999999999998</v>
      </c>
      <c r="K94" s="247">
        <v>7.0800000000000002E-2</v>
      </c>
      <c r="L94" s="247">
        <v>0.1042</v>
      </c>
      <c r="M94" s="246" t="s">
        <v>384</v>
      </c>
      <c r="N94" s="247">
        <v>2.76E-2</v>
      </c>
      <c r="O94" s="247">
        <v>6.7100000000000007E-2</v>
      </c>
      <c r="P94" s="247">
        <v>4.7E-2</v>
      </c>
      <c r="Q94" s="247">
        <v>8.4599999999999995E-2</v>
      </c>
      <c r="R94" s="247">
        <v>-0.105</v>
      </c>
      <c r="S94" s="247">
        <v>-6.93E-2</v>
      </c>
      <c r="T94" s="248">
        <v>12.4</v>
      </c>
      <c r="U94" s="248">
        <v>0</v>
      </c>
      <c r="V94" s="248">
        <v>6.49</v>
      </c>
      <c r="W94" s="248">
        <v>6.49</v>
      </c>
      <c r="X94" s="248">
        <v>18.89</v>
      </c>
      <c r="Y94" s="248">
        <v>0.04</v>
      </c>
      <c r="Z94" s="248">
        <v>18.850000000000001</v>
      </c>
      <c r="AA94" s="247">
        <v>2E-3</v>
      </c>
      <c r="AB94" s="246">
        <v>0.04</v>
      </c>
      <c r="AC94" s="247">
        <v>0.38650000000000001</v>
      </c>
      <c r="AD94" s="247">
        <v>0.34360000000000002</v>
      </c>
      <c r="AE94" s="247">
        <v>0.63009999999999999</v>
      </c>
      <c r="AF94" s="247">
        <v>0.52339999999999998</v>
      </c>
      <c r="AG94" s="248">
        <v>0.59</v>
      </c>
      <c r="AH94" s="246">
        <v>69.06</v>
      </c>
      <c r="AI94" s="247">
        <v>8.9200000000000002E-2</v>
      </c>
      <c r="AJ94" s="246">
        <v>0.03</v>
      </c>
      <c r="AK94" s="247">
        <v>3.1600000000000003E-2</v>
      </c>
      <c r="AL94" s="247">
        <v>0.25800000000000001</v>
      </c>
      <c r="AM94" s="246">
        <v>0.18</v>
      </c>
      <c r="AN94" s="233">
        <v>0.7</v>
      </c>
      <c r="AO94" s="246">
        <v>45.76</v>
      </c>
      <c r="AP94" s="246" t="s">
        <v>384</v>
      </c>
      <c r="AQ94" s="246">
        <v>104.03</v>
      </c>
      <c r="AR94" s="246" t="s">
        <v>384</v>
      </c>
      <c r="AS94" s="246" t="s">
        <v>384</v>
      </c>
      <c r="AT94" s="246">
        <v>1.2</v>
      </c>
      <c r="AU94" s="246">
        <v>1.21</v>
      </c>
      <c r="AV94" s="246">
        <v>0.31</v>
      </c>
      <c r="AW94" s="246">
        <v>40.200000000000003</v>
      </c>
      <c r="AX94" s="246">
        <v>17.3</v>
      </c>
      <c r="AY94" s="246">
        <v>1.1299999999999999</v>
      </c>
      <c r="AZ94" s="246">
        <v>0.47</v>
      </c>
      <c r="BA94" s="246" t="s">
        <v>384</v>
      </c>
      <c r="BB94" s="247">
        <v>0</v>
      </c>
      <c r="BC94" s="247">
        <v>-3.8800000000000001E-2</v>
      </c>
      <c r="BD94" s="246" t="s">
        <v>384</v>
      </c>
      <c r="BE94" s="246" t="s">
        <v>384</v>
      </c>
      <c r="BF94" s="247">
        <v>5.1000000000000004E-3</v>
      </c>
      <c r="BG94" s="247">
        <v>2.1899999999999999E-2</v>
      </c>
      <c r="BH94" s="246" t="s">
        <v>384</v>
      </c>
      <c r="BI94" s="246" t="s">
        <v>384</v>
      </c>
      <c r="BJ94" s="247">
        <v>-6.9999999999999999E-4</v>
      </c>
      <c r="BK94" s="247">
        <v>1.52E-2</v>
      </c>
      <c r="BL94" s="246">
        <v>2.6</v>
      </c>
      <c r="BM94" s="247">
        <v>-2.0000000000000001E-4</v>
      </c>
      <c r="BN94" s="247">
        <v>1.17E-2</v>
      </c>
      <c r="BO94" s="247">
        <v>5.1799999999999999E-2</v>
      </c>
      <c r="BP94" s="247">
        <v>0.3</v>
      </c>
      <c r="BQ94" s="247">
        <v>0.5</v>
      </c>
      <c r="BR94" s="246" t="s">
        <v>384</v>
      </c>
      <c r="BS94" s="248">
        <v>0.27</v>
      </c>
      <c r="BT94" s="248">
        <v>-0.01</v>
      </c>
      <c r="BU94" s="248">
        <v>0.47</v>
      </c>
      <c r="BV94" s="248">
        <v>0.47</v>
      </c>
      <c r="BW94" s="248">
        <v>2.0699999999999998</v>
      </c>
      <c r="BX94" s="248">
        <v>39.700000000000003</v>
      </c>
      <c r="BY94" s="248">
        <v>40</v>
      </c>
      <c r="BZ94" s="248">
        <v>1.44</v>
      </c>
      <c r="CA94" s="248">
        <v>1.0900000000000001</v>
      </c>
      <c r="CB94" s="248">
        <v>0.23</v>
      </c>
      <c r="CC94" s="248">
        <v>-2.08</v>
      </c>
      <c r="CD94" s="248">
        <v>-0.4</v>
      </c>
      <c r="CE94" s="248">
        <v>9.19</v>
      </c>
      <c r="CF94" s="247">
        <v>0.22969999999999999</v>
      </c>
      <c r="CG94" s="248">
        <v>1.02</v>
      </c>
      <c r="CH94" s="247">
        <v>2.6269</v>
      </c>
      <c r="CI94" s="248">
        <v>-0.38</v>
      </c>
      <c r="CJ94" s="248">
        <v>1.45</v>
      </c>
      <c r="CK94" s="248">
        <v>-0.62</v>
      </c>
      <c r="CL94" s="248">
        <v>10.9</v>
      </c>
      <c r="CM94" s="248">
        <v>15.38</v>
      </c>
      <c r="CN94" s="248">
        <v>10.3</v>
      </c>
      <c r="CO94" s="248">
        <v>16.75</v>
      </c>
      <c r="CP94" s="248">
        <v>0</v>
      </c>
      <c r="CQ94" s="246">
        <v>7.0000000000000007E-2</v>
      </c>
      <c r="CR94" s="246">
        <v>-0.1</v>
      </c>
      <c r="CS94" s="246">
        <v>0.42</v>
      </c>
      <c r="CT94" s="246" t="s">
        <v>384</v>
      </c>
      <c r="CU94" s="246" t="s">
        <v>384</v>
      </c>
      <c r="CV94" s="246" t="s">
        <v>384</v>
      </c>
      <c r="CW94" s="246" t="s">
        <v>384</v>
      </c>
      <c r="CX94" s="248">
        <v>0</v>
      </c>
      <c r="CY94" s="248">
        <v>0.15</v>
      </c>
      <c r="CZ94" s="248">
        <v>0.15</v>
      </c>
      <c r="DA94" s="246" t="s">
        <v>384</v>
      </c>
      <c r="DB94" s="246" t="s">
        <v>384</v>
      </c>
      <c r="DC94" s="248">
        <v>1.0900000000000001</v>
      </c>
      <c r="DD94" s="248">
        <v>18.850000000000001</v>
      </c>
      <c r="DE94" s="246" t="s">
        <v>384</v>
      </c>
      <c r="DF94" s="248">
        <v>0</v>
      </c>
      <c r="DG94" s="248">
        <v>0.47</v>
      </c>
      <c r="DH94" s="248">
        <v>16.75</v>
      </c>
      <c r="DI94" s="248">
        <v>1.44</v>
      </c>
      <c r="DJ94" s="247">
        <v>-6.9999999999999999E-4</v>
      </c>
      <c r="DK94" s="247">
        <v>1.52E-2</v>
      </c>
      <c r="DL94" s="246">
        <v>13.09</v>
      </c>
      <c r="DM94" s="246">
        <v>0.62</v>
      </c>
      <c r="DN94" s="246">
        <v>6.33</v>
      </c>
      <c r="DO94" s="246" t="s">
        <v>384</v>
      </c>
      <c r="DP94" s="246" t="s">
        <v>384</v>
      </c>
      <c r="DQ94" s="246" t="s">
        <v>1500</v>
      </c>
      <c r="DR94" s="246" t="s">
        <v>628</v>
      </c>
      <c r="DS94" s="246" t="s">
        <v>1303</v>
      </c>
      <c r="DT94" s="246" t="e">
        <v>#REF!</v>
      </c>
      <c r="DU94" s="246" t="s">
        <v>388</v>
      </c>
      <c r="DV94" s="246" t="s">
        <v>1501</v>
      </c>
      <c r="DW94" s="246" t="s">
        <v>1502</v>
      </c>
      <c r="DX94" s="246" t="s">
        <v>1316</v>
      </c>
      <c r="DY94" s="246" t="s">
        <v>1160</v>
      </c>
      <c r="DZ94" s="246">
        <v>26</v>
      </c>
      <c r="EA94" s="247">
        <v>-8.5699999999999998E-2</v>
      </c>
      <c r="EB94" s="247">
        <v>6.25E-2</v>
      </c>
      <c r="EC94" s="247">
        <v>-2.9399999999999999E-2</v>
      </c>
      <c r="ED94" s="247">
        <v>-6.0600000000000001E-2</v>
      </c>
      <c r="EE94" s="247">
        <v>-0.1143</v>
      </c>
      <c r="EF94" s="247">
        <v>-1.72E-2</v>
      </c>
      <c r="EG94" s="247">
        <v>2.8000000000000001E-2</v>
      </c>
      <c r="EH94" s="247">
        <v>1.2E-2</v>
      </c>
      <c r="EI94" s="246" t="s">
        <v>1500</v>
      </c>
      <c r="EJ94" s="234">
        <v>0.47</v>
      </c>
      <c r="EK94" s="234">
        <v>1.1399999999999999</v>
      </c>
      <c r="EL94" s="234" t="s">
        <v>1503</v>
      </c>
      <c r="EM94" s="234" t="s">
        <v>866</v>
      </c>
      <c r="EN94" s="234" t="s">
        <v>1282</v>
      </c>
      <c r="EO94" s="234" t="s">
        <v>1504</v>
      </c>
      <c r="EP94" s="234" t="s">
        <v>376</v>
      </c>
      <c r="EQ94" s="234" t="s">
        <v>377</v>
      </c>
      <c r="ER94" s="234">
        <v>0</v>
      </c>
      <c r="ES94" s="249">
        <v>-2.3300000000000001E-2</v>
      </c>
      <c r="ET94" s="234" t="s">
        <v>384</v>
      </c>
      <c r="EU94" s="250">
        <v>40</v>
      </c>
      <c r="EV94" s="234" t="s">
        <v>491</v>
      </c>
      <c r="EW94" s="250">
        <v>0</v>
      </c>
      <c r="EX94" s="250">
        <v>89.6</v>
      </c>
      <c r="EY94" s="250">
        <v>19.8</v>
      </c>
      <c r="EZ94" s="250">
        <v>14.9</v>
      </c>
      <c r="FA94" s="250">
        <v>14</v>
      </c>
      <c r="FB94" s="250">
        <v>12.9</v>
      </c>
      <c r="FC94" s="250">
        <v>0</v>
      </c>
      <c r="FD94" s="249">
        <v>0</v>
      </c>
      <c r="FE94" s="250">
        <v>0</v>
      </c>
      <c r="FF94" s="250">
        <v>0</v>
      </c>
    </row>
    <row r="95" spans="1:162">
      <c r="A95" s="234" t="s">
        <v>1505</v>
      </c>
      <c r="B95" s="234" t="s">
        <v>1506</v>
      </c>
      <c r="C95" s="246" t="s">
        <v>401</v>
      </c>
      <c r="D95" s="246" t="s">
        <v>362</v>
      </c>
      <c r="E95" s="246">
        <v>4210</v>
      </c>
      <c r="F95" s="246" t="s">
        <v>1034</v>
      </c>
      <c r="G95" s="246" t="s">
        <v>417</v>
      </c>
      <c r="H95" s="246" t="s">
        <v>418</v>
      </c>
      <c r="I95" s="246">
        <v>0.66930000000000001</v>
      </c>
      <c r="J95" s="246">
        <v>1.0871999999999999</v>
      </c>
      <c r="K95" s="247">
        <v>5.7799999999999997E-2</v>
      </c>
      <c r="L95" s="247">
        <v>0.1023</v>
      </c>
      <c r="M95" s="246" t="s">
        <v>384</v>
      </c>
      <c r="N95" s="247">
        <v>1.9099999999999999E-2</v>
      </c>
      <c r="O95" s="247">
        <v>5.8599999999999999E-2</v>
      </c>
      <c r="P95" s="247">
        <v>4.4499999999999998E-2</v>
      </c>
      <c r="Q95" s="247">
        <v>7.6300000000000007E-2</v>
      </c>
      <c r="R95" s="247">
        <v>-0.15590000000000001</v>
      </c>
      <c r="S95" s="247">
        <v>-2.9399999999999999E-2</v>
      </c>
      <c r="T95" s="248">
        <v>11.6</v>
      </c>
      <c r="U95" s="248">
        <v>0</v>
      </c>
      <c r="V95" s="248">
        <v>9.5299999999999994</v>
      </c>
      <c r="W95" s="248">
        <v>9.5299999999999994</v>
      </c>
      <c r="X95" s="248">
        <v>21.13</v>
      </c>
      <c r="Y95" s="248">
        <v>1.07</v>
      </c>
      <c r="Z95" s="248">
        <v>20.059999999999999</v>
      </c>
      <c r="AA95" s="247">
        <v>5.0599999999999999E-2</v>
      </c>
      <c r="AB95" s="246">
        <v>0.19</v>
      </c>
      <c r="AC95" s="247">
        <v>0.61370000000000002</v>
      </c>
      <c r="AD95" s="247">
        <v>0.45100000000000001</v>
      </c>
      <c r="AE95" s="247">
        <v>1.5883</v>
      </c>
      <c r="AF95" s="247">
        <v>0.8216</v>
      </c>
      <c r="AG95" s="248">
        <v>0.03</v>
      </c>
      <c r="AH95" s="246">
        <v>69.06</v>
      </c>
      <c r="AI95" s="247">
        <v>-0.43159999999999998</v>
      </c>
      <c r="AJ95" s="246">
        <v>1.51</v>
      </c>
      <c r="AK95" s="247">
        <v>0.1517</v>
      </c>
      <c r="AL95" s="247">
        <v>0.31969999999999998</v>
      </c>
      <c r="AM95" s="246">
        <v>0.21</v>
      </c>
      <c r="AN95" s="233">
        <v>1.71</v>
      </c>
      <c r="AO95" s="246" t="s">
        <v>384</v>
      </c>
      <c r="AP95" s="246" t="s">
        <v>384</v>
      </c>
      <c r="AQ95" s="246" t="s">
        <v>384</v>
      </c>
      <c r="AR95" s="246" t="s">
        <v>384</v>
      </c>
      <c r="AS95" s="246" t="s">
        <v>384</v>
      </c>
      <c r="AT95" s="246">
        <v>1.93</v>
      </c>
      <c r="AU95" s="246">
        <v>0.95</v>
      </c>
      <c r="AV95" s="246">
        <v>1.48</v>
      </c>
      <c r="AW95" s="246">
        <v>19.86</v>
      </c>
      <c r="AX95" s="246">
        <v>13.65</v>
      </c>
      <c r="AY95" s="246">
        <v>1.39</v>
      </c>
      <c r="AZ95" s="246">
        <v>2.56</v>
      </c>
      <c r="BA95" s="246" t="s">
        <v>384</v>
      </c>
      <c r="BB95" s="247">
        <v>0</v>
      </c>
      <c r="BC95" s="247">
        <v>-0.36609999999999998</v>
      </c>
      <c r="BD95" s="246" t="s">
        <v>384</v>
      </c>
      <c r="BE95" s="246" t="s">
        <v>384</v>
      </c>
      <c r="BF95" s="247">
        <v>4.1300000000000003E-2</v>
      </c>
      <c r="BG95" s="247">
        <v>2.1399999999999999E-2</v>
      </c>
      <c r="BH95" s="246" t="s">
        <v>384</v>
      </c>
      <c r="BI95" s="246" t="s">
        <v>384</v>
      </c>
      <c r="BJ95" s="247">
        <v>-5.3600000000000002E-2</v>
      </c>
      <c r="BK95" s="247">
        <v>4.6899999999999997E-2</v>
      </c>
      <c r="BL95" s="246">
        <v>0.75</v>
      </c>
      <c r="BM95" s="247">
        <v>-2.7E-2</v>
      </c>
      <c r="BN95" s="247">
        <v>0.12529999999999999</v>
      </c>
      <c r="BO95" s="247">
        <v>0.3201</v>
      </c>
      <c r="BP95" s="247">
        <v>0.24</v>
      </c>
      <c r="BQ95" s="247">
        <v>0.5</v>
      </c>
      <c r="BR95" s="247">
        <v>1.44E-2</v>
      </c>
      <c r="BS95" s="248">
        <v>-0.24</v>
      </c>
      <c r="BT95" s="248">
        <v>-0.22</v>
      </c>
      <c r="BU95" s="248">
        <v>1.01</v>
      </c>
      <c r="BV95" s="248">
        <v>1.01</v>
      </c>
      <c r="BW95" s="248">
        <v>2.58</v>
      </c>
      <c r="BX95" s="248">
        <v>7.84</v>
      </c>
      <c r="BY95" s="248">
        <v>8.06</v>
      </c>
      <c r="BZ95" s="248">
        <v>1.25</v>
      </c>
      <c r="CA95" s="248">
        <v>1.47</v>
      </c>
      <c r="CB95" s="248">
        <v>0.51</v>
      </c>
      <c r="CC95" s="248">
        <v>0.14000000000000001</v>
      </c>
      <c r="CD95" s="248">
        <v>-0.2</v>
      </c>
      <c r="CE95" s="248">
        <v>-0.54</v>
      </c>
      <c r="CF95" s="247">
        <v>-6.7000000000000004E-2</v>
      </c>
      <c r="CG95" s="248">
        <v>1.69</v>
      </c>
      <c r="CH95" s="247">
        <v>2.9563999999999999</v>
      </c>
      <c r="CI95" s="248">
        <v>-0.99</v>
      </c>
      <c r="CJ95" s="248">
        <v>-1.85</v>
      </c>
      <c r="CK95" s="248">
        <v>-1.71</v>
      </c>
      <c r="CL95" s="248">
        <v>4.07</v>
      </c>
      <c r="CM95" s="248">
        <v>10.78</v>
      </c>
      <c r="CN95" s="248">
        <v>6</v>
      </c>
      <c r="CO95" s="248">
        <v>14.46</v>
      </c>
      <c r="CP95" s="248">
        <v>0</v>
      </c>
      <c r="CQ95" s="246">
        <v>0.4</v>
      </c>
      <c r="CR95" s="246">
        <v>1.1000000000000001</v>
      </c>
      <c r="CS95" s="246">
        <v>0.42</v>
      </c>
      <c r="CT95" s="246">
        <v>0.94</v>
      </c>
      <c r="CU95" s="246">
        <v>0.88</v>
      </c>
      <c r="CV95" s="248">
        <v>0.27</v>
      </c>
      <c r="CW95" s="248">
        <v>-0.28000000000000003</v>
      </c>
      <c r="CX95" s="248">
        <v>0</v>
      </c>
      <c r="CY95" s="248">
        <v>0.49</v>
      </c>
      <c r="CZ95" s="248">
        <v>0.33</v>
      </c>
      <c r="DA95" s="246" t="s">
        <v>384</v>
      </c>
      <c r="DB95" s="246" t="s">
        <v>384</v>
      </c>
      <c r="DC95" s="248">
        <v>1.47</v>
      </c>
      <c r="DD95" s="248">
        <v>20.059999999999999</v>
      </c>
      <c r="DE95" s="246" t="s">
        <v>384</v>
      </c>
      <c r="DF95" s="248">
        <v>0</v>
      </c>
      <c r="DG95" s="248">
        <v>1.01</v>
      </c>
      <c r="DH95" s="248">
        <v>14.46</v>
      </c>
      <c r="DI95" s="248">
        <v>1.25</v>
      </c>
      <c r="DJ95" s="247">
        <v>-5.3600000000000002E-2</v>
      </c>
      <c r="DK95" s="247">
        <v>4.6899999999999997E-2</v>
      </c>
      <c r="DL95" s="246">
        <v>16.05</v>
      </c>
      <c r="DM95" s="246">
        <v>0.46</v>
      </c>
      <c r="DN95" s="246">
        <v>11.28</v>
      </c>
      <c r="DO95" s="246">
        <v>0.27</v>
      </c>
      <c r="DP95" s="247">
        <v>2.1000000000000001E-2</v>
      </c>
      <c r="DQ95" s="246" t="s">
        <v>1507</v>
      </c>
      <c r="DR95" s="246" t="s">
        <v>1155</v>
      </c>
      <c r="DS95" s="246" t="s">
        <v>1022</v>
      </c>
      <c r="DT95" s="246" t="e">
        <v>#REF!</v>
      </c>
      <c r="DU95" s="246" t="s">
        <v>388</v>
      </c>
      <c r="DV95" s="246" t="s">
        <v>1337</v>
      </c>
      <c r="DW95" s="246" t="s">
        <v>1508</v>
      </c>
      <c r="DX95" s="246" t="s">
        <v>388</v>
      </c>
      <c r="DY95" s="246" t="s">
        <v>1509</v>
      </c>
      <c r="DZ95" s="246">
        <v>54</v>
      </c>
      <c r="EA95" s="247">
        <v>-0.1532</v>
      </c>
      <c r="EB95" s="247">
        <v>7.9799999999999996E-2</v>
      </c>
      <c r="EC95" s="247">
        <v>-0.24629999999999999</v>
      </c>
      <c r="ED95" s="247">
        <v>-0.24179999999999999</v>
      </c>
      <c r="EE95" s="247">
        <v>-0.47749999999999998</v>
      </c>
      <c r="EF95" s="247">
        <v>1.3706</v>
      </c>
      <c r="EG95" s="247">
        <v>-2.6412</v>
      </c>
      <c r="EH95" s="247">
        <v>0.125</v>
      </c>
      <c r="EI95" s="246" t="s">
        <v>1510</v>
      </c>
      <c r="EJ95" s="234">
        <v>1.01</v>
      </c>
      <c r="EK95" s="234">
        <v>-8.98</v>
      </c>
      <c r="EL95" s="234" t="s">
        <v>1332</v>
      </c>
      <c r="EM95" s="234" t="s">
        <v>1376</v>
      </c>
      <c r="EN95" s="234" t="s">
        <v>1389</v>
      </c>
      <c r="EO95" s="234" t="s">
        <v>1284</v>
      </c>
      <c r="EP95" s="234" t="s">
        <v>376</v>
      </c>
      <c r="EQ95" s="234" t="s">
        <v>377</v>
      </c>
      <c r="ER95" s="234">
        <v>0</v>
      </c>
      <c r="ES95" s="249">
        <v>0.17749999999999999</v>
      </c>
      <c r="ET95" s="234" t="s">
        <v>384</v>
      </c>
      <c r="EU95" s="250">
        <v>8.06</v>
      </c>
      <c r="EV95" s="234" t="s">
        <v>491</v>
      </c>
      <c r="EW95" s="250">
        <v>0</v>
      </c>
      <c r="EX95" s="250">
        <v>0</v>
      </c>
      <c r="EY95" s="250">
        <v>41.6</v>
      </c>
      <c r="EZ95" s="250">
        <v>58.7</v>
      </c>
      <c r="FA95" s="250">
        <v>22.2</v>
      </c>
      <c r="FB95" s="250">
        <v>18.3</v>
      </c>
      <c r="FC95" s="250">
        <v>0</v>
      </c>
      <c r="FD95" s="249">
        <v>0</v>
      </c>
      <c r="FE95" s="250">
        <v>0</v>
      </c>
      <c r="FF95" s="250">
        <v>0</v>
      </c>
    </row>
    <row r="96" spans="1:162">
      <c r="A96" s="234" t="s">
        <v>1511</v>
      </c>
      <c r="B96" s="234" t="s">
        <v>1512</v>
      </c>
      <c r="C96" s="246" t="s">
        <v>401</v>
      </c>
      <c r="D96" s="246" t="s">
        <v>362</v>
      </c>
      <c r="E96" s="246">
        <v>4210</v>
      </c>
      <c r="F96" s="246" t="s">
        <v>642</v>
      </c>
      <c r="G96" s="246" t="s">
        <v>417</v>
      </c>
      <c r="H96" s="246" t="s">
        <v>642</v>
      </c>
      <c r="I96" s="246">
        <v>0.66930000000000001</v>
      </c>
      <c r="J96" s="246">
        <v>0.80889999999999995</v>
      </c>
      <c r="K96" s="247">
        <v>7.0800000000000002E-2</v>
      </c>
      <c r="L96" s="247">
        <v>9.6799999999999997E-2</v>
      </c>
      <c r="M96" s="246" t="s">
        <v>384</v>
      </c>
      <c r="N96" s="247">
        <v>2.98E-2</v>
      </c>
      <c r="O96" s="247">
        <v>6.93E-2</v>
      </c>
      <c r="P96" s="247">
        <v>4.8500000000000001E-2</v>
      </c>
      <c r="Q96" s="247">
        <v>8.5699999999999998E-2</v>
      </c>
      <c r="R96" s="246" t="s">
        <v>384</v>
      </c>
      <c r="S96" s="247">
        <v>0.47589999999999999</v>
      </c>
      <c r="T96" s="248">
        <v>10.199999999999999</v>
      </c>
      <c r="U96" s="248">
        <v>0</v>
      </c>
      <c r="V96" s="248">
        <v>3.04</v>
      </c>
      <c r="W96" s="248">
        <v>3.04</v>
      </c>
      <c r="X96" s="248">
        <v>13.24</v>
      </c>
      <c r="Y96" s="248">
        <v>0</v>
      </c>
      <c r="Z96" s="248">
        <v>13.24</v>
      </c>
      <c r="AA96" s="247">
        <v>0</v>
      </c>
      <c r="AB96" s="246">
        <v>0.6</v>
      </c>
      <c r="AC96" s="246" t="s">
        <v>384</v>
      </c>
      <c r="AD96" s="247">
        <v>0.2296</v>
      </c>
      <c r="AE96" s="246" t="s">
        <v>384</v>
      </c>
      <c r="AF96" s="247">
        <v>0.29799999999999999</v>
      </c>
      <c r="AG96" s="248">
        <v>0.75</v>
      </c>
      <c r="AH96" s="246">
        <v>69.06</v>
      </c>
      <c r="AI96" s="246" t="s">
        <v>384</v>
      </c>
      <c r="AJ96" s="246" t="s">
        <v>384</v>
      </c>
      <c r="AK96" s="246" t="s">
        <v>384</v>
      </c>
      <c r="AL96" s="246" t="s">
        <v>384</v>
      </c>
      <c r="AM96" s="246">
        <v>0.2</v>
      </c>
      <c r="AN96" s="233">
        <v>3.15</v>
      </c>
      <c r="AO96" s="246">
        <v>9.5299999999999994</v>
      </c>
      <c r="AP96" s="246">
        <v>9.5299999999999994</v>
      </c>
      <c r="AQ96" s="246" t="s">
        <v>384</v>
      </c>
      <c r="AR96" s="246" t="s">
        <v>384</v>
      </c>
      <c r="AS96" s="246" t="s">
        <v>384</v>
      </c>
      <c r="AT96" s="246" t="s">
        <v>384</v>
      </c>
      <c r="AU96" s="246">
        <v>0.73</v>
      </c>
      <c r="AV96" s="246">
        <v>0.34</v>
      </c>
      <c r="AW96" s="246">
        <v>6.93</v>
      </c>
      <c r="AX96" s="246">
        <v>5.45</v>
      </c>
      <c r="AY96" s="246">
        <v>4.3600000000000003</v>
      </c>
      <c r="AZ96" s="246">
        <v>0.44</v>
      </c>
      <c r="BA96" s="247">
        <v>0</v>
      </c>
      <c r="BB96" s="247">
        <v>0</v>
      </c>
      <c r="BC96" s="247">
        <v>0.17649999999999999</v>
      </c>
      <c r="BD96" s="247">
        <v>3.5310000000000001</v>
      </c>
      <c r="BE96" s="246" t="s">
        <v>384</v>
      </c>
      <c r="BF96" s="247">
        <v>0.15</v>
      </c>
      <c r="BG96" s="246" t="s">
        <v>384</v>
      </c>
      <c r="BH96" s="246" t="s">
        <v>384</v>
      </c>
      <c r="BI96" s="246" t="s">
        <v>384</v>
      </c>
      <c r="BJ96" s="246" t="s">
        <v>384</v>
      </c>
      <c r="BK96" s="247">
        <v>0.56159999999999999</v>
      </c>
      <c r="BL96" s="246">
        <v>12.09</v>
      </c>
      <c r="BM96" s="247">
        <v>3.5499999999999997E-2</v>
      </c>
      <c r="BN96" s="247">
        <v>6.3500000000000001E-2</v>
      </c>
      <c r="BO96" s="247">
        <v>0.96679999999999999</v>
      </c>
      <c r="BP96" s="247">
        <v>0.3</v>
      </c>
      <c r="BQ96" s="247">
        <v>0.26779999999999998</v>
      </c>
      <c r="BR96" s="246" t="s">
        <v>384</v>
      </c>
      <c r="BS96" s="248">
        <v>1.07</v>
      </c>
      <c r="BT96" s="248">
        <v>1.07</v>
      </c>
      <c r="BU96" s="248">
        <v>1.91</v>
      </c>
      <c r="BV96" s="248">
        <v>1.91</v>
      </c>
      <c r="BW96" s="248">
        <v>29.1</v>
      </c>
      <c r="BX96" s="248">
        <v>30.1</v>
      </c>
      <c r="BY96" s="248">
        <v>30.1</v>
      </c>
      <c r="BZ96" s="248">
        <v>2.4300000000000002</v>
      </c>
      <c r="CA96" s="248">
        <v>2.4300000000000002</v>
      </c>
      <c r="CB96" s="248">
        <v>1.4</v>
      </c>
      <c r="CC96" s="248">
        <v>0.52</v>
      </c>
      <c r="CD96" s="248">
        <v>0.7</v>
      </c>
      <c r="CE96" s="248">
        <v>0</v>
      </c>
      <c r="CF96" s="247">
        <v>0</v>
      </c>
      <c r="CG96" s="248">
        <v>0.09</v>
      </c>
      <c r="CH96" s="247">
        <v>0.5635</v>
      </c>
      <c r="CI96" s="248">
        <v>0.61</v>
      </c>
      <c r="CJ96" s="248">
        <v>-0.24</v>
      </c>
      <c r="CK96" s="248">
        <v>0.28000000000000003</v>
      </c>
      <c r="CL96" s="248">
        <v>0</v>
      </c>
      <c r="CM96" s="248">
        <v>2.4900000000000002</v>
      </c>
      <c r="CN96" s="248">
        <v>0</v>
      </c>
      <c r="CO96" s="248">
        <v>3.04</v>
      </c>
      <c r="CP96" s="248">
        <v>0</v>
      </c>
      <c r="CQ96" s="246" t="s">
        <v>384</v>
      </c>
      <c r="CR96" s="246" t="s">
        <v>384</v>
      </c>
      <c r="CS96" s="246">
        <v>0.42</v>
      </c>
      <c r="CT96" s="246" t="s">
        <v>384</v>
      </c>
      <c r="CU96" s="246" t="s">
        <v>384</v>
      </c>
      <c r="CV96" s="246" t="s">
        <v>384</v>
      </c>
      <c r="CW96" s="246" t="s">
        <v>384</v>
      </c>
      <c r="CX96" s="248">
        <v>0</v>
      </c>
      <c r="CY96" s="248">
        <v>1.46</v>
      </c>
      <c r="CZ96" s="248">
        <v>0.39</v>
      </c>
      <c r="DA96" s="248">
        <v>1.07</v>
      </c>
      <c r="DB96" s="248">
        <v>10.199999999999999</v>
      </c>
      <c r="DC96" s="248">
        <v>2.4300000000000002</v>
      </c>
      <c r="DD96" s="248">
        <v>13.24</v>
      </c>
      <c r="DE96" s="246" t="s">
        <v>384</v>
      </c>
      <c r="DF96" s="248">
        <v>0</v>
      </c>
      <c r="DG96" s="248">
        <v>1.91</v>
      </c>
      <c r="DH96" s="248">
        <v>3.04</v>
      </c>
      <c r="DI96" s="248">
        <v>2.4300000000000002</v>
      </c>
      <c r="DJ96" s="246" t="s">
        <v>384</v>
      </c>
      <c r="DK96" s="247">
        <v>0.56159999999999999</v>
      </c>
      <c r="DL96" s="246">
        <v>5.45</v>
      </c>
      <c r="DM96" s="246">
        <v>0.52</v>
      </c>
      <c r="DN96" s="246" t="s">
        <v>384</v>
      </c>
      <c r="DO96" s="246" t="s">
        <v>384</v>
      </c>
      <c r="DP96" s="246" t="s">
        <v>384</v>
      </c>
      <c r="DQ96" s="246" t="s">
        <v>1387</v>
      </c>
      <c r="DR96" s="246" t="s">
        <v>1292</v>
      </c>
      <c r="DS96" s="246" t="s">
        <v>790</v>
      </c>
      <c r="DT96" s="246" t="e">
        <v>#REF!</v>
      </c>
      <c r="DU96" s="246" t="s">
        <v>388</v>
      </c>
      <c r="DV96" s="246" t="s">
        <v>1513</v>
      </c>
      <c r="DW96" s="246" t="s">
        <v>1514</v>
      </c>
      <c r="DX96" s="246" t="s">
        <v>1073</v>
      </c>
      <c r="DY96" s="246" t="s">
        <v>377</v>
      </c>
      <c r="DZ96" s="246">
        <v>8</v>
      </c>
      <c r="EA96" s="247">
        <v>4.9000000000000002E-2</v>
      </c>
      <c r="EB96" s="247">
        <v>0.15890000000000001</v>
      </c>
      <c r="EC96" s="247">
        <v>-0.121</v>
      </c>
      <c r="ED96" s="247">
        <v>-6.4199999999999993E-2</v>
      </c>
      <c r="EE96" s="247">
        <v>0</v>
      </c>
      <c r="EF96" s="247">
        <v>1.6875</v>
      </c>
      <c r="EG96" s="247">
        <v>-0.1661</v>
      </c>
      <c r="EH96" s="247">
        <v>6.3E-2</v>
      </c>
      <c r="EI96" s="246" t="s">
        <v>1515</v>
      </c>
      <c r="EJ96" s="234">
        <v>1.91</v>
      </c>
      <c r="EK96" s="234">
        <v>-1.86</v>
      </c>
      <c r="EL96" s="234" t="s">
        <v>1516</v>
      </c>
      <c r="EM96" s="234" t="s">
        <v>1517</v>
      </c>
      <c r="EN96" s="234" t="s">
        <v>749</v>
      </c>
      <c r="EO96" s="234" t="s">
        <v>1455</v>
      </c>
      <c r="EP96" s="234" t="s">
        <v>376</v>
      </c>
      <c r="EQ96" s="234" t="s">
        <v>377</v>
      </c>
      <c r="ER96" s="234">
        <v>1</v>
      </c>
      <c r="ES96" s="249">
        <v>0.39100000000000001</v>
      </c>
      <c r="ET96" s="234" t="s">
        <v>384</v>
      </c>
      <c r="EU96" s="250">
        <v>30.1</v>
      </c>
      <c r="EV96" s="234" t="s">
        <v>491</v>
      </c>
      <c r="EW96" s="250">
        <v>32.1</v>
      </c>
      <c r="EX96" s="250">
        <v>13.5</v>
      </c>
      <c r="EY96" s="250">
        <v>13.1</v>
      </c>
      <c r="EZ96" s="250">
        <v>23.1</v>
      </c>
      <c r="FA96" s="250">
        <v>10.199999999999999</v>
      </c>
      <c r="FB96" s="250">
        <v>8.67</v>
      </c>
      <c r="FC96" s="250">
        <v>0</v>
      </c>
      <c r="FD96" s="249">
        <v>0</v>
      </c>
      <c r="FE96" s="250">
        <v>0</v>
      </c>
      <c r="FF96" s="250">
        <v>1.03</v>
      </c>
    </row>
    <row r="97" spans="1:162">
      <c r="A97" s="234" t="s">
        <v>1518</v>
      </c>
      <c r="B97" s="234" t="s">
        <v>1519</v>
      </c>
      <c r="C97" s="246" t="s">
        <v>401</v>
      </c>
      <c r="D97" s="246" t="s">
        <v>362</v>
      </c>
      <c r="E97" s="246">
        <v>4210</v>
      </c>
      <c r="F97" s="246" t="s">
        <v>642</v>
      </c>
      <c r="G97" s="246" t="s">
        <v>417</v>
      </c>
      <c r="H97" s="246" t="s">
        <v>642</v>
      </c>
      <c r="I97" s="246">
        <v>0.66930000000000001</v>
      </c>
      <c r="J97" s="246">
        <v>0.80210000000000004</v>
      </c>
      <c r="K97" s="247">
        <v>7.0800000000000002E-2</v>
      </c>
      <c r="L97" s="247">
        <v>9.6299999999999997E-2</v>
      </c>
      <c r="M97" s="246" t="s">
        <v>384</v>
      </c>
      <c r="N97" s="247">
        <v>2.76E-2</v>
      </c>
      <c r="O97" s="247">
        <v>6.7100000000000007E-2</v>
      </c>
      <c r="P97" s="247">
        <v>4.7E-2</v>
      </c>
      <c r="Q97" s="247">
        <v>8.5400000000000004E-2</v>
      </c>
      <c r="R97" s="247">
        <v>-6.0299999999999999E-2</v>
      </c>
      <c r="S97" s="247">
        <v>-7.46E-2</v>
      </c>
      <c r="T97" s="248">
        <v>10.199999999999999</v>
      </c>
      <c r="U97" s="248">
        <v>0</v>
      </c>
      <c r="V97" s="248">
        <v>2.89</v>
      </c>
      <c r="W97" s="248">
        <v>2.89</v>
      </c>
      <c r="X97" s="248">
        <v>13.09</v>
      </c>
      <c r="Y97" s="248">
        <v>0.63</v>
      </c>
      <c r="Z97" s="248">
        <v>12.46</v>
      </c>
      <c r="AA97" s="247">
        <v>4.8300000000000003E-2</v>
      </c>
      <c r="AB97" s="246">
        <v>0.2</v>
      </c>
      <c r="AC97" s="247">
        <v>0.27710000000000001</v>
      </c>
      <c r="AD97" s="247">
        <v>0.2208</v>
      </c>
      <c r="AE97" s="247">
        <v>0.38329999999999997</v>
      </c>
      <c r="AF97" s="247">
        <v>0.2833</v>
      </c>
      <c r="AG97" s="248">
        <v>0.08</v>
      </c>
      <c r="AH97" s="246">
        <v>69.06</v>
      </c>
      <c r="AI97" s="247">
        <v>6.7500000000000004E-2</v>
      </c>
      <c r="AJ97" s="246">
        <v>0.4</v>
      </c>
      <c r="AK97" s="247">
        <v>4.4699999999999997E-2</v>
      </c>
      <c r="AL97" s="247">
        <v>0.40789999999999998</v>
      </c>
      <c r="AM97" s="246">
        <v>0.39</v>
      </c>
      <c r="AN97" s="233">
        <v>0.48</v>
      </c>
      <c r="AO97" s="246">
        <v>70.34</v>
      </c>
      <c r="AP97" s="246">
        <v>45.33</v>
      </c>
      <c r="AQ97" s="246">
        <v>22.89</v>
      </c>
      <c r="AR97" s="246" t="s">
        <v>384</v>
      </c>
      <c r="AS97" s="246" t="s">
        <v>384</v>
      </c>
      <c r="AT97" s="246">
        <v>1.35</v>
      </c>
      <c r="AU97" s="246">
        <v>1.86</v>
      </c>
      <c r="AV97" s="246">
        <v>1.1399999999999999</v>
      </c>
      <c r="AW97" s="246">
        <v>102.96</v>
      </c>
      <c r="AX97" s="246">
        <v>44.18</v>
      </c>
      <c r="AY97" s="246">
        <v>1.27</v>
      </c>
      <c r="AZ97" s="246">
        <v>1.39</v>
      </c>
      <c r="BA97" s="247">
        <v>0</v>
      </c>
      <c r="BB97" s="247">
        <v>0</v>
      </c>
      <c r="BC97" s="247">
        <v>-0.1053</v>
      </c>
      <c r="BD97" s="246" t="s">
        <v>384</v>
      </c>
      <c r="BE97" s="246" t="s">
        <v>384</v>
      </c>
      <c r="BF97" s="247">
        <v>-0.11</v>
      </c>
      <c r="BG97" s="247">
        <v>-9.9000000000000005E-2</v>
      </c>
      <c r="BH97" s="246" t="s">
        <v>384</v>
      </c>
      <c r="BI97" s="246" t="s">
        <v>384</v>
      </c>
      <c r="BJ97" s="247">
        <v>3.5900000000000001E-2</v>
      </c>
      <c r="BK97" s="247">
        <v>1.0800000000000001E-2</v>
      </c>
      <c r="BL97" s="246">
        <v>0.93</v>
      </c>
      <c r="BM97" s="247">
        <v>2.6700000000000002E-2</v>
      </c>
      <c r="BN97" s="247">
        <v>1.44E-2</v>
      </c>
      <c r="BO97" s="247">
        <v>0.1069</v>
      </c>
      <c r="BP97" s="247">
        <v>0.3</v>
      </c>
      <c r="BQ97" s="247">
        <v>0.18479999999999999</v>
      </c>
      <c r="BR97" s="246" t="s">
        <v>384</v>
      </c>
      <c r="BS97" s="248">
        <v>0.15</v>
      </c>
      <c r="BT97" s="248">
        <v>0.23</v>
      </c>
      <c r="BU97" s="248">
        <v>0.12</v>
      </c>
      <c r="BV97" s="248">
        <v>0.12</v>
      </c>
      <c r="BW97" s="248">
        <v>0.9</v>
      </c>
      <c r="BX97" s="248">
        <v>8.9700000000000006</v>
      </c>
      <c r="BY97" s="248">
        <v>8.42</v>
      </c>
      <c r="BZ97" s="248">
        <v>0.51</v>
      </c>
      <c r="CA97" s="248">
        <v>0.28000000000000003</v>
      </c>
      <c r="CB97" s="248">
        <v>0.1</v>
      </c>
      <c r="CC97" s="248">
        <v>0.26</v>
      </c>
      <c r="CD97" s="248">
        <v>0.04</v>
      </c>
      <c r="CE97" s="248">
        <v>3.56</v>
      </c>
      <c r="CF97" s="247">
        <v>0.42299999999999999</v>
      </c>
      <c r="CG97" s="248">
        <v>0.15</v>
      </c>
      <c r="CH97" s="247">
        <v>1.8552</v>
      </c>
      <c r="CI97" s="248">
        <v>-0.08</v>
      </c>
      <c r="CJ97" s="248">
        <v>-0.22</v>
      </c>
      <c r="CK97" s="248">
        <v>0.04</v>
      </c>
      <c r="CL97" s="248">
        <v>6.26</v>
      </c>
      <c r="CM97" s="248">
        <v>9.1</v>
      </c>
      <c r="CN97" s="248">
        <v>7.54</v>
      </c>
      <c r="CO97" s="248">
        <v>9.8000000000000007</v>
      </c>
      <c r="CP97" s="248">
        <v>0</v>
      </c>
      <c r="CQ97" s="246">
        <v>0.15</v>
      </c>
      <c r="CR97" s="246">
        <v>0.2</v>
      </c>
      <c r="CS97" s="246">
        <v>0.42</v>
      </c>
      <c r="CT97" s="246">
        <v>1.07</v>
      </c>
      <c r="CU97" s="246">
        <v>1.39</v>
      </c>
      <c r="CV97" s="248">
        <v>0.78</v>
      </c>
      <c r="CW97" s="248">
        <v>0.3</v>
      </c>
      <c r="CX97" s="248">
        <v>0</v>
      </c>
      <c r="CY97" s="248">
        <v>0.28000000000000003</v>
      </c>
      <c r="CZ97" s="248">
        <v>0.05</v>
      </c>
      <c r="DA97" s="248">
        <v>0.23</v>
      </c>
      <c r="DB97" s="248">
        <v>10.199999999999999</v>
      </c>
      <c r="DC97" s="248">
        <v>0.28000000000000003</v>
      </c>
      <c r="DD97" s="248">
        <v>12.46</v>
      </c>
      <c r="DE97" s="246" t="s">
        <v>384</v>
      </c>
      <c r="DF97" s="248">
        <v>0</v>
      </c>
      <c r="DG97" s="248">
        <v>0.12</v>
      </c>
      <c r="DH97" s="248">
        <v>9.8000000000000007</v>
      </c>
      <c r="DI97" s="248">
        <v>0.51</v>
      </c>
      <c r="DJ97" s="247">
        <v>3.5900000000000001E-2</v>
      </c>
      <c r="DK97" s="247">
        <v>1.0800000000000001E-2</v>
      </c>
      <c r="DL97" s="246">
        <v>24.48</v>
      </c>
      <c r="DM97" s="246">
        <v>0.16</v>
      </c>
      <c r="DN97" s="246">
        <v>13.36</v>
      </c>
      <c r="DO97" s="246">
        <v>0.78</v>
      </c>
      <c r="DP97" s="247">
        <v>6.7400000000000002E-2</v>
      </c>
      <c r="DQ97" s="248">
        <v>-0.46</v>
      </c>
      <c r="DR97" s="246" t="s">
        <v>644</v>
      </c>
      <c r="DS97" s="246" t="s">
        <v>1469</v>
      </c>
      <c r="DT97" s="246" t="e">
        <v>#REF!</v>
      </c>
      <c r="DU97" s="246" t="s">
        <v>1520</v>
      </c>
      <c r="DV97" s="246" t="s">
        <v>1521</v>
      </c>
      <c r="DW97" s="246" t="s">
        <v>1481</v>
      </c>
      <c r="DX97" s="246" t="s">
        <v>1522</v>
      </c>
      <c r="DY97" s="246" t="s">
        <v>1523</v>
      </c>
      <c r="DZ97" s="246">
        <v>25</v>
      </c>
      <c r="EA97" s="247">
        <v>-0.31209999999999999</v>
      </c>
      <c r="EB97" s="247">
        <v>-8.3999999999999995E-3</v>
      </c>
      <c r="EC97" s="247">
        <v>-7.6300000000000007E-2</v>
      </c>
      <c r="ED97" s="247">
        <v>-6.4199999999999993E-2</v>
      </c>
      <c r="EE97" s="247">
        <v>-0.41039999999999999</v>
      </c>
      <c r="EF97" s="247">
        <v>-1.8599999999999998E-2</v>
      </c>
      <c r="EG97" s="247">
        <v>1.4500000000000001E-2</v>
      </c>
      <c r="EH97" s="247">
        <v>1.4E-2</v>
      </c>
      <c r="EI97" s="248">
        <v>-0.46</v>
      </c>
      <c r="EJ97" s="234">
        <v>0.12</v>
      </c>
      <c r="EK97" s="234">
        <v>0.12</v>
      </c>
      <c r="EL97" s="234" t="s">
        <v>1409</v>
      </c>
      <c r="EM97" s="234" t="s">
        <v>1524</v>
      </c>
      <c r="EN97" s="234" t="s">
        <v>1525</v>
      </c>
      <c r="EO97" s="234" t="s">
        <v>1455</v>
      </c>
      <c r="EP97" s="234" t="s">
        <v>376</v>
      </c>
      <c r="EQ97" s="234" t="s">
        <v>377</v>
      </c>
      <c r="ER97" s="234">
        <v>1</v>
      </c>
      <c r="ES97" s="249">
        <v>-0.1341</v>
      </c>
      <c r="ET97" s="234" t="s">
        <v>384</v>
      </c>
      <c r="EU97" s="250">
        <v>8.42</v>
      </c>
      <c r="EV97" s="234" t="s">
        <v>491</v>
      </c>
      <c r="EW97" s="250">
        <v>31.2</v>
      </c>
      <c r="EX97" s="250">
        <v>12.9</v>
      </c>
      <c r="EY97" s="250">
        <v>6.46</v>
      </c>
      <c r="EZ97" s="250">
        <v>8.9600000000000009</v>
      </c>
      <c r="FA97" s="250">
        <v>17.3</v>
      </c>
      <c r="FB97" s="250">
        <v>11.4</v>
      </c>
      <c r="FC97" s="250">
        <v>0</v>
      </c>
      <c r="FD97" s="249">
        <v>0</v>
      </c>
      <c r="FE97" s="250">
        <v>0</v>
      </c>
      <c r="FF97" s="250">
        <v>0</v>
      </c>
    </row>
    <row r="98" spans="1:162">
      <c r="A98" s="234" t="s">
        <v>1526</v>
      </c>
      <c r="B98" s="234" t="s">
        <v>1527</v>
      </c>
      <c r="C98" s="246" t="s">
        <v>401</v>
      </c>
      <c r="D98" s="246" t="s">
        <v>362</v>
      </c>
      <c r="E98" s="246">
        <v>4210</v>
      </c>
      <c r="F98" s="246" t="s">
        <v>1381</v>
      </c>
      <c r="G98" s="246" t="s">
        <v>417</v>
      </c>
      <c r="H98" s="246" t="s">
        <v>1382</v>
      </c>
      <c r="I98" s="246">
        <v>0.66930000000000001</v>
      </c>
      <c r="J98" s="246">
        <v>0.66930000000000001</v>
      </c>
      <c r="K98" s="247">
        <v>8.8900000000000007E-2</v>
      </c>
      <c r="L98" s="247">
        <v>9.9000000000000005E-2</v>
      </c>
      <c r="M98" s="246" t="s">
        <v>384</v>
      </c>
      <c r="N98" s="247">
        <v>4.1700000000000001E-2</v>
      </c>
      <c r="O98" s="247">
        <v>8.1199999999999994E-2</v>
      </c>
      <c r="P98" s="247">
        <v>6.5000000000000002E-2</v>
      </c>
      <c r="Q98" s="247">
        <v>9.9000000000000005E-2</v>
      </c>
      <c r="R98" s="247">
        <v>-3.6200000000000003E-2</v>
      </c>
      <c r="S98" s="247">
        <v>-8.4699999999999998E-2</v>
      </c>
      <c r="T98" s="248">
        <v>8.89</v>
      </c>
      <c r="U98" s="248">
        <v>0</v>
      </c>
      <c r="V98" s="248">
        <v>0</v>
      </c>
      <c r="W98" s="248">
        <v>0</v>
      </c>
      <c r="X98" s="248">
        <v>8.89</v>
      </c>
      <c r="Y98" s="248">
        <v>2.2599999999999998</v>
      </c>
      <c r="Z98" s="248">
        <v>6.63</v>
      </c>
      <c r="AA98" s="247">
        <v>0.25419999999999998</v>
      </c>
      <c r="AB98" s="246">
        <v>0.82</v>
      </c>
      <c r="AC98" s="247">
        <v>0</v>
      </c>
      <c r="AD98" s="247">
        <v>0</v>
      </c>
      <c r="AE98" s="247">
        <v>0</v>
      </c>
      <c r="AF98" s="247">
        <v>0</v>
      </c>
      <c r="AG98" s="248">
        <v>1.27</v>
      </c>
      <c r="AH98" s="246">
        <v>69.06</v>
      </c>
      <c r="AI98" s="247">
        <v>0.15720000000000001</v>
      </c>
      <c r="AJ98" s="246">
        <v>-0.02</v>
      </c>
      <c r="AK98" s="246" t="s">
        <v>384</v>
      </c>
      <c r="AL98" s="246" t="s">
        <v>384</v>
      </c>
      <c r="AM98" s="246">
        <v>0.26</v>
      </c>
      <c r="AN98" s="233">
        <v>127</v>
      </c>
      <c r="AO98" s="246" t="s">
        <v>384</v>
      </c>
      <c r="AP98" s="246">
        <v>14.36</v>
      </c>
      <c r="AQ98" s="246" t="s">
        <v>384</v>
      </c>
      <c r="AR98" s="246" t="s">
        <v>384</v>
      </c>
      <c r="AS98" s="246" t="s">
        <v>384</v>
      </c>
      <c r="AT98" s="246">
        <v>0.85</v>
      </c>
      <c r="AU98" s="246">
        <v>0.65</v>
      </c>
      <c r="AV98" s="246">
        <v>1.57</v>
      </c>
      <c r="AW98" s="246">
        <v>52.2</v>
      </c>
      <c r="AX98" s="246">
        <v>10</v>
      </c>
      <c r="AY98" s="246">
        <v>0.81</v>
      </c>
      <c r="AZ98" s="246">
        <v>1.17</v>
      </c>
      <c r="BA98" s="247">
        <v>0</v>
      </c>
      <c r="BB98" s="247">
        <v>0</v>
      </c>
      <c r="BC98" s="247">
        <v>0.37190000000000001</v>
      </c>
      <c r="BD98" s="246" t="s">
        <v>384</v>
      </c>
      <c r="BE98" s="246" t="s">
        <v>384</v>
      </c>
      <c r="BF98" s="247">
        <v>0.19400000000000001</v>
      </c>
      <c r="BG98" s="247">
        <v>3.7199999999999997E-2</v>
      </c>
      <c r="BH98" s="246" t="s">
        <v>384</v>
      </c>
      <c r="BI98" s="246" t="s">
        <v>384</v>
      </c>
      <c r="BJ98" s="247">
        <v>6.2799999999999995E-2</v>
      </c>
      <c r="BK98" s="247">
        <v>1.43E-2</v>
      </c>
      <c r="BL98" s="246">
        <v>0.79</v>
      </c>
      <c r="BM98" s="247">
        <v>8.8300000000000003E-2</v>
      </c>
      <c r="BN98" s="247">
        <v>1.8100000000000002E-2</v>
      </c>
      <c r="BO98" s="247">
        <v>0.26529999999999998</v>
      </c>
      <c r="BP98" s="247">
        <v>0.2</v>
      </c>
      <c r="BQ98" s="247">
        <v>0</v>
      </c>
      <c r="BR98" s="247">
        <v>0.17810000000000001</v>
      </c>
      <c r="BS98" s="248">
        <v>-0.28000000000000003</v>
      </c>
      <c r="BT98" s="248">
        <v>0.62</v>
      </c>
      <c r="BU98" s="248">
        <v>0.13</v>
      </c>
      <c r="BV98" s="248">
        <v>0.13</v>
      </c>
      <c r="BW98" s="248">
        <v>1.86</v>
      </c>
      <c r="BX98" s="248">
        <v>5.68</v>
      </c>
      <c r="BY98" s="248">
        <v>7.01</v>
      </c>
      <c r="BZ98" s="248">
        <v>0.44</v>
      </c>
      <c r="CA98" s="248">
        <v>0.66</v>
      </c>
      <c r="CB98" s="248">
        <v>0.13</v>
      </c>
      <c r="CC98" s="248">
        <v>0</v>
      </c>
      <c r="CD98" s="248">
        <v>-0.06</v>
      </c>
      <c r="CE98" s="248">
        <v>2.57</v>
      </c>
      <c r="CF98" s="247">
        <v>0.36680000000000001</v>
      </c>
      <c r="CG98" s="248">
        <v>0.28000000000000003</v>
      </c>
      <c r="CH98" s="247">
        <v>1.6929000000000001</v>
      </c>
      <c r="CI98" s="248">
        <v>-0.09</v>
      </c>
      <c r="CJ98" s="248">
        <v>0.4</v>
      </c>
      <c r="CK98" s="248">
        <v>0.4</v>
      </c>
      <c r="CL98" s="248">
        <v>9.86</v>
      </c>
      <c r="CM98" s="248">
        <v>8.8699999999999992</v>
      </c>
      <c r="CN98" s="248">
        <v>10.4</v>
      </c>
      <c r="CO98" s="248">
        <v>8.14</v>
      </c>
      <c r="CP98" s="248">
        <v>0</v>
      </c>
      <c r="CQ98" s="246">
        <v>0.01</v>
      </c>
      <c r="CR98" s="246">
        <v>-0.03</v>
      </c>
      <c r="CS98" s="246">
        <v>0.42</v>
      </c>
      <c r="CT98" s="246">
        <v>1.24</v>
      </c>
      <c r="CU98" s="246">
        <v>1.32</v>
      </c>
      <c r="CV98" s="248">
        <v>-0.8</v>
      </c>
      <c r="CW98" s="248">
        <v>-1.17</v>
      </c>
      <c r="CX98" s="248">
        <v>0</v>
      </c>
      <c r="CY98" s="248">
        <v>0.43</v>
      </c>
      <c r="CZ98" s="246" t="s">
        <v>384</v>
      </c>
      <c r="DA98" s="248">
        <v>0.62</v>
      </c>
      <c r="DB98" s="248">
        <v>8.89</v>
      </c>
      <c r="DC98" s="248">
        <v>0.66</v>
      </c>
      <c r="DD98" s="248">
        <v>6.63</v>
      </c>
      <c r="DE98" s="246" t="s">
        <v>384</v>
      </c>
      <c r="DF98" s="248">
        <v>0</v>
      </c>
      <c r="DG98" s="248">
        <v>0.13</v>
      </c>
      <c r="DH98" s="248">
        <v>8.14</v>
      </c>
      <c r="DI98" s="248">
        <v>0.44</v>
      </c>
      <c r="DJ98" s="247">
        <v>6.2799999999999995E-2</v>
      </c>
      <c r="DK98" s="247">
        <v>1.43E-2</v>
      </c>
      <c r="DL98" s="246">
        <v>14.93</v>
      </c>
      <c r="DM98" s="246">
        <v>0.83</v>
      </c>
      <c r="DN98" s="246">
        <v>25.26</v>
      </c>
      <c r="DO98" s="246">
        <v>-0.8</v>
      </c>
      <c r="DP98" s="247">
        <v>-4.7600000000000003E-2</v>
      </c>
      <c r="DQ98" s="248">
        <v>-0.2</v>
      </c>
      <c r="DR98" s="246" t="s">
        <v>1528</v>
      </c>
      <c r="DS98" s="246" t="s">
        <v>644</v>
      </c>
      <c r="DT98" s="246" t="e">
        <v>#REF!</v>
      </c>
      <c r="DU98" s="246" t="s">
        <v>388</v>
      </c>
      <c r="DV98" s="246" t="s">
        <v>1529</v>
      </c>
      <c r="DW98" s="246" t="s">
        <v>1074</v>
      </c>
      <c r="DX98" s="246" t="s">
        <v>1373</v>
      </c>
      <c r="DY98" s="246" t="s">
        <v>1530</v>
      </c>
      <c r="DZ98" s="246">
        <v>41</v>
      </c>
      <c r="EA98" s="247">
        <v>0.17399999999999999</v>
      </c>
      <c r="EB98" s="246" t="s">
        <v>384</v>
      </c>
      <c r="EC98" s="246" t="s">
        <v>384</v>
      </c>
      <c r="ED98" s="247">
        <v>9.7500000000000003E-2</v>
      </c>
      <c r="EE98" s="247">
        <v>0.56240000000000001</v>
      </c>
      <c r="EF98" s="247">
        <v>3.85E-2</v>
      </c>
      <c r="EG98" s="247">
        <v>-1.5900000000000001E-2</v>
      </c>
      <c r="EH98" s="247">
        <v>1.7999999999999999E-2</v>
      </c>
      <c r="EI98" s="248">
        <v>-0.2</v>
      </c>
      <c r="EJ98" s="234">
        <v>0.13</v>
      </c>
      <c r="EK98" s="234">
        <v>-0.11</v>
      </c>
      <c r="EL98" s="234" t="s">
        <v>1531</v>
      </c>
      <c r="EM98" s="234" t="s">
        <v>1532</v>
      </c>
      <c r="EN98" s="234" t="s">
        <v>377</v>
      </c>
      <c r="EO98" s="234" t="s">
        <v>1533</v>
      </c>
      <c r="EP98" s="234" t="s">
        <v>376</v>
      </c>
      <c r="EQ98" s="234" t="s">
        <v>377</v>
      </c>
      <c r="ER98" s="234">
        <v>1</v>
      </c>
      <c r="ES98" s="249">
        <v>5.9499999999999997E-2</v>
      </c>
      <c r="ET98" s="234" t="s">
        <v>384</v>
      </c>
      <c r="EU98" s="250">
        <v>7.01</v>
      </c>
      <c r="EV98" s="234" t="s">
        <v>491</v>
      </c>
      <c r="EW98" s="250">
        <v>8.4499999999999993</v>
      </c>
      <c r="EX98" s="250">
        <v>4.5199999999999996</v>
      </c>
      <c r="EY98" s="250">
        <v>0</v>
      </c>
      <c r="EZ98" s="250">
        <v>4.51</v>
      </c>
      <c r="FA98" s="250">
        <v>5.69</v>
      </c>
      <c r="FB98" s="250">
        <v>6.48</v>
      </c>
      <c r="FC98" s="250">
        <v>0</v>
      </c>
      <c r="FD98" s="249">
        <v>0</v>
      </c>
      <c r="FE98" s="250">
        <v>0</v>
      </c>
      <c r="FF98" s="250">
        <v>0</v>
      </c>
    </row>
    <row r="99" spans="1:162">
      <c r="A99" s="234" t="s">
        <v>1534</v>
      </c>
      <c r="B99" s="234" t="s">
        <v>1535</v>
      </c>
      <c r="C99" s="246" t="s">
        <v>401</v>
      </c>
      <c r="D99" s="246" t="s">
        <v>362</v>
      </c>
      <c r="E99" s="246">
        <v>4210</v>
      </c>
      <c r="F99" s="246" t="s">
        <v>642</v>
      </c>
      <c r="G99" s="246" t="s">
        <v>417</v>
      </c>
      <c r="H99" s="246" t="s">
        <v>642</v>
      </c>
      <c r="I99" s="246">
        <v>0.66930000000000001</v>
      </c>
      <c r="J99" s="246">
        <v>0.66930000000000001</v>
      </c>
      <c r="K99" s="247">
        <v>7.0800000000000002E-2</v>
      </c>
      <c r="L99" s="247">
        <v>8.6900000000000005E-2</v>
      </c>
      <c r="M99" s="246" t="s">
        <v>384</v>
      </c>
      <c r="N99" s="247">
        <v>5.0799999999999998E-2</v>
      </c>
      <c r="O99" s="247">
        <v>9.0300000000000005E-2</v>
      </c>
      <c r="P99" s="247">
        <v>6.3200000000000006E-2</v>
      </c>
      <c r="Q99" s="247">
        <v>8.6900000000000005E-2</v>
      </c>
      <c r="R99" s="247">
        <v>-0.18690000000000001</v>
      </c>
      <c r="S99" s="247">
        <v>-0.18440000000000001</v>
      </c>
      <c r="T99" s="248">
        <v>8.65</v>
      </c>
      <c r="U99" s="248">
        <v>0</v>
      </c>
      <c r="V99" s="248">
        <v>0</v>
      </c>
      <c r="W99" s="248">
        <v>0</v>
      </c>
      <c r="X99" s="248">
        <v>8.65</v>
      </c>
      <c r="Y99" s="248">
        <v>0</v>
      </c>
      <c r="Z99" s="248">
        <v>8.65</v>
      </c>
      <c r="AA99" s="247">
        <v>2.0000000000000001E-4</v>
      </c>
      <c r="AB99" s="246">
        <v>0.25</v>
      </c>
      <c r="AC99" s="247">
        <v>0</v>
      </c>
      <c r="AD99" s="247">
        <v>0</v>
      </c>
      <c r="AE99" s="247">
        <v>0</v>
      </c>
      <c r="AF99" s="247">
        <v>0</v>
      </c>
      <c r="AG99" s="248">
        <v>8.74</v>
      </c>
      <c r="AH99" s="246">
        <v>69.06</v>
      </c>
      <c r="AI99" s="246" t="s">
        <v>384</v>
      </c>
      <c r="AJ99" s="246">
        <v>2.95</v>
      </c>
      <c r="AK99" s="247">
        <v>8.3699999999999997E-2</v>
      </c>
      <c r="AL99" s="247">
        <v>0.86919999999999997</v>
      </c>
      <c r="AM99" s="246">
        <v>0.93</v>
      </c>
      <c r="AN99" s="233" t="s">
        <v>384</v>
      </c>
      <c r="AO99" s="246" t="s">
        <v>384</v>
      </c>
      <c r="AP99" s="246" t="s">
        <v>384</v>
      </c>
      <c r="AQ99" s="246" t="s">
        <v>384</v>
      </c>
      <c r="AR99" s="246" t="s">
        <v>384</v>
      </c>
      <c r="AS99" s="246" t="s">
        <v>384</v>
      </c>
      <c r="AT99" s="246">
        <v>346</v>
      </c>
      <c r="AU99" s="246">
        <v>0</v>
      </c>
      <c r="AV99" s="246">
        <v>157.27000000000001</v>
      </c>
      <c r="AW99" s="246" t="s">
        <v>384</v>
      </c>
      <c r="AX99" s="246" t="s">
        <v>384</v>
      </c>
      <c r="AY99" s="246">
        <v>376</v>
      </c>
      <c r="AZ99" s="246">
        <v>157.24</v>
      </c>
      <c r="BA99" s="246" t="s">
        <v>384</v>
      </c>
      <c r="BB99" s="247">
        <v>0</v>
      </c>
      <c r="BC99" s="246" t="s">
        <v>384</v>
      </c>
      <c r="BD99" s="246" t="s">
        <v>384</v>
      </c>
      <c r="BE99" s="246" t="s">
        <v>384</v>
      </c>
      <c r="BF99" s="247">
        <v>4.4530000000000003</v>
      </c>
      <c r="BG99" s="247">
        <v>1.7989999999999999</v>
      </c>
      <c r="BH99" s="246" t="s">
        <v>384</v>
      </c>
      <c r="BI99" s="246" t="s">
        <v>384</v>
      </c>
      <c r="BJ99" s="247">
        <v>-0.1</v>
      </c>
      <c r="BK99" s="247">
        <v>-9.7600000000000006E-2</v>
      </c>
      <c r="BL99" s="246">
        <v>2.2200000000000002</v>
      </c>
      <c r="BM99" s="247">
        <v>-3.3000000000000002E-2</v>
      </c>
      <c r="BN99" s="247">
        <v>-4.3999999999999997E-2</v>
      </c>
      <c r="BO99" s="247">
        <v>0.8901</v>
      </c>
      <c r="BP99" s="247">
        <v>0.3</v>
      </c>
      <c r="BQ99" s="247">
        <v>0</v>
      </c>
      <c r="BR99" s="246" t="s">
        <v>384</v>
      </c>
      <c r="BS99" s="248">
        <v>-0.05</v>
      </c>
      <c r="BT99" s="248">
        <v>0</v>
      </c>
      <c r="BU99" s="248">
        <v>0</v>
      </c>
      <c r="BV99" s="248">
        <v>0</v>
      </c>
      <c r="BW99" s="248">
        <v>0.08</v>
      </c>
      <c r="BX99" s="248">
        <v>0.06</v>
      </c>
      <c r="BY99" s="248">
        <v>0.09</v>
      </c>
      <c r="BZ99" s="248">
        <v>-0.05</v>
      </c>
      <c r="CA99" s="248">
        <v>0</v>
      </c>
      <c r="CB99" s="248">
        <v>0</v>
      </c>
      <c r="CC99" s="248">
        <v>0</v>
      </c>
      <c r="CD99" s="248">
        <v>0</v>
      </c>
      <c r="CE99" s="248">
        <v>0</v>
      </c>
      <c r="CF99" s="247">
        <v>1.0999999999999999E-2</v>
      </c>
      <c r="CG99" s="248">
        <v>0</v>
      </c>
      <c r="CH99" s="246" t="s">
        <v>384</v>
      </c>
      <c r="CI99" s="248">
        <v>0</v>
      </c>
      <c r="CJ99" s="248">
        <v>0</v>
      </c>
      <c r="CK99" s="248">
        <v>0</v>
      </c>
      <c r="CL99" s="248">
        <v>0.03</v>
      </c>
      <c r="CM99" s="248">
        <v>0.04</v>
      </c>
      <c r="CN99" s="248">
        <v>0.03</v>
      </c>
      <c r="CO99" s="248">
        <v>0.02</v>
      </c>
      <c r="CP99" s="248">
        <v>0</v>
      </c>
      <c r="CQ99" s="246">
        <v>0.61</v>
      </c>
      <c r="CR99" s="246">
        <v>2.5299999999999998</v>
      </c>
      <c r="CS99" s="246">
        <v>0.42</v>
      </c>
      <c r="CT99" s="246">
        <v>0.35</v>
      </c>
      <c r="CU99" s="246">
        <v>0.74</v>
      </c>
      <c r="CV99" s="248">
        <v>-0.03</v>
      </c>
      <c r="CW99" s="248">
        <v>-0.02</v>
      </c>
      <c r="CX99" s="248">
        <v>0</v>
      </c>
      <c r="CY99" s="246" t="s">
        <v>384</v>
      </c>
      <c r="CZ99" s="246" t="s">
        <v>384</v>
      </c>
      <c r="DA99" s="246" t="s">
        <v>384</v>
      </c>
      <c r="DB99" s="246" t="s">
        <v>384</v>
      </c>
      <c r="DC99" s="246" t="s">
        <v>384</v>
      </c>
      <c r="DD99" s="246" t="s">
        <v>384</v>
      </c>
      <c r="DE99" s="246" t="s">
        <v>384</v>
      </c>
      <c r="DF99" s="248">
        <v>0</v>
      </c>
      <c r="DG99" s="248">
        <v>0</v>
      </c>
      <c r="DH99" s="248">
        <v>0.02</v>
      </c>
      <c r="DI99" s="248">
        <v>-0.05</v>
      </c>
      <c r="DJ99" s="247">
        <v>-0.1</v>
      </c>
      <c r="DK99" s="247">
        <v>-9.7600000000000006E-2</v>
      </c>
      <c r="DL99" s="246" t="s">
        <v>384</v>
      </c>
      <c r="DM99" s="246">
        <v>0</v>
      </c>
      <c r="DN99" s="246">
        <v>0.08</v>
      </c>
      <c r="DO99" s="246">
        <v>-0.03</v>
      </c>
      <c r="DP99" s="247">
        <v>-0.62570000000000003</v>
      </c>
      <c r="DQ99" s="248">
        <v>-0.02</v>
      </c>
      <c r="DR99" s="246" t="s">
        <v>1528</v>
      </c>
      <c r="DS99" s="246" t="s">
        <v>1528</v>
      </c>
      <c r="DT99" s="246" t="e">
        <v>#REF!</v>
      </c>
      <c r="DU99" s="246" t="s">
        <v>388</v>
      </c>
      <c r="DV99" s="248">
        <v>0</v>
      </c>
      <c r="DW99" s="246" t="s">
        <v>388</v>
      </c>
      <c r="DX99" s="246" t="s">
        <v>1074</v>
      </c>
      <c r="DY99" s="246" t="s">
        <v>377</v>
      </c>
      <c r="DZ99" s="246">
        <v>57</v>
      </c>
      <c r="EA99" s="246" t="s">
        <v>384</v>
      </c>
      <c r="EB99" s="246" t="s">
        <v>384</v>
      </c>
      <c r="EC99" s="247">
        <v>1.5255000000000001</v>
      </c>
      <c r="ED99" s="247">
        <v>1.5</v>
      </c>
      <c r="EE99" s="246" t="s">
        <v>384</v>
      </c>
      <c r="EF99" s="247">
        <v>0</v>
      </c>
      <c r="EG99" s="247">
        <v>-0.1978</v>
      </c>
      <c r="EH99" s="247">
        <v>-4.3999999999999997E-2</v>
      </c>
      <c r="EI99" s="248">
        <v>-0.02</v>
      </c>
      <c r="EJ99" s="234">
        <v>0</v>
      </c>
      <c r="EK99" s="234">
        <v>-0.02</v>
      </c>
      <c r="EL99" s="234" t="s">
        <v>377</v>
      </c>
      <c r="EM99" s="234" t="s">
        <v>377</v>
      </c>
      <c r="EN99" s="234" t="s">
        <v>1536</v>
      </c>
      <c r="EO99" s="234" t="s">
        <v>1537</v>
      </c>
      <c r="EP99" s="234" t="s">
        <v>376</v>
      </c>
      <c r="EQ99" s="234" t="s">
        <v>377</v>
      </c>
      <c r="ER99" s="234">
        <v>0</v>
      </c>
      <c r="ES99" s="249">
        <v>1.4650000000000001</v>
      </c>
      <c r="ET99" s="234" t="s">
        <v>384</v>
      </c>
      <c r="EU99" s="250">
        <v>0.09</v>
      </c>
      <c r="EV99" s="234" t="s">
        <v>491</v>
      </c>
      <c r="EW99" s="250">
        <v>0.16</v>
      </c>
      <c r="EX99" s="250">
        <v>0</v>
      </c>
      <c r="EY99" s="250">
        <v>0</v>
      </c>
      <c r="EZ99" s="250">
        <v>0</v>
      </c>
      <c r="FA99" s="250">
        <v>0</v>
      </c>
      <c r="FB99" s="250">
        <v>0</v>
      </c>
      <c r="FC99" s="250">
        <v>0</v>
      </c>
      <c r="FD99" s="249">
        <v>0</v>
      </c>
      <c r="FE99" s="250">
        <v>0</v>
      </c>
      <c r="FF99" s="250">
        <v>0</v>
      </c>
    </row>
    <row r="100" spans="1:162">
      <c r="A100" s="234" t="s">
        <v>1538</v>
      </c>
      <c r="B100" s="234" t="s">
        <v>1539</v>
      </c>
      <c r="C100" s="246" t="s">
        <v>401</v>
      </c>
      <c r="D100" s="246" t="s">
        <v>362</v>
      </c>
      <c r="E100" s="246">
        <v>4210</v>
      </c>
      <c r="F100" s="246" t="s">
        <v>1019</v>
      </c>
      <c r="G100" s="246" t="s">
        <v>417</v>
      </c>
      <c r="H100" s="246" t="s">
        <v>418</v>
      </c>
      <c r="I100" s="246">
        <v>0.66930000000000001</v>
      </c>
      <c r="J100" s="246">
        <v>0.85170000000000001</v>
      </c>
      <c r="K100" s="247">
        <v>6.6900000000000001E-2</v>
      </c>
      <c r="L100" s="247">
        <v>9.6500000000000002E-2</v>
      </c>
      <c r="M100" s="246" t="s">
        <v>384</v>
      </c>
      <c r="N100" s="247">
        <v>4.8300000000000003E-2</v>
      </c>
      <c r="O100" s="247">
        <v>8.7800000000000003E-2</v>
      </c>
      <c r="P100" s="247">
        <v>6.8500000000000005E-2</v>
      </c>
      <c r="Q100" s="247">
        <v>8.9200000000000002E-2</v>
      </c>
      <c r="R100" s="247">
        <v>-2.46E-2</v>
      </c>
      <c r="S100" s="247">
        <v>4.5100000000000001E-2</v>
      </c>
      <c r="T100" s="248">
        <v>8.36</v>
      </c>
      <c r="U100" s="248">
        <v>0</v>
      </c>
      <c r="V100" s="248">
        <v>2.92</v>
      </c>
      <c r="W100" s="248">
        <v>2.92</v>
      </c>
      <c r="X100" s="248">
        <v>11.28</v>
      </c>
      <c r="Y100" s="248">
        <v>0.05</v>
      </c>
      <c r="Z100" s="248">
        <v>11.23</v>
      </c>
      <c r="AA100" s="247">
        <v>4.7000000000000002E-3</v>
      </c>
      <c r="AB100" s="246">
        <v>0.7</v>
      </c>
      <c r="AC100" s="247">
        <v>0.4924</v>
      </c>
      <c r="AD100" s="247">
        <v>0.25890000000000002</v>
      </c>
      <c r="AE100" s="247">
        <v>0.97009999999999996</v>
      </c>
      <c r="AF100" s="247">
        <v>0.3493</v>
      </c>
      <c r="AG100" s="248">
        <v>0.01</v>
      </c>
      <c r="AH100" s="246">
        <v>69.06</v>
      </c>
      <c r="AI100" s="246" t="s">
        <v>384</v>
      </c>
      <c r="AJ100" s="246">
        <v>-0.15</v>
      </c>
      <c r="AK100" s="247">
        <v>5.4800000000000001E-2</v>
      </c>
      <c r="AL100" s="247">
        <v>0.85009999999999997</v>
      </c>
      <c r="AM100" s="246">
        <v>0.62</v>
      </c>
      <c r="AN100" s="233">
        <v>1.36</v>
      </c>
      <c r="AO100" s="246">
        <v>36.67</v>
      </c>
      <c r="AP100" s="246">
        <v>38</v>
      </c>
      <c r="AQ100" s="246">
        <v>28.82</v>
      </c>
      <c r="AR100" s="246" t="s">
        <v>384</v>
      </c>
      <c r="AS100" s="246" t="s">
        <v>384</v>
      </c>
      <c r="AT100" s="246">
        <v>2.78</v>
      </c>
      <c r="AU100" s="246">
        <v>2.27</v>
      </c>
      <c r="AV100" s="246">
        <v>1.43</v>
      </c>
      <c r="AW100" s="246">
        <v>9.51</v>
      </c>
      <c r="AX100" s="246">
        <v>5.4</v>
      </c>
      <c r="AY100" s="246">
        <v>1.91</v>
      </c>
      <c r="AZ100" s="246">
        <v>1.93</v>
      </c>
      <c r="BA100" s="247">
        <v>0</v>
      </c>
      <c r="BB100" s="247">
        <v>0</v>
      </c>
      <c r="BC100" s="247">
        <v>0.27250000000000002</v>
      </c>
      <c r="BD100" s="246" t="s">
        <v>384</v>
      </c>
      <c r="BE100" s="246" t="s">
        <v>384</v>
      </c>
      <c r="BF100" s="246" t="s">
        <v>384</v>
      </c>
      <c r="BG100" s="246" t="s">
        <v>384</v>
      </c>
      <c r="BH100" s="246" t="s">
        <v>384</v>
      </c>
      <c r="BI100" s="246" t="s">
        <v>384</v>
      </c>
      <c r="BJ100" s="247">
        <v>7.1900000000000006E-2</v>
      </c>
      <c r="BK100" s="247">
        <v>0.1343</v>
      </c>
      <c r="BL100" s="246">
        <v>0.93</v>
      </c>
      <c r="BM100" s="247">
        <v>3.8300000000000001E-2</v>
      </c>
      <c r="BN100" s="247">
        <v>0.20519999999999999</v>
      </c>
      <c r="BO100" s="247">
        <v>0.29389999999999999</v>
      </c>
      <c r="BP100" s="247">
        <v>0.22</v>
      </c>
      <c r="BQ100" s="247">
        <v>0.2994</v>
      </c>
      <c r="BR100" s="246" t="s">
        <v>384</v>
      </c>
      <c r="BS100" s="248">
        <v>0.23</v>
      </c>
      <c r="BT100" s="248">
        <v>0.22</v>
      </c>
      <c r="BU100" s="248">
        <v>1.18</v>
      </c>
      <c r="BV100" s="248">
        <v>1.18</v>
      </c>
      <c r="BW100" s="248">
        <v>1.69</v>
      </c>
      <c r="BX100" s="248">
        <v>5.83</v>
      </c>
      <c r="BY100" s="248">
        <v>5.75</v>
      </c>
      <c r="BZ100" s="248">
        <v>1.74</v>
      </c>
      <c r="CA100" s="248">
        <v>2.08</v>
      </c>
      <c r="CB100" s="248">
        <v>0.83</v>
      </c>
      <c r="CC100" s="248">
        <v>0.2</v>
      </c>
      <c r="CD100" s="248">
        <v>0</v>
      </c>
      <c r="CE100" s="248">
        <v>0.45</v>
      </c>
      <c r="CF100" s="247">
        <v>7.7899999999999997E-2</v>
      </c>
      <c r="CG100" s="248">
        <v>-0.6</v>
      </c>
      <c r="CH100" s="247">
        <v>-0.72330000000000005</v>
      </c>
      <c r="CI100" s="248">
        <v>1.42</v>
      </c>
      <c r="CJ100" s="248">
        <v>0.62</v>
      </c>
      <c r="CK100" s="248">
        <v>0.82</v>
      </c>
      <c r="CL100" s="248">
        <v>3.06</v>
      </c>
      <c r="CM100" s="248">
        <v>6.16</v>
      </c>
      <c r="CN100" s="248">
        <v>3.01</v>
      </c>
      <c r="CO100" s="248">
        <v>5.88</v>
      </c>
      <c r="CP100" s="248">
        <v>0</v>
      </c>
      <c r="CQ100" s="246">
        <v>0.39</v>
      </c>
      <c r="CR100" s="246">
        <v>-0.98</v>
      </c>
      <c r="CS100" s="246">
        <v>0.42</v>
      </c>
      <c r="CT100" s="246" t="s">
        <v>384</v>
      </c>
      <c r="CU100" s="246" t="s">
        <v>384</v>
      </c>
      <c r="CV100" s="246" t="s">
        <v>384</v>
      </c>
      <c r="CW100" s="246" t="s">
        <v>384</v>
      </c>
      <c r="CX100" s="248">
        <v>0</v>
      </c>
      <c r="CY100" s="248">
        <v>0.31</v>
      </c>
      <c r="CZ100" s="248">
        <v>0.09</v>
      </c>
      <c r="DA100" s="248">
        <v>0.22</v>
      </c>
      <c r="DB100" s="248">
        <v>8.36</v>
      </c>
      <c r="DC100" s="248">
        <v>2.08</v>
      </c>
      <c r="DD100" s="248">
        <v>11.23</v>
      </c>
      <c r="DE100" s="246" t="s">
        <v>384</v>
      </c>
      <c r="DF100" s="248">
        <v>0</v>
      </c>
      <c r="DG100" s="248">
        <v>1.18</v>
      </c>
      <c r="DH100" s="248">
        <v>5.88</v>
      </c>
      <c r="DI100" s="248">
        <v>1.74</v>
      </c>
      <c r="DJ100" s="247">
        <v>7.1900000000000006E-2</v>
      </c>
      <c r="DK100" s="247">
        <v>0.1343</v>
      </c>
      <c r="DL100" s="246">
        <v>6.45</v>
      </c>
      <c r="DM100" s="246">
        <v>0.9</v>
      </c>
      <c r="DN100" s="246" t="s">
        <v>384</v>
      </c>
      <c r="DO100" s="246" t="s">
        <v>384</v>
      </c>
      <c r="DP100" s="246" t="s">
        <v>384</v>
      </c>
      <c r="DQ100" s="248">
        <v>-0.22</v>
      </c>
      <c r="DR100" s="246" t="s">
        <v>1540</v>
      </c>
      <c r="DS100" s="246" t="s">
        <v>1422</v>
      </c>
      <c r="DT100" s="246" t="e">
        <v>#REF!</v>
      </c>
      <c r="DU100" s="246" t="s">
        <v>388</v>
      </c>
      <c r="DV100" s="246" t="s">
        <v>1541</v>
      </c>
      <c r="DW100" s="246" t="s">
        <v>1085</v>
      </c>
      <c r="DX100" s="246" t="s">
        <v>388</v>
      </c>
      <c r="DY100" s="246" t="s">
        <v>1542</v>
      </c>
      <c r="DZ100" s="246">
        <v>8</v>
      </c>
      <c r="EA100" s="247">
        <v>-0.64090000000000003</v>
      </c>
      <c r="EB100" s="247">
        <v>-0.14169999999999999</v>
      </c>
      <c r="EC100" s="247">
        <v>1.1063000000000001</v>
      </c>
      <c r="ED100" s="247">
        <v>-0.24679999999999999</v>
      </c>
      <c r="EE100" s="247">
        <v>-0.5111</v>
      </c>
      <c r="EF100" s="247">
        <v>-6.8099999999999994E-2</v>
      </c>
      <c r="EG100" s="247">
        <v>0.1767</v>
      </c>
      <c r="EH100" s="247">
        <v>0.20499999999999999</v>
      </c>
      <c r="EI100" s="248">
        <v>-0.22</v>
      </c>
      <c r="EJ100" s="234">
        <v>1.18</v>
      </c>
      <c r="EK100" s="234">
        <v>1.0900000000000001</v>
      </c>
      <c r="EL100" s="234" t="s">
        <v>1543</v>
      </c>
      <c r="EM100" s="234" t="s">
        <v>1544</v>
      </c>
      <c r="EN100" s="234" t="s">
        <v>1545</v>
      </c>
      <c r="EO100" s="234" t="s">
        <v>953</v>
      </c>
      <c r="EP100" s="234" t="s">
        <v>1546</v>
      </c>
      <c r="EQ100" s="234" t="s">
        <v>1547</v>
      </c>
      <c r="ER100" s="234">
        <v>1</v>
      </c>
      <c r="ES100" s="249">
        <v>0.21629999999999999</v>
      </c>
      <c r="ET100" s="234" t="s">
        <v>384</v>
      </c>
      <c r="EU100" s="250">
        <v>5.75</v>
      </c>
      <c r="EV100" s="234" t="s">
        <v>491</v>
      </c>
      <c r="EW100" s="250">
        <v>0</v>
      </c>
      <c r="EX100" s="250">
        <v>0</v>
      </c>
      <c r="EY100" s="250">
        <v>6.05</v>
      </c>
      <c r="EZ100" s="250">
        <v>5.85</v>
      </c>
      <c r="FA100" s="250">
        <v>17.100000000000001</v>
      </c>
      <c r="FB100" s="250">
        <v>6.57</v>
      </c>
      <c r="FC100" s="250">
        <v>0.31</v>
      </c>
      <c r="FD100" s="249">
        <v>0</v>
      </c>
      <c r="FE100" s="250">
        <v>0</v>
      </c>
      <c r="FF100" s="250">
        <v>0</v>
      </c>
    </row>
    <row r="101" spans="1:162">
      <c r="A101" s="234" t="s">
        <v>1548</v>
      </c>
      <c r="B101" s="234" t="s">
        <v>1549</v>
      </c>
      <c r="C101" s="246" t="s">
        <v>401</v>
      </c>
      <c r="D101" s="246" t="s">
        <v>362</v>
      </c>
      <c r="E101" s="246">
        <v>4210</v>
      </c>
      <c r="F101" s="246" t="s">
        <v>363</v>
      </c>
      <c r="G101" s="246" t="s">
        <v>363</v>
      </c>
      <c r="H101" s="246" t="s">
        <v>363</v>
      </c>
      <c r="I101" s="246">
        <v>0.66930000000000001</v>
      </c>
      <c r="J101" s="246">
        <v>0.66930000000000001</v>
      </c>
      <c r="K101" s="247">
        <v>4.4600000000000001E-2</v>
      </c>
      <c r="L101" s="247">
        <v>6.9400000000000003E-2</v>
      </c>
      <c r="M101" s="246" t="s">
        <v>384</v>
      </c>
      <c r="N101" s="247">
        <v>1.34E-2</v>
      </c>
      <c r="O101" s="247">
        <v>5.2900000000000003E-2</v>
      </c>
      <c r="P101" s="247">
        <v>3.9699999999999999E-2</v>
      </c>
      <c r="Q101" s="247">
        <v>6.9400000000000003E-2</v>
      </c>
      <c r="R101" s="246" t="s">
        <v>384</v>
      </c>
      <c r="S101" s="246" t="s">
        <v>384</v>
      </c>
      <c r="T101" s="248">
        <v>8.24</v>
      </c>
      <c r="U101" s="248">
        <v>0</v>
      </c>
      <c r="V101" s="248">
        <v>0</v>
      </c>
      <c r="W101" s="248">
        <v>0</v>
      </c>
      <c r="X101" s="248">
        <v>8.24</v>
      </c>
      <c r="Y101" s="248">
        <v>13.6</v>
      </c>
      <c r="Z101" s="248">
        <v>-5.36</v>
      </c>
      <c r="AA101" s="247">
        <v>1.6505000000000001</v>
      </c>
      <c r="AB101" s="246">
        <v>6.95</v>
      </c>
      <c r="AC101" s="247">
        <v>0</v>
      </c>
      <c r="AD101" s="247">
        <v>0</v>
      </c>
      <c r="AE101" s="247">
        <v>0</v>
      </c>
      <c r="AF101" s="247">
        <v>0</v>
      </c>
      <c r="AG101" s="248">
        <v>0.49</v>
      </c>
      <c r="AH101" s="246">
        <v>31.61</v>
      </c>
      <c r="AI101" s="246" t="s">
        <v>384</v>
      </c>
      <c r="AJ101" s="246" t="s">
        <v>384</v>
      </c>
      <c r="AK101" s="246" t="s">
        <v>384</v>
      </c>
      <c r="AL101" s="246" t="s">
        <v>384</v>
      </c>
      <c r="AM101" s="246">
        <v>0.79</v>
      </c>
      <c r="AN101" s="233" t="s">
        <v>384</v>
      </c>
      <c r="AO101" s="246" t="s">
        <v>384</v>
      </c>
      <c r="AP101" s="246" t="s">
        <v>384</v>
      </c>
      <c r="AQ101" s="246" t="s">
        <v>384</v>
      </c>
      <c r="AR101" s="246" t="s">
        <v>384</v>
      </c>
      <c r="AS101" s="246" t="s">
        <v>384</v>
      </c>
      <c r="AT101" s="246">
        <v>0.55000000000000004</v>
      </c>
      <c r="AU101" s="246">
        <v>3.67</v>
      </c>
      <c r="AV101" s="246">
        <v>3.38</v>
      </c>
      <c r="AW101" s="246" t="s">
        <v>384</v>
      </c>
      <c r="AX101" s="246" t="s">
        <v>384</v>
      </c>
      <c r="AY101" s="246" t="s">
        <v>384</v>
      </c>
      <c r="AZ101" s="246" t="s">
        <v>384</v>
      </c>
      <c r="BA101" s="246" t="s">
        <v>384</v>
      </c>
      <c r="BB101" s="247">
        <v>0</v>
      </c>
      <c r="BC101" s="247">
        <v>-0.2</v>
      </c>
      <c r="BD101" s="246" t="s">
        <v>384</v>
      </c>
      <c r="BE101" s="246" t="s">
        <v>384</v>
      </c>
      <c r="BF101" s="246" t="s">
        <v>384</v>
      </c>
      <c r="BG101" s="246" t="s">
        <v>384</v>
      </c>
      <c r="BH101" s="246" t="s">
        <v>384</v>
      </c>
      <c r="BI101" s="246" t="s">
        <v>384</v>
      </c>
      <c r="BJ101" s="246" t="s">
        <v>384</v>
      </c>
      <c r="BK101" s="246" t="s">
        <v>384</v>
      </c>
      <c r="BL101" s="246" t="s">
        <v>384</v>
      </c>
      <c r="BM101" s="247">
        <v>-0.28260000000000002</v>
      </c>
      <c r="BN101" s="247">
        <v>-0.26019999999999999</v>
      </c>
      <c r="BO101" s="247">
        <v>0.1069</v>
      </c>
      <c r="BP101" s="247">
        <v>0.25</v>
      </c>
      <c r="BQ101" s="247">
        <v>0</v>
      </c>
      <c r="BR101" s="247">
        <v>7.7999999999999996E-3</v>
      </c>
      <c r="BS101" s="248">
        <v>-0.38</v>
      </c>
      <c r="BT101" s="248">
        <v>-0.73</v>
      </c>
      <c r="BU101" s="248">
        <v>-0.67</v>
      </c>
      <c r="BV101" s="248">
        <v>-0.67</v>
      </c>
      <c r="BW101" s="248">
        <v>0.28000000000000003</v>
      </c>
      <c r="BX101" s="248">
        <v>2.44</v>
      </c>
      <c r="BY101" s="248">
        <v>2.59</v>
      </c>
      <c r="BZ101" s="248">
        <v>0.03</v>
      </c>
      <c r="CA101" s="248">
        <v>-0.42</v>
      </c>
      <c r="CB101" s="248">
        <v>-0.67</v>
      </c>
      <c r="CC101" s="248">
        <v>-7.0000000000000007E-2</v>
      </c>
      <c r="CD101" s="248">
        <v>0.03</v>
      </c>
      <c r="CE101" s="248">
        <v>0.02</v>
      </c>
      <c r="CF101" s="247">
        <v>7.3000000000000001E-3</v>
      </c>
      <c r="CG101" s="248">
        <v>0.73</v>
      </c>
      <c r="CH101" s="246" t="s">
        <v>384</v>
      </c>
      <c r="CI101" s="248">
        <v>-1.43</v>
      </c>
      <c r="CJ101" s="248">
        <v>-1.41</v>
      </c>
      <c r="CK101" s="248">
        <v>-1.49</v>
      </c>
      <c r="CL101" s="248">
        <v>0</v>
      </c>
      <c r="CM101" s="248">
        <v>0</v>
      </c>
      <c r="CN101" s="248">
        <v>14.9</v>
      </c>
      <c r="CO101" s="248">
        <v>0.63</v>
      </c>
      <c r="CP101" s="248">
        <v>0</v>
      </c>
      <c r="CQ101" s="246" t="s">
        <v>384</v>
      </c>
      <c r="CR101" s="246" t="s">
        <v>384</v>
      </c>
      <c r="CS101" s="246">
        <v>1.1200000000000001</v>
      </c>
      <c r="CT101" s="246" t="s">
        <v>384</v>
      </c>
      <c r="CU101" s="246" t="s">
        <v>384</v>
      </c>
      <c r="CV101" s="246" t="s">
        <v>384</v>
      </c>
      <c r="CW101" s="246" t="s">
        <v>384</v>
      </c>
      <c r="CX101" s="248">
        <v>0</v>
      </c>
      <c r="CY101" s="246" t="s">
        <v>384</v>
      </c>
      <c r="CZ101" s="246" t="s">
        <v>384</v>
      </c>
      <c r="DA101" s="246" t="s">
        <v>384</v>
      </c>
      <c r="DB101" s="246" t="s">
        <v>384</v>
      </c>
      <c r="DC101" s="246" t="s">
        <v>384</v>
      </c>
      <c r="DD101" s="246" t="s">
        <v>384</v>
      </c>
      <c r="DE101" s="246" t="s">
        <v>384</v>
      </c>
      <c r="DF101" s="248">
        <v>0</v>
      </c>
      <c r="DG101" s="248">
        <v>-0.67</v>
      </c>
      <c r="DH101" s="248">
        <v>0.63</v>
      </c>
      <c r="DI101" s="248">
        <v>0.03</v>
      </c>
      <c r="DJ101" s="246" t="s">
        <v>384</v>
      </c>
      <c r="DK101" s="246" t="s">
        <v>384</v>
      </c>
      <c r="DL101" s="246">
        <v>-157.65</v>
      </c>
      <c r="DM101" s="246">
        <v>0.25</v>
      </c>
      <c r="DN101" s="246" t="s">
        <v>384</v>
      </c>
      <c r="DO101" s="246" t="s">
        <v>384</v>
      </c>
      <c r="DP101" s="246" t="s">
        <v>384</v>
      </c>
      <c r="DQ101" s="246" t="s">
        <v>1550</v>
      </c>
      <c r="DR101" s="246" t="s">
        <v>628</v>
      </c>
      <c r="DS101" s="246" t="s">
        <v>628</v>
      </c>
      <c r="DT101" s="246" t="e">
        <v>#REF!</v>
      </c>
      <c r="DU101" s="246" t="s">
        <v>1551</v>
      </c>
      <c r="DV101" s="248">
        <v>-0.67</v>
      </c>
      <c r="DW101" s="246" t="s">
        <v>1074</v>
      </c>
      <c r="DX101" s="246" t="s">
        <v>1074</v>
      </c>
      <c r="DY101" s="246" t="s">
        <v>1552</v>
      </c>
      <c r="DZ101" s="246">
        <v>0</v>
      </c>
      <c r="EA101" s="247">
        <v>0.28299999999999997</v>
      </c>
      <c r="EB101" s="247">
        <v>-0.17649999999999999</v>
      </c>
      <c r="EC101" s="247">
        <v>0.33329999999999999</v>
      </c>
      <c r="ED101" s="247">
        <v>-0.26429999999999998</v>
      </c>
      <c r="EE101" s="247">
        <v>3.6499999999999998E-2</v>
      </c>
      <c r="EF101" s="247">
        <v>-0.91930000000000001</v>
      </c>
      <c r="EG101" s="247">
        <v>-8.6300000000000002E-2</v>
      </c>
      <c r="EH101" s="247">
        <v>-0.26</v>
      </c>
      <c r="EI101" s="246" t="s">
        <v>1387</v>
      </c>
      <c r="EJ101" s="234">
        <v>-0.67</v>
      </c>
      <c r="EK101" s="234">
        <v>-2.77</v>
      </c>
      <c r="EL101" s="234" t="s">
        <v>1553</v>
      </c>
      <c r="EM101" s="234" t="s">
        <v>1516</v>
      </c>
      <c r="EN101" s="234" t="s">
        <v>1554</v>
      </c>
      <c r="EO101" s="234" t="s">
        <v>1555</v>
      </c>
      <c r="EP101" s="234" t="s">
        <v>1556</v>
      </c>
      <c r="EQ101" s="234" t="s">
        <v>1557</v>
      </c>
      <c r="ER101" s="234">
        <v>0</v>
      </c>
      <c r="ES101" s="249">
        <v>-0.44319999999999998</v>
      </c>
      <c r="ET101" s="234" t="s">
        <v>384</v>
      </c>
      <c r="EU101" s="250">
        <v>2.59</v>
      </c>
      <c r="EV101" s="234" t="s">
        <v>491</v>
      </c>
      <c r="EW101" s="250">
        <v>26.2</v>
      </c>
      <c r="EX101" s="250">
        <v>20.6</v>
      </c>
      <c r="EY101" s="250">
        <v>15.8</v>
      </c>
      <c r="EZ101" s="250">
        <v>14.6</v>
      </c>
      <c r="FA101" s="250">
        <v>7.95</v>
      </c>
      <c r="FB101" s="250">
        <v>10.3</v>
      </c>
      <c r="FC101" s="250">
        <v>0.13</v>
      </c>
      <c r="FD101" s="249">
        <v>0</v>
      </c>
      <c r="FE101" s="250">
        <v>0</v>
      </c>
      <c r="FF101" s="250">
        <v>0</v>
      </c>
    </row>
    <row r="102" spans="1:162">
      <c r="A102" s="234" t="s">
        <v>1558</v>
      </c>
      <c r="B102" s="234" t="s">
        <v>1559</v>
      </c>
      <c r="C102" s="246" t="s">
        <v>401</v>
      </c>
      <c r="D102" s="246" t="s">
        <v>362</v>
      </c>
      <c r="E102" s="246">
        <v>4210</v>
      </c>
      <c r="F102" s="246" t="s">
        <v>509</v>
      </c>
      <c r="G102" s="246" t="s">
        <v>417</v>
      </c>
      <c r="H102" s="246" t="s">
        <v>509</v>
      </c>
      <c r="I102" s="246">
        <v>0.66930000000000001</v>
      </c>
      <c r="J102" s="246">
        <v>0.66959999999999997</v>
      </c>
      <c r="K102" s="247">
        <v>5.1400000000000001E-2</v>
      </c>
      <c r="L102" s="247">
        <v>7.3899999999999993E-2</v>
      </c>
      <c r="M102" s="246" t="s">
        <v>384</v>
      </c>
      <c r="N102" s="247">
        <v>1.7100000000000001E-2</v>
      </c>
      <c r="O102" s="247">
        <v>5.6599999999999998E-2</v>
      </c>
      <c r="P102" s="247">
        <v>4.2500000000000003E-2</v>
      </c>
      <c r="Q102" s="247">
        <v>7.3899999999999993E-2</v>
      </c>
      <c r="R102" s="246" t="s">
        <v>384</v>
      </c>
      <c r="S102" s="247">
        <v>4.9260999999999999</v>
      </c>
      <c r="T102" s="248">
        <v>8.1300000000000008</v>
      </c>
      <c r="U102" s="248">
        <v>0</v>
      </c>
      <c r="V102" s="248">
        <v>0</v>
      </c>
      <c r="W102" s="248">
        <v>0</v>
      </c>
      <c r="X102" s="248">
        <v>8.1300000000000008</v>
      </c>
      <c r="Y102" s="248">
        <v>1.56</v>
      </c>
      <c r="Z102" s="248">
        <v>6.57</v>
      </c>
      <c r="AA102" s="247">
        <v>0.1918</v>
      </c>
      <c r="AB102" s="246">
        <v>38.590000000000003</v>
      </c>
      <c r="AC102" s="247">
        <v>2.0000000000000001E-4</v>
      </c>
      <c r="AD102" s="247">
        <v>5.9999999999999995E-4</v>
      </c>
      <c r="AE102" s="247">
        <v>2.0000000000000001E-4</v>
      </c>
      <c r="AF102" s="247">
        <v>5.9999999999999995E-4</v>
      </c>
      <c r="AG102" s="248">
        <v>0.59</v>
      </c>
      <c r="AH102" s="246">
        <v>69.06</v>
      </c>
      <c r="AI102" s="246" t="s">
        <v>384</v>
      </c>
      <c r="AJ102" s="246" t="s">
        <v>384</v>
      </c>
      <c r="AK102" s="246" t="s">
        <v>384</v>
      </c>
      <c r="AL102" s="246" t="s">
        <v>384</v>
      </c>
      <c r="AM102" s="246">
        <v>0.9</v>
      </c>
      <c r="AN102" s="233">
        <v>36.700000000000003</v>
      </c>
      <c r="AO102" s="246">
        <v>2.56</v>
      </c>
      <c r="AP102" s="246">
        <v>2.1800000000000002</v>
      </c>
      <c r="AQ102" s="246">
        <v>0</v>
      </c>
      <c r="AR102" s="246" t="s">
        <v>384</v>
      </c>
      <c r="AS102" s="246" t="s">
        <v>384</v>
      </c>
      <c r="AT102" s="246">
        <v>0.33</v>
      </c>
      <c r="AU102" s="246">
        <v>0</v>
      </c>
      <c r="AV102" s="246">
        <v>0.32</v>
      </c>
      <c r="AW102" s="246">
        <v>0.86</v>
      </c>
      <c r="AX102" s="246">
        <v>0.83</v>
      </c>
      <c r="AY102" s="246">
        <v>0.28000000000000003</v>
      </c>
      <c r="AZ102" s="246">
        <v>0.26</v>
      </c>
      <c r="BA102" s="247">
        <v>0</v>
      </c>
      <c r="BB102" s="247">
        <v>0</v>
      </c>
      <c r="BC102" s="246" t="s">
        <v>384</v>
      </c>
      <c r="BD102" s="247">
        <v>-9.74E-2</v>
      </c>
      <c r="BE102" s="246" t="s">
        <v>384</v>
      </c>
      <c r="BF102" s="247">
        <v>2.8799999999999999E-2</v>
      </c>
      <c r="BG102" s="246" t="s">
        <v>384</v>
      </c>
      <c r="BH102" s="246" t="s">
        <v>384</v>
      </c>
      <c r="BI102" s="246" t="s">
        <v>384</v>
      </c>
      <c r="BJ102" s="246" t="s">
        <v>384</v>
      </c>
      <c r="BK102" s="247">
        <v>5</v>
      </c>
      <c r="BL102" s="246">
        <v>7206.1</v>
      </c>
      <c r="BM102" s="247">
        <v>0.1094</v>
      </c>
      <c r="BN102" s="247">
        <v>0.22500000000000001</v>
      </c>
      <c r="BO102" s="247">
        <v>0.25569999999999998</v>
      </c>
      <c r="BP102" s="247">
        <v>0.25</v>
      </c>
      <c r="BQ102" s="247">
        <v>0.34100000000000003</v>
      </c>
      <c r="BR102" s="247">
        <v>2.3999999999999998E-3</v>
      </c>
      <c r="BS102" s="248">
        <v>3.17</v>
      </c>
      <c r="BT102" s="248">
        <v>3.73</v>
      </c>
      <c r="BU102" s="248">
        <v>7.67</v>
      </c>
      <c r="BV102" s="248">
        <v>7.67</v>
      </c>
      <c r="BW102" s="248">
        <v>8.7200000000000006</v>
      </c>
      <c r="BX102" s="248">
        <v>25.6</v>
      </c>
      <c r="BY102" s="248">
        <v>34.1</v>
      </c>
      <c r="BZ102" s="248">
        <v>5.93</v>
      </c>
      <c r="CA102" s="248">
        <v>7.97</v>
      </c>
      <c r="CB102" s="248">
        <v>5.0599999999999996</v>
      </c>
      <c r="CC102" s="248">
        <v>-6.06</v>
      </c>
      <c r="CD102" s="248">
        <v>-4.8600000000000003</v>
      </c>
      <c r="CE102" s="248">
        <v>10.46</v>
      </c>
      <c r="CF102" s="247">
        <v>0.30669999999999997</v>
      </c>
      <c r="CG102" s="248">
        <v>2</v>
      </c>
      <c r="CH102" s="247">
        <v>-0.5655</v>
      </c>
      <c r="CI102" s="248">
        <v>7.92</v>
      </c>
      <c r="CJ102" s="248">
        <v>12.65</v>
      </c>
      <c r="CK102" s="248">
        <v>6.59</v>
      </c>
      <c r="CL102" s="248">
        <v>0</v>
      </c>
      <c r="CM102" s="248">
        <v>0</v>
      </c>
      <c r="CN102" s="248">
        <v>25</v>
      </c>
      <c r="CO102" s="248">
        <v>23.44</v>
      </c>
      <c r="CP102" s="248">
        <v>0</v>
      </c>
      <c r="CQ102" s="246" t="s">
        <v>384</v>
      </c>
      <c r="CR102" s="246" t="s">
        <v>384</v>
      </c>
      <c r="CS102" s="246">
        <v>0.42</v>
      </c>
      <c r="CT102" s="246" t="s">
        <v>384</v>
      </c>
      <c r="CU102" s="246" t="s">
        <v>384</v>
      </c>
      <c r="CV102" s="246" t="s">
        <v>384</v>
      </c>
      <c r="CW102" s="246" t="s">
        <v>384</v>
      </c>
      <c r="CX102" s="248">
        <v>0</v>
      </c>
      <c r="CY102" s="248">
        <v>5.66</v>
      </c>
      <c r="CZ102" s="248">
        <v>1.93</v>
      </c>
      <c r="DA102" s="248">
        <v>3.73</v>
      </c>
      <c r="DB102" s="248">
        <v>8.1300000000000008</v>
      </c>
      <c r="DC102" s="248">
        <v>7.97</v>
      </c>
      <c r="DD102" s="248">
        <v>6.57</v>
      </c>
      <c r="DE102" s="246" t="s">
        <v>384</v>
      </c>
      <c r="DF102" s="248">
        <v>0</v>
      </c>
      <c r="DG102" s="248">
        <v>7.67</v>
      </c>
      <c r="DH102" s="248">
        <v>23.44</v>
      </c>
      <c r="DI102" s="248">
        <v>5.93</v>
      </c>
      <c r="DJ102" s="246" t="s">
        <v>384</v>
      </c>
      <c r="DK102" s="247">
        <v>1068.7181</v>
      </c>
      <c r="DL102" s="246">
        <v>1.1100000000000001</v>
      </c>
      <c r="DM102" s="246">
        <v>0.28999999999999998</v>
      </c>
      <c r="DN102" s="246" t="s">
        <v>384</v>
      </c>
      <c r="DO102" s="246" t="s">
        <v>384</v>
      </c>
      <c r="DP102" s="246" t="s">
        <v>384</v>
      </c>
      <c r="DQ102" s="246" t="s">
        <v>1560</v>
      </c>
      <c r="DR102" s="246" t="s">
        <v>1143</v>
      </c>
      <c r="DS102" s="246" t="s">
        <v>1561</v>
      </c>
      <c r="DT102" s="246" t="e">
        <v>#REF!</v>
      </c>
      <c r="DU102" s="246" t="s">
        <v>388</v>
      </c>
      <c r="DV102" s="246" t="s">
        <v>1562</v>
      </c>
      <c r="DW102" s="246" t="s">
        <v>1563</v>
      </c>
      <c r="DX102" s="246" t="s">
        <v>388</v>
      </c>
      <c r="DY102" s="246" t="s">
        <v>1564</v>
      </c>
      <c r="DZ102" s="246">
        <v>17</v>
      </c>
      <c r="EA102" s="246" t="s">
        <v>384</v>
      </c>
      <c r="EB102" s="246" t="s">
        <v>384</v>
      </c>
      <c r="EC102" s="247">
        <v>-6.6000000000000003E-2</v>
      </c>
      <c r="ED102" s="247">
        <v>-0.58940000000000003</v>
      </c>
      <c r="EE102" s="246" t="s">
        <v>384</v>
      </c>
      <c r="EF102" s="246" t="s">
        <v>384</v>
      </c>
      <c r="EG102" s="246" t="s">
        <v>384</v>
      </c>
      <c r="EH102" s="247">
        <v>0.22500000000000001</v>
      </c>
      <c r="EI102" s="246" t="s">
        <v>1387</v>
      </c>
      <c r="EJ102" s="234">
        <v>7.67</v>
      </c>
      <c r="EK102" s="234">
        <v>0</v>
      </c>
      <c r="EL102" s="234" t="s">
        <v>377</v>
      </c>
      <c r="EM102" s="234" t="s">
        <v>377</v>
      </c>
      <c r="EN102" s="234" t="s">
        <v>1355</v>
      </c>
      <c r="EO102" s="234" t="s">
        <v>1565</v>
      </c>
      <c r="EP102" s="234" t="s">
        <v>376</v>
      </c>
      <c r="EQ102" s="234" t="s">
        <v>377</v>
      </c>
      <c r="ER102" s="234">
        <v>1</v>
      </c>
      <c r="ES102" s="249">
        <v>0.19489999999999999</v>
      </c>
      <c r="ET102" s="234" t="s">
        <v>384</v>
      </c>
      <c r="EU102" s="250">
        <v>34.1</v>
      </c>
      <c r="EV102" s="234" t="s">
        <v>491</v>
      </c>
      <c r="EW102" s="250">
        <v>0</v>
      </c>
      <c r="EX102" s="250">
        <v>0</v>
      </c>
      <c r="EY102" s="250">
        <v>0</v>
      </c>
      <c r="EZ102" s="250">
        <v>0</v>
      </c>
      <c r="FA102" s="250">
        <v>0</v>
      </c>
      <c r="FB102" s="250">
        <v>0</v>
      </c>
      <c r="FC102" s="250">
        <v>4.82</v>
      </c>
      <c r="FD102" s="249">
        <v>0</v>
      </c>
      <c r="FE102" s="250">
        <v>0</v>
      </c>
      <c r="FF102" s="250">
        <v>0</v>
      </c>
    </row>
    <row r="103" spans="1:162">
      <c r="A103" s="234" t="s">
        <v>1566</v>
      </c>
      <c r="B103" s="234" t="s">
        <v>1567</v>
      </c>
      <c r="C103" s="246" t="s">
        <v>401</v>
      </c>
      <c r="D103" s="246" t="s">
        <v>362</v>
      </c>
      <c r="E103" s="246">
        <v>4210</v>
      </c>
      <c r="F103" s="246" t="s">
        <v>1019</v>
      </c>
      <c r="G103" s="246" t="s">
        <v>417</v>
      </c>
      <c r="H103" s="246" t="s">
        <v>418</v>
      </c>
      <c r="I103" s="246">
        <v>0.66930000000000001</v>
      </c>
      <c r="J103" s="246">
        <v>0.83579999999999999</v>
      </c>
      <c r="K103" s="247">
        <v>6.6900000000000001E-2</v>
      </c>
      <c r="L103" s="247">
        <v>9.5399999999999999E-2</v>
      </c>
      <c r="M103" s="246" t="s">
        <v>384</v>
      </c>
      <c r="N103" s="247">
        <v>2.7300000000000001E-2</v>
      </c>
      <c r="O103" s="247">
        <v>6.6799999999999998E-2</v>
      </c>
      <c r="P103" s="247">
        <v>5.21E-2</v>
      </c>
      <c r="Q103" s="247">
        <v>8.4900000000000003E-2</v>
      </c>
      <c r="R103" s="247">
        <v>-0.13350000000000001</v>
      </c>
      <c r="S103" s="247">
        <v>-0.1053</v>
      </c>
      <c r="T103" s="248">
        <v>7.84</v>
      </c>
      <c r="U103" s="248">
        <v>0</v>
      </c>
      <c r="V103" s="248">
        <v>2.5</v>
      </c>
      <c r="W103" s="248">
        <v>2.5</v>
      </c>
      <c r="X103" s="248">
        <v>10.34</v>
      </c>
      <c r="Y103" s="248">
        <v>0.01</v>
      </c>
      <c r="Z103" s="248">
        <v>10.33</v>
      </c>
      <c r="AA103" s="247">
        <v>1.4E-3</v>
      </c>
      <c r="AB103" s="246">
        <v>0.62</v>
      </c>
      <c r="AC103" s="247">
        <v>0.22159999999999999</v>
      </c>
      <c r="AD103" s="247">
        <v>0.24179999999999999</v>
      </c>
      <c r="AE103" s="247">
        <v>0.28470000000000001</v>
      </c>
      <c r="AF103" s="247">
        <v>0.31890000000000002</v>
      </c>
      <c r="AG103" s="248">
        <v>0</v>
      </c>
      <c r="AH103" s="246">
        <v>69.06</v>
      </c>
      <c r="AI103" s="247">
        <v>-1.47E-2</v>
      </c>
      <c r="AJ103" s="246">
        <v>-0.59</v>
      </c>
      <c r="AK103" s="246" t="s">
        <v>384</v>
      </c>
      <c r="AL103" s="246" t="s">
        <v>384</v>
      </c>
      <c r="AM103" s="246">
        <v>1</v>
      </c>
      <c r="AN103" s="233" t="s">
        <v>384</v>
      </c>
      <c r="AO103" s="246" t="s">
        <v>384</v>
      </c>
      <c r="AP103" s="246" t="s">
        <v>384</v>
      </c>
      <c r="AQ103" s="246" t="s">
        <v>384</v>
      </c>
      <c r="AR103" s="246" t="s">
        <v>384</v>
      </c>
      <c r="AS103" s="246" t="s">
        <v>384</v>
      </c>
      <c r="AT103" s="246">
        <v>0.89</v>
      </c>
      <c r="AU103" s="246">
        <v>0.25</v>
      </c>
      <c r="AV103" s="246">
        <v>1.91</v>
      </c>
      <c r="AW103" s="246" t="s">
        <v>384</v>
      </c>
      <c r="AX103" s="246">
        <v>27.54</v>
      </c>
      <c r="AY103" s="246">
        <v>1.1499999999999999</v>
      </c>
      <c r="AZ103" s="246">
        <v>2.52</v>
      </c>
      <c r="BA103" s="246" t="s">
        <v>384</v>
      </c>
      <c r="BB103" s="247">
        <v>0</v>
      </c>
      <c r="BC103" s="247">
        <v>2.2940999999999998</v>
      </c>
      <c r="BD103" s="246" t="s">
        <v>384</v>
      </c>
      <c r="BE103" s="246" t="s">
        <v>384</v>
      </c>
      <c r="BF103" s="247">
        <v>-7.4700000000000003E-2</v>
      </c>
      <c r="BG103" s="247">
        <v>-7.9000000000000001E-2</v>
      </c>
      <c r="BH103" s="246" t="s">
        <v>384</v>
      </c>
      <c r="BI103" s="246" t="s">
        <v>384</v>
      </c>
      <c r="BJ103" s="247">
        <v>-3.8100000000000002E-2</v>
      </c>
      <c r="BK103" s="247">
        <v>-2.0400000000000001E-2</v>
      </c>
      <c r="BL103" s="246">
        <v>0.36</v>
      </c>
      <c r="BM103" s="247">
        <v>-9.8000000000000004E-2</v>
      </c>
      <c r="BN103" s="247">
        <v>-5.62E-2</v>
      </c>
      <c r="BO103" s="247">
        <v>1.6799999999999999E-2</v>
      </c>
      <c r="BP103" s="247">
        <v>0.22</v>
      </c>
      <c r="BQ103" s="247">
        <v>0</v>
      </c>
      <c r="BR103" s="246" t="s">
        <v>384</v>
      </c>
      <c r="BS103" s="248">
        <v>-0.46</v>
      </c>
      <c r="BT103" s="248">
        <v>-0.39</v>
      </c>
      <c r="BU103" s="248">
        <v>-0.22</v>
      </c>
      <c r="BV103" s="248">
        <v>-0.22</v>
      </c>
      <c r="BW103" s="248">
        <v>7.0000000000000007E-2</v>
      </c>
      <c r="BX103" s="248">
        <v>4.0999999999999996</v>
      </c>
      <c r="BY103" s="248">
        <v>3.93</v>
      </c>
      <c r="BZ103" s="248">
        <v>0.39</v>
      </c>
      <c r="CA103" s="248">
        <v>0.38</v>
      </c>
      <c r="CB103" s="248">
        <v>-0.22</v>
      </c>
      <c r="CC103" s="248">
        <v>0.51</v>
      </c>
      <c r="CD103" s="248">
        <v>0</v>
      </c>
      <c r="CE103" s="248">
        <v>0.69</v>
      </c>
      <c r="CF103" s="247">
        <v>0.17430000000000001</v>
      </c>
      <c r="CG103" s="248">
        <v>0.4</v>
      </c>
      <c r="CH103" s="246" t="s">
        <v>384</v>
      </c>
      <c r="CI103" s="248">
        <v>-0.62</v>
      </c>
      <c r="CJ103" s="248">
        <v>-1.3</v>
      </c>
      <c r="CK103" s="248">
        <v>-0.78</v>
      </c>
      <c r="CL103" s="248">
        <v>10.1</v>
      </c>
      <c r="CM103" s="248">
        <v>10.83</v>
      </c>
      <c r="CN103" s="248">
        <v>8.7799999999999994</v>
      </c>
      <c r="CO103" s="248">
        <v>8.9600000000000009</v>
      </c>
      <c r="CP103" s="248">
        <v>0</v>
      </c>
      <c r="CQ103" s="246">
        <v>-0.13</v>
      </c>
      <c r="CR103" s="246">
        <v>-0.48</v>
      </c>
      <c r="CS103" s="246">
        <v>0.42</v>
      </c>
      <c r="CT103" s="246">
        <v>1.1499999999999999</v>
      </c>
      <c r="CU103" s="246">
        <v>0.83</v>
      </c>
      <c r="CV103" s="248">
        <v>0.1</v>
      </c>
      <c r="CW103" s="248">
        <v>-1.1200000000000001</v>
      </c>
      <c r="CX103" s="248">
        <v>0</v>
      </c>
      <c r="CY103" s="246" t="s">
        <v>384</v>
      </c>
      <c r="CZ103" s="246" t="s">
        <v>384</v>
      </c>
      <c r="DA103" s="246" t="s">
        <v>384</v>
      </c>
      <c r="DB103" s="246" t="s">
        <v>384</v>
      </c>
      <c r="DC103" s="248">
        <v>0.38</v>
      </c>
      <c r="DD103" s="248">
        <v>10.33</v>
      </c>
      <c r="DE103" s="246" t="s">
        <v>384</v>
      </c>
      <c r="DF103" s="248">
        <v>0</v>
      </c>
      <c r="DG103" s="248">
        <v>-0.22</v>
      </c>
      <c r="DH103" s="248">
        <v>8.9600000000000009</v>
      </c>
      <c r="DI103" s="248">
        <v>0.39</v>
      </c>
      <c r="DJ103" s="247">
        <v>-3.8100000000000002E-2</v>
      </c>
      <c r="DK103" s="247">
        <v>-2.0400000000000001E-2</v>
      </c>
      <c r="DL103" s="246">
        <v>26.21</v>
      </c>
      <c r="DM103" s="246">
        <v>0.01</v>
      </c>
      <c r="DN103" s="246">
        <v>36.36</v>
      </c>
      <c r="DO103" s="246">
        <v>0.1</v>
      </c>
      <c r="DP103" s="247">
        <v>4.4000000000000003E-3</v>
      </c>
      <c r="DQ103" s="248">
        <v>-0.82</v>
      </c>
      <c r="DR103" s="246" t="s">
        <v>1243</v>
      </c>
      <c r="DS103" s="246" t="s">
        <v>1568</v>
      </c>
      <c r="DT103" s="246" t="e">
        <v>#REF!</v>
      </c>
      <c r="DU103" s="246" t="s">
        <v>388</v>
      </c>
      <c r="DV103" s="248">
        <v>-0.22</v>
      </c>
      <c r="DW103" s="246" t="s">
        <v>1173</v>
      </c>
      <c r="DX103" s="246" t="s">
        <v>388</v>
      </c>
      <c r="DY103" s="246" t="s">
        <v>1569</v>
      </c>
      <c r="DZ103" s="246">
        <v>41</v>
      </c>
      <c r="EA103" s="247">
        <v>7.6899999999999996E-2</v>
      </c>
      <c r="EB103" s="247">
        <v>0.34029999999999999</v>
      </c>
      <c r="EC103" s="247">
        <v>3.3887</v>
      </c>
      <c r="ED103" s="247">
        <v>-0.44</v>
      </c>
      <c r="EE103" s="247">
        <v>2.5474999999999999</v>
      </c>
      <c r="EF103" s="247">
        <v>-4.6100000000000002E-2</v>
      </c>
      <c r="EG103" s="247">
        <v>-7.3099999999999998E-2</v>
      </c>
      <c r="EH103" s="247">
        <v>-5.6000000000000001E-2</v>
      </c>
      <c r="EI103" s="248">
        <v>-0.82</v>
      </c>
      <c r="EJ103" s="234">
        <v>-0.22</v>
      </c>
      <c r="EK103" s="234">
        <v>-0.3</v>
      </c>
      <c r="EL103" s="234" t="s">
        <v>1570</v>
      </c>
      <c r="EM103" s="234" t="s">
        <v>1571</v>
      </c>
      <c r="EN103" s="234" t="s">
        <v>1572</v>
      </c>
      <c r="EO103" s="234" t="s">
        <v>1503</v>
      </c>
      <c r="EP103" s="234" t="s">
        <v>1497</v>
      </c>
      <c r="EQ103" s="234" t="s">
        <v>1573</v>
      </c>
      <c r="ER103" s="234">
        <v>0</v>
      </c>
      <c r="ES103" s="249">
        <v>-8.8300000000000003E-2</v>
      </c>
      <c r="ET103" s="234" t="s">
        <v>384</v>
      </c>
      <c r="EU103" s="250">
        <v>3.93</v>
      </c>
      <c r="EV103" s="234" t="s">
        <v>491</v>
      </c>
      <c r="EW103" s="250">
        <v>14.7</v>
      </c>
      <c r="EX103" s="250">
        <v>13.9</v>
      </c>
      <c r="EY103" s="250">
        <v>12.7</v>
      </c>
      <c r="EZ103" s="250">
        <v>1.8</v>
      </c>
      <c r="FA103" s="250">
        <v>2.21</v>
      </c>
      <c r="FB103" s="250">
        <v>2.38</v>
      </c>
      <c r="FC103" s="250">
        <v>1.18</v>
      </c>
      <c r="FD103" s="249">
        <v>0</v>
      </c>
      <c r="FE103" s="250">
        <v>0</v>
      </c>
      <c r="FF103" s="250">
        <v>0</v>
      </c>
    </row>
    <row r="104" spans="1:162">
      <c r="A104" s="234" t="s">
        <v>1574</v>
      </c>
      <c r="B104" s="234" t="s">
        <v>1575</v>
      </c>
      <c r="C104" s="246" t="s">
        <v>401</v>
      </c>
      <c r="D104" s="246" t="s">
        <v>362</v>
      </c>
      <c r="E104" s="246">
        <v>4210</v>
      </c>
      <c r="F104" s="246" t="s">
        <v>1576</v>
      </c>
      <c r="G104" s="246" t="s">
        <v>417</v>
      </c>
      <c r="H104" s="246" t="s">
        <v>1577</v>
      </c>
      <c r="I104" s="246">
        <v>0.66930000000000001</v>
      </c>
      <c r="J104" s="246">
        <v>0.66930000000000001</v>
      </c>
      <c r="K104" s="247">
        <v>7.0800000000000002E-2</v>
      </c>
      <c r="L104" s="247">
        <v>8.6900000000000005E-2</v>
      </c>
      <c r="M104" s="246" t="s">
        <v>384</v>
      </c>
      <c r="N104" s="247">
        <v>2.98E-2</v>
      </c>
      <c r="O104" s="247">
        <v>6.93E-2</v>
      </c>
      <c r="P104" s="247">
        <v>5.8200000000000002E-2</v>
      </c>
      <c r="Q104" s="247">
        <v>8.6900000000000005E-2</v>
      </c>
      <c r="R104" s="247">
        <v>-7.6200000000000004E-2</v>
      </c>
      <c r="S104" s="247">
        <v>-8.1100000000000005E-2</v>
      </c>
      <c r="T104" s="248">
        <v>7.73</v>
      </c>
      <c r="U104" s="248">
        <v>0</v>
      </c>
      <c r="V104" s="248">
        <v>0</v>
      </c>
      <c r="W104" s="248">
        <v>0</v>
      </c>
      <c r="X104" s="248">
        <v>7.73</v>
      </c>
      <c r="Y104" s="248">
        <v>0.04</v>
      </c>
      <c r="Z104" s="248">
        <v>7.7</v>
      </c>
      <c r="AA104" s="247">
        <v>4.4999999999999997E-3</v>
      </c>
      <c r="AB104" s="246" t="s">
        <v>384</v>
      </c>
      <c r="AC104" s="247">
        <v>0</v>
      </c>
      <c r="AD104" s="247">
        <v>0</v>
      </c>
      <c r="AE104" s="247">
        <v>0</v>
      </c>
      <c r="AF104" s="247">
        <v>0</v>
      </c>
      <c r="AG104" s="248">
        <v>3.37</v>
      </c>
      <c r="AH104" s="246">
        <v>69.06</v>
      </c>
      <c r="AI104" s="246" t="s">
        <v>384</v>
      </c>
      <c r="AJ104" s="246">
        <v>0.39</v>
      </c>
      <c r="AK104" s="247">
        <v>4.4699999999999997E-2</v>
      </c>
      <c r="AL104" s="246" t="s">
        <v>384</v>
      </c>
      <c r="AM104" s="246">
        <v>0.31</v>
      </c>
      <c r="AN104" s="233" t="s">
        <v>384</v>
      </c>
      <c r="AO104" s="246">
        <v>188.54</v>
      </c>
      <c r="AP104" s="246">
        <v>171.78</v>
      </c>
      <c r="AQ104" s="246">
        <v>0</v>
      </c>
      <c r="AR104" s="246" t="s">
        <v>384</v>
      </c>
      <c r="AS104" s="246" t="s">
        <v>384</v>
      </c>
      <c r="AT104" s="246">
        <v>1.7</v>
      </c>
      <c r="AU104" s="246">
        <v>0</v>
      </c>
      <c r="AV104" s="246">
        <v>35.619999999999997</v>
      </c>
      <c r="AW104" s="246">
        <v>320.63</v>
      </c>
      <c r="AX104" s="246" t="s">
        <v>384</v>
      </c>
      <c r="AY104" s="246">
        <v>1.7</v>
      </c>
      <c r="AZ104" s="246">
        <v>35.46</v>
      </c>
      <c r="BA104" s="247">
        <v>0</v>
      </c>
      <c r="BB104" s="247">
        <v>0</v>
      </c>
      <c r="BC104" s="246" t="s">
        <v>384</v>
      </c>
      <c r="BD104" s="247">
        <v>0.749</v>
      </c>
      <c r="BE104" s="247">
        <v>0.42699999999999999</v>
      </c>
      <c r="BF104" s="247">
        <v>0.115</v>
      </c>
      <c r="BG104" s="247">
        <v>8.4199999999999997E-2</v>
      </c>
      <c r="BH104" s="246" t="s">
        <v>384</v>
      </c>
      <c r="BI104" s="246" t="s">
        <v>384</v>
      </c>
      <c r="BJ104" s="247">
        <v>1.0699999999999999E-2</v>
      </c>
      <c r="BK104" s="247">
        <v>5.7999999999999996E-3</v>
      </c>
      <c r="BL104" s="246">
        <v>0.06</v>
      </c>
      <c r="BM104" s="247">
        <v>0.1837</v>
      </c>
      <c r="BN104" s="247">
        <v>9.8000000000000004E-2</v>
      </c>
      <c r="BO104" s="247">
        <v>0.53059999999999996</v>
      </c>
      <c r="BP104" s="247">
        <v>0.16</v>
      </c>
      <c r="BQ104" s="247">
        <v>0</v>
      </c>
      <c r="BR104" s="246" t="s">
        <v>384</v>
      </c>
      <c r="BS104" s="248">
        <v>0.04</v>
      </c>
      <c r="BT104" s="248">
        <v>0.05</v>
      </c>
      <c r="BU104" s="248">
        <v>0.02</v>
      </c>
      <c r="BV104" s="248">
        <v>0.02</v>
      </c>
      <c r="BW104" s="248">
        <v>0.13</v>
      </c>
      <c r="BX104" s="248">
        <v>0.22</v>
      </c>
      <c r="BY104" s="248">
        <v>0.25</v>
      </c>
      <c r="BZ104" s="248">
        <v>0</v>
      </c>
      <c r="CA104" s="248">
        <v>0</v>
      </c>
      <c r="CB104" s="248">
        <v>0.02</v>
      </c>
      <c r="CC104" s="248">
        <v>0</v>
      </c>
      <c r="CD104" s="248">
        <v>0</v>
      </c>
      <c r="CE104" s="248">
        <v>0.36</v>
      </c>
      <c r="CF104" s="247">
        <v>1.4612000000000001</v>
      </c>
      <c r="CG104" s="248">
        <v>0</v>
      </c>
      <c r="CH104" s="247">
        <v>0</v>
      </c>
      <c r="CI104" s="248">
        <v>0.02</v>
      </c>
      <c r="CJ104" s="248">
        <v>0.05</v>
      </c>
      <c r="CK104" s="248">
        <v>0.05</v>
      </c>
      <c r="CL104" s="248">
        <v>4.2</v>
      </c>
      <c r="CM104" s="248">
        <v>4.1500000000000004</v>
      </c>
      <c r="CN104" s="248">
        <v>4.5599999999999996</v>
      </c>
      <c r="CO104" s="248">
        <v>4.53</v>
      </c>
      <c r="CP104" s="248">
        <v>0</v>
      </c>
      <c r="CQ104" s="246">
        <v>-0.25</v>
      </c>
      <c r="CR104" s="246" t="s">
        <v>384</v>
      </c>
      <c r="CS104" s="246">
        <v>0.42</v>
      </c>
      <c r="CT104" s="246" t="s">
        <v>384</v>
      </c>
      <c r="CU104" s="246" t="s">
        <v>384</v>
      </c>
      <c r="CV104" s="248">
        <v>0</v>
      </c>
      <c r="CW104" s="248">
        <v>0.02</v>
      </c>
      <c r="CX104" s="248">
        <v>0</v>
      </c>
      <c r="CY104" s="248">
        <v>0.05</v>
      </c>
      <c r="CZ104" s="246" t="s">
        <v>384</v>
      </c>
      <c r="DA104" s="248">
        <v>0.05</v>
      </c>
      <c r="DB104" s="248">
        <v>7.73</v>
      </c>
      <c r="DC104" s="246" t="s">
        <v>384</v>
      </c>
      <c r="DD104" s="246" t="s">
        <v>384</v>
      </c>
      <c r="DE104" s="246" t="s">
        <v>384</v>
      </c>
      <c r="DF104" s="248">
        <v>0</v>
      </c>
      <c r="DG104" s="248">
        <v>0.02</v>
      </c>
      <c r="DH104" s="248">
        <v>4.53</v>
      </c>
      <c r="DI104" s="248">
        <v>0</v>
      </c>
      <c r="DJ104" s="247">
        <v>1.0699999999999999E-2</v>
      </c>
      <c r="DK104" s="247">
        <v>5.7999999999999996E-3</v>
      </c>
      <c r="DL104" s="246" t="s">
        <v>384</v>
      </c>
      <c r="DM104" s="246">
        <v>-0.02</v>
      </c>
      <c r="DN104" s="246">
        <v>3.56</v>
      </c>
      <c r="DO104" s="246">
        <v>0</v>
      </c>
      <c r="DP104" s="247">
        <v>5.9999999999999995E-4</v>
      </c>
      <c r="DQ104" s="246" t="s">
        <v>1387</v>
      </c>
      <c r="DR104" s="246" t="s">
        <v>644</v>
      </c>
      <c r="DS104" s="246" t="s">
        <v>644</v>
      </c>
      <c r="DT104" s="246" t="e">
        <v>#REF!</v>
      </c>
      <c r="DU104" s="246" t="s">
        <v>388</v>
      </c>
      <c r="DV104" s="246" t="s">
        <v>1578</v>
      </c>
      <c r="DW104" s="246" t="s">
        <v>388</v>
      </c>
      <c r="DX104" s="246" t="s">
        <v>1073</v>
      </c>
      <c r="DY104" s="246" t="s">
        <v>377</v>
      </c>
      <c r="DZ104" s="246">
        <v>29</v>
      </c>
      <c r="EA104" s="246" t="s">
        <v>384</v>
      </c>
      <c r="EB104" s="246" t="s">
        <v>384</v>
      </c>
      <c r="EC104" s="246" t="s">
        <v>384</v>
      </c>
      <c r="ED104" s="247">
        <v>0.22500000000000001</v>
      </c>
      <c r="EE104" s="246" t="s">
        <v>384</v>
      </c>
      <c r="EF104" s="247">
        <v>7.46E-2</v>
      </c>
      <c r="EG104" s="247">
        <v>0.1009</v>
      </c>
      <c r="EH104" s="247">
        <v>9.8000000000000004E-2</v>
      </c>
      <c r="EI104" s="246" t="s">
        <v>1387</v>
      </c>
      <c r="EJ104" s="234">
        <v>0.02</v>
      </c>
      <c r="EK104" s="234">
        <v>0.02</v>
      </c>
      <c r="EL104" s="234" t="s">
        <v>377</v>
      </c>
      <c r="EM104" s="234" t="s">
        <v>377</v>
      </c>
      <c r="EN104" s="234" t="s">
        <v>377</v>
      </c>
      <c r="EO104" s="234" t="s">
        <v>1579</v>
      </c>
      <c r="EP104" s="234" t="s">
        <v>376</v>
      </c>
      <c r="EQ104" s="234" t="s">
        <v>377</v>
      </c>
      <c r="ER104" s="234">
        <v>1</v>
      </c>
      <c r="ES104" s="249">
        <v>6.8400000000000002E-2</v>
      </c>
      <c r="ET104" s="234" t="s">
        <v>384</v>
      </c>
      <c r="EU104" s="250">
        <v>0.25</v>
      </c>
      <c r="EV104" s="234" t="s">
        <v>491</v>
      </c>
      <c r="EW104" s="250">
        <v>0</v>
      </c>
      <c r="EX104" s="250">
        <v>0</v>
      </c>
      <c r="EY104" s="250">
        <v>0</v>
      </c>
      <c r="EZ104" s="250">
        <v>8.9</v>
      </c>
      <c r="FA104" s="250">
        <v>0</v>
      </c>
      <c r="FB104" s="250">
        <v>0</v>
      </c>
      <c r="FC104" s="250">
        <v>0</v>
      </c>
      <c r="FD104" s="249">
        <v>0</v>
      </c>
      <c r="FE104" s="250">
        <v>0</v>
      </c>
      <c r="FF104" s="250">
        <v>0</v>
      </c>
    </row>
    <row r="105" spans="1:162">
      <c r="A105" s="234" t="s">
        <v>1580</v>
      </c>
      <c r="B105" s="234" t="s">
        <v>1581</v>
      </c>
      <c r="C105" s="246" t="s">
        <v>361</v>
      </c>
      <c r="D105" s="246" t="s">
        <v>362</v>
      </c>
      <c r="E105" s="246">
        <v>4210</v>
      </c>
      <c r="F105" s="246" t="s">
        <v>1582</v>
      </c>
      <c r="G105" s="246" t="s">
        <v>417</v>
      </c>
      <c r="H105" s="246" t="s">
        <v>418</v>
      </c>
      <c r="I105" s="246">
        <v>0.74739999999999995</v>
      </c>
      <c r="J105" s="246">
        <v>0.74739999999999995</v>
      </c>
      <c r="K105" s="247">
        <v>0.1394</v>
      </c>
      <c r="L105" s="247">
        <v>0.14369999999999999</v>
      </c>
      <c r="M105" s="246" t="s">
        <v>384</v>
      </c>
      <c r="N105" s="247">
        <v>7.4800000000000005E-2</v>
      </c>
      <c r="O105" s="247">
        <v>0.1143</v>
      </c>
      <c r="P105" s="247">
        <v>8.1199999999999994E-2</v>
      </c>
      <c r="Q105" s="247">
        <v>0.14369999999999999</v>
      </c>
      <c r="R105" s="247">
        <v>-5.62E-2</v>
      </c>
      <c r="S105" s="247">
        <v>-2.1299999999999999E-2</v>
      </c>
      <c r="T105" s="248">
        <v>6.38</v>
      </c>
      <c r="U105" s="248">
        <v>0</v>
      </c>
      <c r="V105" s="248">
        <v>0</v>
      </c>
      <c r="W105" s="248">
        <v>0</v>
      </c>
      <c r="X105" s="248">
        <v>6.38</v>
      </c>
      <c r="Y105" s="248">
        <v>0.23</v>
      </c>
      <c r="Z105" s="248">
        <v>6.15</v>
      </c>
      <c r="AA105" s="247">
        <v>3.5900000000000001E-2</v>
      </c>
      <c r="AB105" s="246">
        <v>0.05</v>
      </c>
      <c r="AC105" s="247">
        <v>0</v>
      </c>
      <c r="AD105" s="247">
        <v>0</v>
      </c>
      <c r="AE105" s="247">
        <v>0</v>
      </c>
      <c r="AF105" s="247">
        <v>0</v>
      </c>
      <c r="AG105" s="248">
        <v>0.23</v>
      </c>
      <c r="AH105" s="246">
        <v>69.06</v>
      </c>
      <c r="AI105" s="246" t="s">
        <v>384</v>
      </c>
      <c r="AJ105" s="246">
        <v>0.19</v>
      </c>
      <c r="AK105" s="246" t="s">
        <v>384</v>
      </c>
      <c r="AL105" s="246" t="s">
        <v>384</v>
      </c>
      <c r="AM105" s="246">
        <v>0.52</v>
      </c>
      <c r="AN105" s="233">
        <v>4.42</v>
      </c>
      <c r="AO105" s="246">
        <v>18.13</v>
      </c>
      <c r="AP105" s="246">
        <v>17.579999999999998</v>
      </c>
      <c r="AQ105" s="246">
        <v>0</v>
      </c>
      <c r="AR105" s="246" t="s">
        <v>384</v>
      </c>
      <c r="AS105" s="246" t="s">
        <v>384</v>
      </c>
      <c r="AT105" s="246">
        <v>1.42</v>
      </c>
      <c r="AU105" s="246">
        <v>0</v>
      </c>
      <c r="AV105" s="246">
        <v>1.35</v>
      </c>
      <c r="AW105" s="246">
        <v>9.67</v>
      </c>
      <c r="AX105" s="246">
        <v>8.1999999999999993</v>
      </c>
      <c r="AY105" s="246">
        <v>1.44</v>
      </c>
      <c r="AZ105" s="246">
        <v>1.3</v>
      </c>
      <c r="BA105" s="247">
        <v>0</v>
      </c>
      <c r="BB105" s="247">
        <v>0</v>
      </c>
      <c r="BC105" s="246" t="s">
        <v>384</v>
      </c>
      <c r="BD105" s="247">
        <v>0.71799999999999997</v>
      </c>
      <c r="BE105" s="246" t="s">
        <v>384</v>
      </c>
      <c r="BF105" s="247">
        <v>7.2700000000000001E-2</v>
      </c>
      <c r="BG105" s="246" t="s">
        <v>384</v>
      </c>
      <c r="BH105" s="246" t="s">
        <v>384</v>
      </c>
      <c r="BI105" s="246" t="s">
        <v>384</v>
      </c>
      <c r="BJ105" s="247">
        <v>8.7499999999999994E-2</v>
      </c>
      <c r="BK105" s="247">
        <v>0.12239999999999999</v>
      </c>
      <c r="BL105" s="246">
        <v>1.31</v>
      </c>
      <c r="BM105" s="247">
        <v>7.3499999999999996E-2</v>
      </c>
      <c r="BN105" s="247">
        <v>0.12870000000000001</v>
      </c>
      <c r="BO105" s="247">
        <v>0.37040000000000001</v>
      </c>
      <c r="BP105" s="247">
        <v>0.28999999999999998</v>
      </c>
      <c r="BQ105" s="247">
        <v>0.27539999999999998</v>
      </c>
      <c r="BR105" s="246" t="s">
        <v>384</v>
      </c>
      <c r="BS105" s="248">
        <v>0.35</v>
      </c>
      <c r="BT105" s="248">
        <v>0.36</v>
      </c>
      <c r="BU105" s="248">
        <v>0.64</v>
      </c>
      <c r="BV105" s="248">
        <v>0.64</v>
      </c>
      <c r="BW105" s="248">
        <v>1.83</v>
      </c>
      <c r="BX105" s="248">
        <v>4.7300000000000004</v>
      </c>
      <c r="BY105" s="248">
        <v>4.9400000000000004</v>
      </c>
      <c r="BZ105" s="248">
        <v>0.74</v>
      </c>
      <c r="CA105" s="248">
        <v>0.75</v>
      </c>
      <c r="CB105" s="248">
        <v>0.46</v>
      </c>
      <c r="CC105" s="248">
        <v>0.09</v>
      </c>
      <c r="CD105" s="248">
        <v>0.63</v>
      </c>
      <c r="CE105" s="248">
        <v>2.4500000000000002</v>
      </c>
      <c r="CF105" s="247">
        <v>0.49619999999999997</v>
      </c>
      <c r="CG105" s="248">
        <v>0.15</v>
      </c>
      <c r="CH105" s="247">
        <v>1.6970000000000001</v>
      </c>
      <c r="CI105" s="248">
        <v>-0.32</v>
      </c>
      <c r="CJ105" s="248">
        <v>-0.51</v>
      </c>
      <c r="CK105" s="248">
        <v>-0.42</v>
      </c>
      <c r="CL105" s="248">
        <v>4.1500000000000004</v>
      </c>
      <c r="CM105" s="248">
        <v>3.76</v>
      </c>
      <c r="CN105" s="248">
        <v>4.49</v>
      </c>
      <c r="CO105" s="248">
        <v>4.26</v>
      </c>
      <c r="CP105" s="248">
        <v>0</v>
      </c>
      <c r="CQ105" s="246">
        <v>-0.1</v>
      </c>
      <c r="CR105" s="246">
        <v>0.45</v>
      </c>
      <c r="CS105" s="246">
        <v>0.42</v>
      </c>
      <c r="CT105" s="246" t="s">
        <v>384</v>
      </c>
      <c r="CU105" s="246" t="s">
        <v>384</v>
      </c>
      <c r="CV105" s="246" t="s">
        <v>384</v>
      </c>
      <c r="CW105" s="246" t="s">
        <v>384</v>
      </c>
      <c r="CX105" s="248">
        <v>0</v>
      </c>
      <c r="CY105" s="248">
        <v>0.5</v>
      </c>
      <c r="CZ105" s="248">
        <v>0.14000000000000001</v>
      </c>
      <c r="DA105" s="248">
        <v>0.36</v>
      </c>
      <c r="DB105" s="248">
        <v>6.38</v>
      </c>
      <c r="DC105" s="248">
        <v>0.75</v>
      </c>
      <c r="DD105" s="248">
        <v>6.15</v>
      </c>
      <c r="DE105" s="246" t="s">
        <v>384</v>
      </c>
      <c r="DF105" s="248">
        <v>0</v>
      </c>
      <c r="DG105" s="248">
        <v>0.64</v>
      </c>
      <c r="DH105" s="248">
        <v>4.26</v>
      </c>
      <c r="DI105" s="248">
        <v>0.74</v>
      </c>
      <c r="DJ105" s="247">
        <v>8.7499999999999994E-2</v>
      </c>
      <c r="DK105" s="247">
        <v>0.12239999999999999</v>
      </c>
      <c r="DL105" s="246">
        <v>8.35</v>
      </c>
      <c r="DM105" s="246">
        <v>0.11</v>
      </c>
      <c r="DN105" s="246" t="s">
        <v>384</v>
      </c>
      <c r="DO105" s="246" t="s">
        <v>384</v>
      </c>
      <c r="DP105" s="246" t="s">
        <v>384</v>
      </c>
      <c r="DQ105" s="246" t="s">
        <v>1583</v>
      </c>
      <c r="DR105" s="246" t="s">
        <v>628</v>
      </c>
      <c r="DS105" s="246" t="s">
        <v>1528</v>
      </c>
      <c r="DT105" s="246" t="e">
        <v>#REF!</v>
      </c>
      <c r="DU105" s="246" t="s">
        <v>388</v>
      </c>
      <c r="DV105" s="246" t="s">
        <v>1584</v>
      </c>
      <c r="DW105" s="246" t="s">
        <v>1316</v>
      </c>
      <c r="DX105" s="246" t="s">
        <v>1073</v>
      </c>
      <c r="DY105" s="246" t="s">
        <v>1585</v>
      </c>
      <c r="DZ105" s="246">
        <v>15</v>
      </c>
      <c r="EA105" s="247">
        <v>0.44119999999999998</v>
      </c>
      <c r="EB105" s="247">
        <v>8.6699999999999999E-2</v>
      </c>
      <c r="EC105" s="246" t="s">
        <v>384</v>
      </c>
      <c r="ED105" s="246" t="s">
        <v>384</v>
      </c>
      <c r="EE105" s="247">
        <v>0.56369999999999998</v>
      </c>
      <c r="EF105" s="247">
        <v>379</v>
      </c>
      <c r="EG105" s="247">
        <v>-12.538500000000001</v>
      </c>
      <c r="EH105" s="247">
        <v>0.129</v>
      </c>
      <c r="EI105" s="246" t="s">
        <v>1387</v>
      </c>
      <c r="EJ105" s="234">
        <v>0.64</v>
      </c>
      <c r="EK105" s="234">
        <v>-0.16</v>
      </c>
      <c r="EL105" s="234" t="s">
        <v>1586</v>
      </c>
      <c r="EM105" s="234" t="s">
        <v>1587</v>
      </c>
      <c r="EN105" s="234" t="s">
        <v>1588</v>
      </c>
      <c r="EO105" s="234" t="s">
        <v>377</v>
      </c>
      <c r="EP105" s="234" t="s">
        <v>376</v>
      </c>
      <c r="EQ105" s="234" t="s">
        <v>377</v>
      </c>
      <c r="ER105" s="234">
        <v>1</v>
      </c>
      <c r="ES105" s="249">
        <v>0.68189999999999995</v>
      </c>
      <c r="ET105" s="234" t="s">
        <v>384</v>
      </c>
      <c r="EU105" s="250">
        <v>4.9400000000000004</v>
      </c>
      <c r="EV105" s="234" t="s">
        <v>491</v>
      </c>
      <c r="EW105" s="250">
        <v>0</v>
      </c>
      <c r="EX105" s="250">
        <v>0</v>
      </c>
      <c r="EY105" s="250">
        <v>9.52</v>
      </c>
      <c r="EZ105" s="250">
        <v>0</v>
      </c>
      <c r="FA105" s="250">
        <v>4.08</v>
      </c>
      <c r="FB105" s="250">
        <v>0</v>
      </c>
      <c r="FC105" s="250">
        <v>0.25</v>
      </c>
      <c r="FD105" s="249">
        <v>0</v>
      </c>
      <c r="FE105" s="250">
        <v>0</v>
      </c>
      <c r="FF105" s="250">
        <v>0</v>
      </c>
    </row>
    <row r="106" spans="1:162">
      <c r="A106" s="234" t="s">
        <v>1589</v>
      </c>
      <c r="B106" s="234" t="s">
        <v>1590</v>
      </c>
      <c r="C106" s="246" t="s">
        <v>361</v>
      </c>
      <c r="D106" s="246" t="s">
        <v>362</v>
      </c>
      <c r="E106" s="246">
        <v>4210</v>
      </c>
      <c r="F106" s="246" t="s">
        <v>1019</v>
      </c>
      <c r="G106" s="246" t="s">
        <v>417</v>
      </c>
      <c r="H106" s="246" t="s">
        <v>418</v>
      </c>
      <c r="I106" s="246">
        <v>0.74739999999999995</v>
      </c>
      <c r="J106" s="246">
        <v>0.78800000000000003</v>
      </c>
      <c r="K106" s="247">
        <v>6.6900000000000001E-2</v>
      </c>
      <c r="L106" s="247">
        <v>9.2200000000000004E-2</v>
      </c>
      <c r="M106" s="246" t="s">
        <v>384</v>
      </c>
      <c r="N106" s="247">
        <v>2.7300000000000001E-2</v>
      </c>
      <c r="O106" s="247">
        <v>6.6799999999999998E-2</v>
      </c>
      <c r="P106" s="247">
        <v>5.21E-2</v>
      </c>
      <c r="Q106" s="247">
        <v>8.9599999999999999E-2</v>
      </c>
      <c r="R106" s="247">
        <v>-0.1409</v>
      </c>
      <c r="S106" s="247">
        <v>-0.1605</v>
      </c>
      <c r="T106" s="248">
        <v>6.38</v>
      </c>
      <c r="U106" s="248">
        <v>0</v>
      </c>
      <c r="V106" s="248">
        <v>0.44</v>
      </c>
      <c r="W106" s="248">
        <v>0.44</v>
      </c>
      <c r="X106" s="248">
        <v>6.82</v>
      </c>
      <c r="Y106" s="248">
        <v>0.01</v>
      </c>
      <c r="Z106" s="248">
        <v>6.81</v>
      </c>
      <c r="AA106" s="247">
        <v>2.0999999999999999E-3</v>
      </c>
      <c r="AB106" s="246">
        <v>0.71</v>
      </c>
      <c r="AC106" s="247">
        <v>2.7E-2</v>
      </c>
      <c r="AD106" s="247">
        <v>6.5100000000000005E-2</v>
      </c>
      <c r="AE106" s="247">
        <v>2.7799999999999998E-2</v>
      </c>
      <c r="AF106" s="247">
        <v>6.9599999999999995E-2</v>
      </c>
      <c r="AG106" s="248">
        <v>0.02</v>
      </c>
      <c r="AH106" s="246">
        <v>69.06</v>
      </c>
      <c r="AI106" s="247">
        <v>6.3500000000000001E-2</v>
      </c>
      <c r="AJ106" s="246">
        <v>0.22</v>
      </c>
      <c r="AK106" s="246" t="s">
        <v>384</v>
      </c>
      <c r="AL106" s="246" t="s">
        <v>384</v>
      </c>
      <c r="AM106" s="246">
        <v>0.5</v>
      </c>
      <c r="AN106" s="233" t="s">
        <v>384</v>
      </c>
      <c r="AO106" s="246" t="s">
        <v>384</v>
      </c>
      <c r="AP106" s="246" t="s">
        <v>384</v>
      </c>
      <c r="AQ106" s="246" t="s">
        <v>384</v>
      </c>
      <c r="AR106" s="246" t="s">
        <v>384</v>
      </c>
      <c r="AS106" s="246" t="s">
        <v>384</v>
      </c>
      <c r="AT106" s="246">
        <v>0.4</v>
      </c>
      <c r="AU106" s="246">
        <v>0.17</v>
      </c>
      <c r="AV106" s="246">
        <v>1.27</v>
      </c>
      <c r="AW106" s="246" t="s">
        <v>384</v>
      </c>
      <c r="AX106" s="246" t="s">
        <v>384</v>
      </c>
      <c r="AY106" s="246">
        <v>0.41</v>
      </c>
      <c r="AZ106" s="246">
        <v>1.35</v>
      </c>
      <c r="BA106" s="246" t="s">
        <v>384</v>
      </c>
      <c r="BB106" s="247">
        <v>0</v>
      </c>
      <c r="BC106" s="247">
        <v>1.1126</v>
      </c>
      <c r="BD106" s="246" t="s">
        <v>384</v>
      </c>
      <c r="BE106" s="246" t="s">
        <v>384</v>
      </c>
      <c r="BF106" s="247">
        <v>-0.104</v>
      </c>
      <c r="BG106" s="246" t="s">
        <v>384</v>
      </c>
      <c r="BH106" s="246" t="s">
        <v>384</v>
      </c>
      <c r="BI106" s="246" t="s">
        <v>384</v>
      </c>
      <c r="BJ106" s="247">
        <v>-4.87E-2</v>
      </c>
      <c r="BK106" s="247">
        <v>-7.0900000000000005E-2</v>
      </c>
      <c r="BL106" s="246">
        <v>0.2</v>
      </c>
      <c r="BM106" s="247">
        <v>-0.24160000000000001</v>
      </c>
      <c r="BN106" s="247">
        <v>-0.3634</v>
      </c>
      <c r="BO106" s="247">
        <v>6.9000000000000006E-2</v>
      </c>
      <c r="BP106" s="247">
        <v>0.22</v>
      </c>
      <c r="BQ106" s="247">
        <v>0</v>
      </c>
      <c r="BR106" s="246" t="s">
        <v>384</v>
      </c>
      <c r="BS106" s="248">
        <v>-1.04</v>
      </c>
      <c r="BT106" s="248">
        <v>-0.91</v>
      </c>
      <c r="BU106" s="248">
        <v>-1.37</v>
      </c>
      <c r="BV106" s="248">
        <v>-1.37</v>
      </c>
      <c r="BW106" s="248">
        <v>0.26</v>
      </c>
      <c r="BX106" s="248">
        <v>5.03</v>
      </c>
      <c r="BY106" s="248">
        <v>3.77</v>
      </c>
      <c r="BZ106" s="248">
        <v>-0.28999999999999998</v>
      </c>
      <c r="CA106" s="248">
        <v>-0.54</v>
      </c>
      <c r="CB106" s="248">
        <v>-1.37</v>
      </c>
      <c r="CC106" s="248">
        <v>0.54</v>
      </c>
      <c r="CD106" s="248">
        <v>0</v>
      </c>
      <c r="CE106" s="248">
        <v>0.52</v>
      </c>
      <c r="CF106" s="247">
        <v>0.1371</v>
      </c>
      <c r="CG106" s="248">
        <v>-0.16</v>
      </c>
      <c r="CH106" s="246" t="s">
        <v>384</v>
      </c>
      <c r="CI106" s="248">
        <v>-1.21</v>
      </c>
      <c r="CJ106" s="248">
        <v>-1.29</v>
      </c>
      <c r="CK106" s="248">
        <v>-0.75</v>
      </c>
      <c r="CL106" s="248">
        <v>18.7</v>
      </c>
      <c r="CM106" s="248">
        <v>19.32</v>
      </c>
      <c r="CN106" s="248">
        <v>16</v>
      </c>
      <c r="CO106" s="248">
        <v>16.43</v>
      </c>
      <c r="CP106" s="248">
        <v>0</v>
      </c>
      <c r="CQ106" s="246">
        <v>-0.06</v>
      </c>
      <c r="CR106" s="246">
        <v>0.4</v>
      </c>
      <c r="CS106" s="246">
        <v>0.42</v>
      </c>
      <c r="CT106" s="246">
        <v>0.63</v>
      </c>
      <c r="CU106" s="246">
        <v>0.75</v>
      </c>
      <c r="CV106" s="248">
        <v>-1.59</v>
      </c>
      <c r="CW106" s="248">
        <v>-1.56</v>
      </c>
      <c r="CX106" s="248">
        <v>0</v>
      </c>
      <c r="CY106" s="246" t="s">
        <v>384</v>
      </c>
      <c r="CZ106" s="246" t="s">
        <v>384</v>
      </c>
      <c r="DA106" s="246" t="s">
        <v>384</v>
      </c>
      <c r="DB106" s="246" t="s">
        <v>384</v>
      </c>
      <c r="DC106" s="246" t="s">
        <v>384</v>
      </c>
      <c r="DD106" s="246" t="s">
        <v>384</v>
      </c>
      <c r="DE106" s="246" t="s">
        <v>384</v>
      </c>
      <c r="DF106" s="248">
        <v>0</v>
      </c>
      <c r="DG106" s="248">
        <v>-1.37</v>
      </c>
      <c r="DH106" s="248">
        <v>16.43</v>
      </c>
      <c r="DI106" s="248">
        <v>-0.28999999999999998</v>
      </c>
      <c r="DJ106" s="247">
        <v>-4.87E-2</v>
      </c>
      <c r="DK106" s="247">
        <v>-7.0900000000000005E-2</v>
      </c>
      <c r="DL106" s="246" t="s">
        <v>384</v>
      </c>
      <c r="DM106" s="246">
        <v>0.21</v>
      </c>
      <c r="DN106" s="246">
        <v>23.78</v>
      </c>
      <c r="DO106" s="246">
        <v>-1.59</v>
      </c>
      <c r="DP106" s="247">
        <v>-7.9100000000000004E-2</v>
      </c>
      <c r="DQ106" s="248">
        <v>-0.24</v>
      </c>
      <c r="DR106" s="246" t="s">
        <v>1142</v>
      </c>
      <c r="DS106" s="246" t="s">
        <v>1591</v>
      </c>
      <c r="DT106" s="246" t="e">
        <v>#REF!</v>
      </c>
      <c r="DU106" s="246" t="s">
        <v>388</v>
      </c>
      <c r="DV106" s="248">
        <v>-1.37</v>
      </c>
      <c r="DW106" s="246" t="s">
        <v>406</v>
      </c>
      <c r="DX106" s="246" t="s">
        <v>1592</v>
      </c>
      <c r="DY106" s="246" t="s">
        <v>1593</v>
      </c>
      <c r="DZ106" s="246">
        <v>18</v>
      </c>
      <c r="EA106" s="247">
        <v>-0.1384</v>
      </c>
      <c r="EB106" s="247">
        <v>-3.2800000000000003E-2</v>
      </c>
      <c r="EC106" s="247">
        <v>0.31859999999999999</v>
      </c>
      <c r="ED106" s="247">
        <v>0.6401</v>
      </c>
      <c r="EE106" s="247">
        <v>0.80230000000000001</v>
      </c>
      <c r="EF106" s="247">
        <v>-0.1045</v>
      </c>
      <c r="EG106" s="247">
        <v>-0.3468</v>
      </c>
      <c r="EH106" s="247">
        <v>-0.36299999999999999</v>
      </c>
      <c r="EI106" s="248">
        <v>-0.24</v>
      </c>
      <c r="EJ106" s="234">
        <v>-1.37</v>
      </c>
      <c r="EK106" s="234">
        <v>-1.46</v>
      </c>
      <c r="EL106" s="234" t="s">
        <v>1594</v>
      </c>
      <c r="EM106" s="234" t="s">
        <v>1595</v>
      </c>
      <c r="EN106" s="234" t="s">
        <v>1596</v>
      </c>
      <c r="EO106" s="234" t="s">
        <v>1597</v>
      </c>
      <c r="EP106" s="234" t="s">
        <v>1598</v>
      </c>
      <c r="EQ106" s="234" t="s">
        <v>1599</v>
      </c>
      <c r="ER106" s="234">
        <v>0</v>
      </c>
      <c r="ES106" s="249">
        <v>-4.19E-2</v>
      </c>
      <c r="ET106" s="234" t="s">
        <v>384</v>
      </c>
      <c r="EU106" s="250">
        <v>3.77</v>
      </c>
      <c r="EV106" s="234" t="s">
        <v>491</v>
      </c>
      <c r="EW106" s="250">
        <v>5.7</v>
      </c>
      <c r="EX106" s="250">
        <v>4.95</v>
      </c>
      <c r="EY106" s="250">
        <v>4.21</v>
      </c>
      <c r="EZ106" s="250">
        <v>4.0999999999999996</v>
      </c>
      <c r="FA106" s="250">
        <v>3.54</v>
      </c>
      <c r="FB106" s="250">
        <v>3.02</v>
      </c>
      <c r="FC106" s="250">
        <v>0.28000000000000003</v>
      </c>
      <c r="FD106" s="249">
        <v>0</v>
      </c>
      <c r="FE106" s="250">
        <v>0</v>
      </c>
      <c r="FF106" s="250">
        <v>0</v>
      </c>
    </row>
    <row r="107" spans="1:162">
      <c r="A107" s="234" t="s">
        <v>1600</v>
      </c>
      <c r="B107" s="234" t="s">
        <v>1601</v>
      </c>
      <c r="C107" s="246" t="s">
        <v>401</v>
      </c>
      <c r="D107" s="246" t="s">
        <v>362</v>
      </c>
      <c r="E107" s="246">
        <v>4210</v>
      </c>
      <c r="F107" s="246" t="s">
        <v>626</v>
      </c>
      <c r="G107" s="246" t="s">
        <v>417</v>
      </c>
      <c r="H107" s="246" t="s">
        <v>509</v>
      </c>
      <c r="I107" s="246">
        <v>0.66930000000000001</v>
      </c>
      <c r="J107" s="246">
        <v>1.1573</v>
      </c>
      <c r="K107" s="247">
        <v>5.0099999999999999E-2</v>
      </c>
      <c r="L107" s="247">
        <v>9.7500000000000003E-2</v>
      </c>
      <c r="M107" s="246" t="s">
        <v>384</v>
      </c>
      <c r="N107" s="247">
        <v>9.3600000000000003E-2</v>
      </c>
      <c r="O107" s="247">
        <v>0.1331</v>
      </c>
      <c r="P107" s="247">
        <v>0.1111</v>
      </c>
      <c r="Q107" s="247">
        <v>0.1038</v>
      </c>
      <c r="R107" s="247">
        <v>-1.0974999999999999</v>
      </c>
      <c r="S107" s="247">
        <v>-0.93100000000000005</v>
      </c>
      <c r="T107" s="248">
        <v>5.39</v>
      </c>
      <c r="U107" s="248">
        <v>0.05</v>
      </c>
      <c r="V107" s="248">
        <v>4.66</v>
      </c>
      <c r="W107" s="248">
        <v>4.71</v>
      </c>
      <c r="X107" s="248">
        <v>10.1</v>
      </c>
      <c r="Y107" s="248">
        <v>0.46</v>
      </c>
      <c r="Z107" s="248">
        <v>9.64</v>
      </c>
      <c r="AA107" s="247">
        <v>4.5199999999999997E-2</v>
      </c>
      <c r="AB107" s="246">
        <v>9.4700000000000006</v>
      </c>
      <c r="AC107" s="247">
        <v>0.35</v>
      </c>
      <c r="AD107" s="247">
        <v>0.4662</v>
      </c>
      <c r="AE107" s="247">
        <v>0.53849999999999998</v>
      </c>
      <c r="AF107" s="247">
        <v>0.87319999999999998</v>
      </c>
      <c r="AG107" s="248">
        <v>0.2</v>
      </c>
      <c r="AH107" s="246">
        <v>69.06</v>
      </c>
      <c r="AI107" s="246" t="s">
        <v>384</v>
      </c>
      <c r="AJ107" s="246">
        <v>2.4900000000000002</v>
      </c>
      <c r="AK107" s="247">
        <v>0.1183</v>
      </c>
      <c r="AL107" s="247">
        <v>1.0851999999999999</v>
      </c>
      <c r="AM107" s="246">
        <v>0.78</v>
      </c>
      <c r="AN107" s="233" t="s">
        <v>384</v>
      </c>
      <c r="AO107" s="246" t="s">
        <v>384</v>
      </c>
      <c r="AP107" s="246" t="s">
        <v>384</v>
      </c>
      <c r="AQ107" s="246" t="s">
        <v>384</v>
      </c>
      <c r="AR107" s="246" t="s">
        <v>384</v>
      </c>
      <c r="AS107" s="246" t="s">
        <v>384</v>
      </c>
      <c r="AT107" s="246">
        <v>0.62</v>
      </c>
      <c r="AU107" s="246">
        <v>1.26</v>
      </c>
      <c r="AV107" s="246">
        <v>0.28000000000000003</v>
      </c>
      <c r="AW107" s="246" t="s">
        <v>384</v>
      </c>
      <c r="AX107" s="246" t="s">
        <v>384</v>
      </c>
      <c r="AY107" s="246">
        <v>0.74</v>
      </c>
      <c r="AZ107" s="246">
        <v>0.5</v>
      </c>
      <c r="BA107" s="246" t="s">
        <v>384</v>
      </c>
      <c r="BB107" s="247">
        <v>0</v>
      </c>
      <c r="BC107" s="247">
        <v>-0.51</v>
      </c>
      <c r="BD107" s="246" t="s">
        <v>384</v>
      </c>
      <c r="BE107" s="246" t="s">
        <v>384</v>
      </c>
      <c r="BF107" s="247">
        <v>0.22500000000000001</v>
      </c>
      <c r="BG107" s="246" t="s">
        <v>384</v>
      </c>
      <c r="BH107" s="246" t="s">
        <v>384</v>
      </c>
      <c r="BI107" s="246" t="s">
        <v>384</v>
      </c>
      <c r="BJ107" s="247">
        <v>-1</v>
      </c>
      <c r="BK107" s="247">
        <v>-0.82720000000000005</v>
      </c>
      <c r="BL107" s="246">
        <v>2.2400000000000002</v>
      </c>
      <c r="BM107" s="247">
        <v>-0.36170000000000002</v>
      </c>
      <c r="BN107" s="247">
        <v>-0.36980000000000002</v>
      </c>
      <c r="BO107" s="247">
        <v>8.6999999999999994E-2</v>
      </c>
      <c r="BP107" s="247">
        <v>0.16500000000000001</v>
      </c>
      <c r="BQ107" s="247">
        <v>0</v>
      </c>
      <c r="BR107" s="247">
        <v>7.0000000000000001E-3</v>
      </c>
      <c r="BS107" s="248">
        <v>-6.98</v>
      </c>
      <c r="BT107" s="248">
        <v>-6.98</v>
      </c>
      <c r="BU107" s="248">
        <v>-7.17</v>
      </c>
      <c r="BV107" s="248">
        <v>-7.14</v>
      </c>
      <c r="BW107" s="248">
        <v>1.68</v>
      </c>
      <c r="BX107" s="248">
        <v>19.3</v>
      </c>
      <c r="BY107" s="248">
        <v>19.3</v>
      </c>
      <c r="BZ107" s="248">
        <v>-5.47</v>
      </c>
      <c r="CA107" s="248">
        <v>-5.43</v>
      </c>
      <c r="CB107" s="248">
        <v>-7.14</v>
      </c>
      <c r="CC107" s="248">
        <v>1.06</v>
      </c>
      <c r="CD107" s="248">
        <v>4.1500000000000004</v>
      </c>
      <c r="CE107" s="248">
        <v>6.47</v>
      </c>
      <c r="CF107" s="247">
        <v>0.33500000000000002</v>
      </c>
      <c r="CG107" s="248">
        <v>-0.12</v>
      </c>
      <c r="CH107" s="246" t="s">
        <v>384</v>
      </c>
      <c r="CI107" s="248">
        <v>-11.17</v>
      </c>
      <c r="CJ107" s="248">
        <v>-12.07</v>
      </c>
      <c r="CK107" s="248">
        <v>-11.01</v>
      </c>
      <c r="CL107" s="248">
        <v>4.29</v>
      </c>
      <c r="CM107" s="248">
        <v>8.6300000000000008</v>
      </c>
      <c r="CN107" s="248">
        <v>8.74</v>
      </c>
      <c r="CO107" s="248">
        <v>12.99</v>
      </c>
      <c r="CP107" s="248">
        <v>0</v>
      </c>
      <c r="CQ107" s="246">
        <v>1.07</v>
      </c>
      <c r="CR107" s="246" t="s">
        <v>384</v>
      </c>
      <c r="CS107" s="246">
        <v>0.42</v>
      </c>
      <c r="CT107" s="246" t="s">
        <v>384</v>
      </c>
      <c r="CU107" s="246" t="s">
        <v>384</v>
      </c>
      <c r="CV107" s="246" t="s">
        <v>384</v>
      </c>
      <c r="CW107" s="246" t="s">
        <v>384</v>
      </c>
      <c r="CX107" s="248">
        <v>0</v>
      </c>
      <c r="CY107" s="246" t="s">
        <v>384</v>
      </c>
      <c r="CZ107" s="246" t="s">
        <v>384</v>
      </c>
      <c r="DA107" s="246" t="s">
        <v>384</v>
      </c>
      <c r="DB107" s="246" t="s">
        <v>384</v>
      </c>
      <c r="DC107" s="246" t="s">
        <v>384</v>
      </c>
      <c r="DD107" s="246" t="s">
        <v>384</v>
      </c>
      <c r="DE107" s="246" t="s">
        <v>384</v>
      </c>
      <c r="DF107" s="248">
        <v>0</v>
      </c>
      <c r="DG107" s="248">
        <v>-7.14</v>
      </c>
      <c r="DH107" s="248">
        <v>12.99</v>
      </c>
      <c r="DI107" s="248">
        <v>-5.47</v>
      </c>
      <c r="DJ107" s="247">
        <v>-1.627</v>
      </c>
      <c r="DK107" s="247">
        <v>-0.82720000000000005</v>
      </c>
      <c r="DL107" s="246" t="s">
        <v>384</v>
      </c>
      <c r="DM107" s="246">
        <v>0.12</v>
      </c>
      <c r="DN107" s="246" t="s">
        <v>384</v>
      </c>
      <c r="DO107" s="246" t="s">
        <v>384</v>
      </c>
      <c r="DP107" s="246" t="s">
        <v>384</v>
      </c>
      <c r="DQ107" s="248">
        <v>-0.18</v>
      </c>
      <c r="DR107" s="246" t="s">
        <v>977</v>
      </c>
      <c r="DS107" s="246" t="s">
        <v>1336</v>
      </c>
      <c r="DT107" s="246" t="e">
        <v>#REF!</v>
      </c>
      <c r="DU107" s="246" t="s">
        <v>1602</v>
      </c>
      <c r="DV107" s="248">
        <v>-7.17</v>
      </c>
      <c r="DW107" s="246" t="s">
        <v>1603</v>
      </c>
      <c r="DX107" s="246" t="s">
        <v>388</v>
      </c>
      <c r="DY107" s="246" t="s">
        <v>1604</v>
      </c>
      <c r="DZ107" s="246">
        <v>2</v>
      </c>
      <c r="EA107" s="247">
        <v>-0.6361</v>
      </c>
      <c r="EB107" s="247">
        <v>0.68289999999999995</v>
      </c>
      <c r="EC107" s="247">
        <v>-0.1401</v>
      </c>
      <c r="ED107" s="247">
        <v>-0.69720000000000004</v>
      </c>
      <c r="EE107" s="247">
        <v>-0.84050000000000002</v>
      </c>
      <c r="EF107" s="247">
        <v>6.0400000000000002E-2</v>
      </c>
      <c r="EG107" s="247">
        <v>-0.15989999999999999</v>
      </c>
      <c r="EH107" s="247">
        <v>-0.37</v>
      </c>
      <c r="EI107" s="248">
        <v>-0.18</v>
      </c>
      <c r="EJ107" s="234">
        <v>-7.17</v>
      </c>
      <c r="EK107" s="234">
        <v>-2.91</v>
      </c>
      <c r="EL107" s="234" t="s">
        <v>1443</v>
      </c>
      <c r="EM107" s="234" t="s">
        <v>1605</v>
      </c>
      <c r="EN107" s="234" t="s">
        <v>1606</v>
      </c>
      <c r="EO107" s="234" t="s">
        <v>1607</v>
      </c>
      <c r="EP107" s="234" t="s">
        <v>1608</v>
      </c>
      <c r="EQ107" s="234" t="s">
        <v>1609</v>
      </c>
      <c r="ER107" s="234">
        <v>0</v>
      </c>
      <c r="ES107" s="234" t="s">
        <v>384</v>
      </c>
      <c r="ET107" s="234" t="s">
        <v>384</v>
      </c>
      <c r="EU107" s="234" t="s">
        <v>384</v>
      </c>
      <c r="EV107" s="234" t="s">
        <v>491</v>
      </c>
      <c r="EW107" s="250">
        <v>0</v>
      </c>
      <c r="EX107" s="250">
        <v>0</v>
      </c>
      <c r="EY107" s="250">
        <v>0</v>
      </c>
      <c r="EZ107" s="250">
        <v>0</v>
      </c>
      <c r="FA107" s="250">
        <v>33.799999999999997</v>
      </c>
      <c r="FB107" s="250">
        <v>11</v>
      </c>
      <c r="FC107" s="250">
        <v>0.69</v>
      </c>
      <c r="FD107" s="249">
        <v>0</v>
      </c>
      <c r="FE107" s="250">
        <v>0.95</v>
      </c>
      <c r="FF107" s="250">
        <v>0</v>
      </c>
    </row>
    <row r="108" spans="1:162">
      <c r="A108" s="234" t="s">
        <v>1610</v>
      </c>
      <c r="B108" s="234" t="s">
        <v>1611</v>
      </c>
      <c r="C108" s="246" t="s">
        <v>361</v>
      </c>
      <c r="D108" s="246" t="s">
        <v>362</v>
      </c>
      <c r="E108" s="246">
        <v>4210</v>
      </c>
      <c r="F108" s="246" t="s">
        <v>509</v>
      </c>
      <c r="G108" s="246" t="s">
        <v>417</v>
      </c>
      <c r="H108" s="246" t="s">
        <v>509</v>
      </c>
      <c r="I108" s="246">
        <v>0.74739999999999995</v>
      </c>
      <c r="J108" s="246">
        <v>3.1714000000000002</v>
      </c>
      <c r="K108" s="247">
        <v>5.1400000000000001E-2</v>
      </c>
      <c r="L108" s="247">
        <v>0.20250000000000001</v>
      </c>
      <c r="M108" s="246" t="s">
        <v>384</v>
      </c>
      <c r="N108" s="247">
        <v>2.4400000000000002E-2</v>
      </c>
      <c r="O108" s="247">
        <v>6.3899999999999998E-2</v>
      </c>
      <c r="P108" s="247">
        <v>4.7899999999999998E-2</v>
      </c>
      <c r="Q108" s="247">
        <v>7.6999999999999999E-2</v>
      </c>
      <c r="R108" s="247">
        <v>-0.34970000000000001</v>
      </c>
      <c r="S108" s="247">
        <v>-0.1855</v>
      </c>
      <c r="T108" s="248">
        <v>4.59</v>
      </c>
      <c r="U108" s="248">
        <v>19.05</v>
      </c>
      <c r="V108" s="248">
        <v>0.8</v>
      </c>
      <c r="W108" s="248">
        <v>19.850000000000001</v>
      </c>
      <c r="X108" s="248">
        <v>24.44</v>
      </c>
      <c r="Y108" s="248">
        <v>0.45</v>
      </c>
      <c r="Z108" s="248">
        <v>23.99</v>
      </c>
      <c r="AA108" s="247">
        <v>1.83E-2</v>
      </c>
      <c r="AB108" s="246">
        <v>13.55</v>
      </c>
      <c r="AC108" s="247">
        <v>0.43390000000000001</v>
      </c>
      <c r="AD108" s="247">
        <v>0.81220000000000003</v>
      </c>
      <c r="AE108" s="247">
        <v>0.76629999999999998</v>
      </c>
      <c r="AF108" s="247">
        <v>4.3242000000000003</v>
      </c>
      <c r="AG108" s="248">
        <v>0.39</v>
      </c>
      <c r="AH108" s="246">
        <v>69.06</v>
      </c>
      <c r="AI108" s="246" t="s">
        <v>384</v>
      </c>
      <c r="AJ108" s="246">
        <v>1.59</v>
      </c>
      <c r="AK108" s="247">
        <v>7.7499999999999999E-2</v>
      </c>
      <c r="AL108" s="247">
        <v>0.78390000000000004</v>
      </c>
      <c r="AM108" s="246">
        <v>0.7</v>
      </c>
      <c r="AN108" s="233" t="s">
        <v>384</v>
      </c>
      <c r="AO108" s="246" t="s">
        <v>384</v>
      </c>
      <c r="AP108" s="246" t="s">
        <v>384</v>
      </c>
      <c r="AQ108" s="246" t="s">
        <v>384</v>
      </c>
      <c r="AR108" s="246" t="s">
        <v>384</v>
      </c>
      <c r="AS108" s="246" t="s">
        <v>384</v>
      </c>
      <c r="AT108" s="246">
        <v>0.18</v>
      </c>
      <c r="AU108" s="246">
        <v>0.28000000000000003</v>
      </c>
      <c r="AV108" s="246">
        <v>1.1000000000000001</v>
      </c>
      <c r="AW108" s="246" t="s">
        <v>384</v>
      </c>
      <c r="AX108" s="246">
        <v>50.72</v>
      </c>
      <c r="AY108" s="246">
        <v>0.53</v>
      </c>
      <c r="AZ108" s="246">
        <v>5.74</v>
      </c>
      <c r="BA108" s="246" t="s">
        <v>384</v>
      </c>
      <c r="BB108" s="247">
        <v>0</v>
      </c>
      <c r="BC108" s="247">
        <v>-0.31080000000000002</v>
      </c>
      <c r="BD108" s="246" t="s">
        <v>384</v>
      </c>
      <c r="BE108" s="246" t="s">
        <v>384</v>
      </c>
      <c r="BF108" s="247">
        <v>-0.25900000000000001</v>
      </c>
      <c r="BG108" s="247">
        <v>-0.29399999999999998</v>
      </c>
      <c r="BH108" s="246" t="s">
        <v>384</v>
      </c>
      <c r="BI108" s="246" t="s">
        <v>384</v>
      </c>
      <c r="BJ108" s="247">
        <v>-0.1472</v>
      </c>
      <c r="BK108" s="247">
        <v>-0.1086</v>
      </c>
      <c r="BL108" s="246">
        <v>0.09</v>
      </c>
      <c r="BM108" s="247">
        <v>-0.88160000000000005</v>
      </c>
      <c r="BN108" s="247">
        <v>-1.23</v>
      </c>
      <c r="BO108" s="247">
        <v>7.5800000000000006E-2</v>
      </c>
      <c r="BP108" s="247">
        <v>0.25</v>
      </c>
      <c r="BQ108" s="247">
        <v>0</v>
      </c>
      <c r="BR108" s="247">
        <v>1.4200000000000001E-2</v>
      </c>
      <c r="BS108" s="248">
        <v>-5.09</v>
      </c>
      <c r="BT108" s="248">
        <v>-3.65</v>
      </c>
      <c r="BU108" s="248">
        <v>-2.2799999999999998</v>
      </c>
      <c r="BV108" s="248">
        <v>-5.09</v>
      </c>
      <c r="BW108" s="248">
        <v>0.31</v>
      </c>
      <c r="BX108" s="248">
        <v>4.18</v>
      </c>
      <c r="BY108" s="248">
        <v>4.1399999999999997</v>
      </c>
      <c r="BZ108" s="248">
        <v>-0.15</v>
      </c>
      <c r="CA108" s="248">
        <v>0.47</v>
      </c>
      <c r="CB108" s="248">
        <v>-5.09</v>
      </c>
      <c r="CC108" s="248">
        <v>0.78</v>
      </c>
      <c r="CD108" s="248">
        <v>-0.45</v>
      </c>
      <c r="CE108" s="248">
        <v>1.17</v>
      </c>
      <c r="CF108" s="247">
        <v>0.28160000000000002</v>
      </c>
      <c r="CG108" s="248">
        <v>0.21</v>
      </c>
      <c r="CH108" s="246" t="s">
        <v>384</v>
      </c>
      <c r="CI108" s="248">
        <v>-4.8499999999999996</v>
      </c>
      <c r="CJ108" s="248">
        <v>-4.1900000000000004</v>
      </c>
      <c r="CK108" s="248">
        <v>-3.41</v>
      </c>
      <c r="CL108" s="248">
        <v>24.8</v>
      </c>
      <c r="CM108" s="248">
        <v>46.9</v>
      </c>
      <c r="CN108" s="248">
        <v>25.9</v>
      </c>
      <c r="CO108" s="248">
        <v>45.3</v>
      </c>
      <c r="CP108" s="248">
        <v>0</v>
      </c>
      <c r="CQ108" s="246">
        <v>0.51</v>
      </c>
      <c r="CR108" s="246" t="s">
        <v>384</v>
      </c>
      <c r="CS108" s="246">
        <v>0.42</v>
      </c>
      <c r="CT108" s="246" t="s">
        <v>384</v>
      </c>
      <c r="CU108" s="246" t="s">
        <v>384</v>
      </c>
      <c r="CV108" s="246" t="s">
        <v>384</v>
      </c>
      <c r="CW108" s="246" t="s">
        <v>384</v>
      </c>
      <c r="CX108" s="248">
        <v>0</v>
      </c>
      <c r="CY108" s="246" t="s">
        <v>384</v>
      </c>
      <c r="CZ108" s="246" t="s">
        <v>384</v>
      </c>
      <c r="DA108" s="246" t="s">
        <v>384</v>
      </c>
      <c r="DB108" s="246" t="s">
        <v>384</v>
      </c>
      <c r="DC108" s="248">
        <v>0.47</v>
      </c>
      <c r="DD108" s="248">
        <v>23.99</v>
      </c>
      <c r="DE108" s="246" t="s">
        <v>384</v>
      </c>
      <c r="DF108" s="248">
        <v>0</v>
      </c>
      <c r="DG108" s="248">
        <v>-5.09</v>
      </c>
      <c r="DH108" s="248">
        <v>45.3</v>
      </c>
      <c r="DI108" s="248">
        <v>-0.15</v>
      </c>
      <c r="DJ108" s="247">
        <v>-0.1472</v>
      </c>
      <c r="DK108" s="247">
        <v>-0.1086</v>
      </c>
      <c r="DL108" s="246" t="s">
        <v>384</v>
      </c>
      <c r="DM108" s="246">
        <v>1.76</v>
      </c>
      <c r="DN108" s="246" t="s">
        <v>384</v>
      </c>
      <c r="DO108" s="246" t="s">
        <v>384</v>
      </c>
      <c r="DP108" s="246" t="s">
        <v>384</v>
      </c>
      <c r="DQ108" s="248">
        <v>-23.4</v>
      </c>
      <c r="DR108" s="246" t="s">
        <v>1422</v>
      </c>
      <c r="DS108" s="246" t="s">
        <v>1612</v>
      </c>
      <c r="DT108" s="246" t="e">
        <v>#REF!</v>
      </c>
      <c r="DU108" s="246" t="s">
        <v>388</v>
      </c>
      <c r="DV108" s="248">
        <v>-2.2799999999999998</v>
      </c>
      <c r="DW108" s="246" t="s">
        <v>1613</v>
      </c>
      <c r="DX108" s="246" t="s">
        <v>1614</v>
      </c>
      <c r="DY108" s="246" t="s">
        <v>1615</v>
      </c>
      <c r="DZ108" s="246" t="s">
        <v>384</v>
      </c>
      <c r="EA108" s="247">
        <v>1.2810999999999999</v>
      </c>
      <c r="EB108" s="247">
        <v>-0.1991</v>
      </c>
      <c r="EC108" s="247">
        <v>0.73080000000000001</v>
      </c>
      <c r="ED108" s="247">
        <v>-0.60770000000000002</v>
      </c>
      <c r="EE108" s="247">
        <v>0.24049999999999999</v>
      </c>
      <c r="EF108" s="247">
        <v>-3.9399999999999998E-2</v>
      </c>
      <c r="EG108" s="247">
        <v>-0.4501</v>
      </c>
      <c r="EH108" s="247">
        <v>-1.23</v>
      </c>
      <c r="EI108" s="248">
        <v>-23.36</v>
      </c>
      <c r="EJ108" s="234">
        <v>-2.2799999999999998</v>
      </c>
      <c r="EK108" s="234">
        <v>-1.94</v>
      </c>
      <c r="EL108" s="234" t="s">
        <v>1616</v>
      </c>
      <c r="EM108" s="234" t="s">
        <v>1617</v>
      </c>
      <c r="EN108" s="234" t="s">
        <v>1618</v>
      </c>
      <c r="EO108" s="234" t="s">
        <v>1619</v>
      </c>
      <c r="EP108" s="234" t="s">
        <v>376</v>
      </c>
      <c r="EQ108" s="234" t="s">
        <v>377</v>
      </c>
      <c r="ER108" s="234">
        <v>0</v>
      </c>
      <c r="ES108" s="249">
        <v>-0.2903</v>
      </c>
      <c r="ET108" s="234" t="s">
        <v>384</v>
      </c>
      <c r="EU108" s="250">
        <v>4.1399999999999997</v>
      </c>
      <c r="EV108" s="234" t="s">
        <v>491</v>
      </c>
      <c r="EW108" s="250">
        <v>0</v>
      </c>
      <c r="EX108" s="250">
        <v>0</v>
      </c>
      <c r="EY108" s="250">
        <v>34</v>
      </c>
      <c r="EZ108" s="250">
        <v>6.47</v>
      </c>
      <c r="FA108" s="250">
        <v>3.7</v>
      </c>
      <c r="FB108" s="250">
        <v>6.66</v>
      </c>
      <c r="FC108" s="250">
        <v>0.8</v>
      </c>
      <c r="FD108" s="249">
        <v>0.129</v>
      </c>
      <c r="FE108" s="250">
        <v>0</v>
      </c>
      <c r="FF108" s="250">
        <v>0.51</v>
      </c>
    </row>
    <row r="109" spans="1:162">
      <c r="A109" s="234" t="s">
        <v>1620</v>
      </c>
      <c r="B109" s="234" t="s">
        <v>1621</v>
      </c>
      <c r="C109" s="246" t="s">
        <v>401</v>
      </c>
      <c r="D109" s="246" t="s">
        <v>362</v>
      </c>
      <c r="E109" s="246">
        <v>4210</v>
      </c>
      <c r="F109" s="246" t="s">
        <v>642</v>
      </c>
      <c r="G109" s="246" t="s">
        <v>417</v>
      </c>
      <c r="H109" s="246" t="s">
        <v>642</v>
      </c>
      <c r="I109" s="246">
        <v>0.66930000000000001</v>
      </c>
      <c r="J109" s="246">
        <v>1.1020000000000001</v>
      </c>
      <c r="K109" s="247">
        <v>7.0800000000000002E-2</v>
      </c>
      <c r="L109" s="247">
        <v>0.11749999999999999</v>
      </c>
      <c r="M109" s="246" t="s">
        <v>384</v>
      </c>
      <c r="N109" s="247">
        <v>2.98E-2</v>
      </c>
      <c r="O109" s="247">
        <v>6.93E-2</v>
      </c>
      <c r="P109" s="247">
        <v>4.8500000000000001E-2</v>
      </c>
      <c r="Q109" s="247">
        <v>8.4400000000000003E-2</v>
      </c>
      <c r="R109" s="247">
        <v>-0.1134</v>
      </c>
      <c r="S109" s="247">
        <v>-4.3200000000000002E-2</v>
      </c>
      <c r="T109" s="248">
        <v>2.88</v>
      </c>
      <c r="U109" s="248">
        <v>0</v>
      </c>
      <c r="V109" s="248">
        <v>2.66</v>
      </c>
      <c r="W109" s="248">
        <v>2.66</v>
      </c>
      <c r="X109" s="248">
        <v>5.54</v>
      </c>
      <c r="Y109" s="248">
        <v>0.64</v>
      </c>
      <c r="Z109" s="248">
        <v>4.91</v>
      </c>
      <c r="AA109" s="247">
        <v>0.11459999999999999</v>
      </c>
      <c r="AB109" s="246">
        <v>0.13</v>
      </c>
      <c r="AC109" s="247">
        <v>0.58979999999999999</v>
      </c>
      <c r="AD109" s="247">
        <v>0.48010000000000003</v>
      </c>
      <c r="AE109" s="247">
        <v>1.4378</v>
      </c>
      <c r="AF109" s="247">
        <v>0.92359999999999998</v>
      </c>
      <c r="AG109" s="248">
        <v>0.17</v>
      </c>
      <c r="AH109" s="246">
        <v>69.06</v>
      </c>
      <c r="AI109" s="247">
        <v>-3.5099999999999999E-2</v>
      </c>
      <c r="AJ109" s="246">
        <v>1.45</v>
      </c>
      <c r="AK109" s="247">
        <v>0.17319999999999999</v>
      </c>
      <c r="AL109" s="247">
        <v>0.52590000000000003</v>
      </c>
      <c r="AM109" s="246">
        <v>0.36</v>
      </c>
      <c r="AN109" s="233">
        <v>1.1599999999999999</v>
      </c>
      <c r="AO109" s="246">
        <v>11.66</v>
      </c>
      <c r="AP109" s="246">
        <v>360</v>
      </c>
      <c r="AQ109" s="246">
        <v>13.27</v>
      </c>
      <c r="AR109" s="246" t="s">
        <v>384</v>
      </c>
      <c r="AS109" s="246" t="s">
        <v>384</v>
      </c>
      <c r="AT109" s="246">
        <v>1.56</v>
      </c>
      <c r="AU109" s="246">
        <v>2.06</v>
      </c>
      <c r="AV109" s="246">
        <v>0.28000000000000003</v>
      </c>
      <c r="AW109" s="246">
        <v>21.42</v>
      </c>
      <c r="AX109" s="246">
        <v>19.239999999999998</v>
      </c>
      <c r="AY109" s="246">
        <v>1.27</v>
      </c>
      <c r="AZ109" s="246">
        <v>0.48</v>
      </c>
      <c r="BA109" s="247">
        <v>0</v>
      </c>
      <c r="BB109" s="247">
        <v>0</v>
      </c>
      <c r="BC109" s="247">
        <v>-0.26900000000000002</v>
      </c>
      <c r="BD109" s="247">
        <v>-0.70099999999999996</v>
      </c>
      <c r="BE109" s="247">
        <v>-0.36</v>
      </c>
      <c r="BF109" s="247">
        <v>0.19500000000000001</v>
      </c>
      <c r="BG109" s="247">
        <v>2.4299999999999999E-2</v>
      </c>
      <c r="BH109" s="246" t="s">
        <v>384</v>
      </c>
      <c r="BI109" s="246" t="s">
        <v>384</v>
      </c>
      <c r="BJ109" s="247">
        <v>4.1000000000000003E-3</v>
      </c>
      <c r="BK109" s="247">
        <v>4.1200000000000001E-2</v>
      </c>
      <c r="BL109" s="246">
        <v>4.46</v>
      </c>
      <c r="BM109" s="247">
        <v>5.9999999999999995E-4</v>
      </c>
      <c r="BN109" s="247">
        <v>1.8499999999999999E-2</v>
      </c>
      <c r="BO109" s="247">
        <v>6.2300000000000001E-2</v>
      </c>
      <c r="BP109" s="247">
        <v>0.3</v>
      </c>
      <c r="BQ109" s="247">
        <v>0.5</v>
      </c>
      <c r="BR109" s="247">
        <v>1.4200000000000001E-2</v>
      </c>
      <c r="BS109" s="248">
        <v>0.25</v>
      </c>
      <c r="BT109" s="248">
        <v>0.01</v>
      </c>
      <c r="BU109" s="248">
        <v>0.23</v>
      </c>
      <c r="BV109" s="248">
        <v>0.23</v>
      </c>
      <c r="BW109" s="248">
        <v>0.77</v>
      </c>
      <c r="BX109" s="248">
        <v>10.199999999999999</v>
      </c>
      <c r="BY109" s="248">
        <v>12.4</v>
      </c>
      <c r="BZ109" s="248">
        <v>0.47</v>
      </c>
      <c r="CA109" s="248">
        <v>0.26</v>
      </c>
      <c r="CB109" s="248">
        <v>0.11</v>
      </c>
      <c r="CC109" s="248">
        <v>-1.29</v>
      </c>
      <c r="CD109" s="248">
        <v>1.1000000000000001</v>
      </c>
      <c r="CE109" s="248">
        <v>3.42</v>
      </c>
      <c r="CF109" s="247">
        <v>0.27550000000000002</v>
      </c>
      <c r="CG109" s="248">
        <v>0.01</v>
      </c>
      <c r="CH109" s="247">
        <v>9.6069999999999993</v>
      </c>
      <c r="CI109" s="248">
        <v>-0.99</v>
      </c>
      <c r="CJ109" s="248">
        <v>0.2</v>
      </c>
      <c r="CK109" s="248">
        <v>-1.0900000000000001</v>
      </c>
      <c r="CL109" s="248">
        <v>1.95</v>
      </c>
      <c r="CM109" s="248">
        <v>2.78</v>
      </c>
      <c r="CN109" s="248">
        <v>1.85</v>
      </c>
      <c r="CO109" s="248">
        <v>3.88</v>
      </c>
      <c r="CP109" s="248">
        <v>0</v>
      </c>
      <c r="CQ109" s="246">
        <v>0.76</v>
      </c>
      <c r="CR109" s="246">
        <v>0.31</v>
      </c>
      <c r="CS109" s="246">
        <v>0.42</v>
      </c>
      <c r="CT109" s="246">
        <v>0.51</v>
      </c>
      <c r="CU109" s="246">
        <v>0.75</v>
      </c>
      <c r="CV109" s="248">
        <v>0.25</v>
      </c>
      <c r="CW109" s="248">
        <v>0.11</v>
      </c>
      <c r="CX109" s="248">
        <v>0</v>
      </c>
      <c r="CY109" s="248">
        <v>0.06</v>
      </c>
      <c r="CZ109" s="248">
        <v>0.05</v>
      </c>
      <c r="DA109" s="248">
        <v>0.01</v>
      </c>
      <c r="DB109" s="248">
        <v>2.88</v>
      </c>
      <c r="DC109" s="248">
        <v>0.26</v>
      </c>
      <c r="DD109" s="248">
        <v>4.91</v>
      </c>
      <c r="DE109" s="246" t="s">
        <v>384</v>
      </c>
      <c r="DF109" s="248">
        <v>0</v>
      </c>
      <c r="DG109" s="248">
        <v>0.23</v>
      </c>
      <c r="DH109" s="248">
        <v>3.88</v>
      </c>
      <c r="DI109" s="248">
        <v>0.47</v>
      </c>
      <c r="DJ109" s="247">
        <v>4.1000000000000003E-3</v>
      </c>
      <c r="DK109" s="247">
        <v>4.1200000000000001E-2</v>
      </c>
      <c r="DL109" s="246">
        <v>10.41</v>
      </c>
      <c r="DM109" s="246">
        <v>0.03</v>
      </c>
      <c r="DN109" s="246">
        <v>1.1100000000000001</v>
      </c>
      <c r="DO109" s="246">
        <v>0.25</v>
      </c>
      <c r="DP109" s="247">
        <v>0.1002</v>
      </c>
      <c r="DQ109" s="246" t="s">
        <v>1622</v>
      </c>
      <c r="DR109" s="246" t="s">
        <v>1623</v>
      </c>
      <c r="DS109" s="246" t="s">
        <v>1624</v>
      </c>
      <c r="DT109" s="246" t="e">
        <v>#REF!</v>
      </c>
      <c r="DU109" s="246" t="s">
        <v>388</v>
      </c>
      <c r="DV109" s="246" t="s">
        <v>1625</v>
      </c>
      <c r="DW109" s="246" t="s">
        <v>1338</v>
      </c>
      <c r="DX109" s="246" t="s">
        <v>406</v>
      </c>
      <c r="DY109" s="246" t="s">
        <v>1626</v>
      </c>
      <c r="DZ109" s="246">
        <v>68</v>
      </c>
      <c r="EA109" s="247">
        <v>-0.3216</v>
      </c>
      <c r="EB109" s="247">
        <v>6.5799999999999997E-2</v>
      </c>
      <c r="EC109" s="247">
        <v>-0.126</v>
      </c>
      <c r="ED109" s="247">
        <v>-0.15290000000000001</v>
      </c>
      <c r="EE109" s="247">
        <v>-0.4647</v>
      </c>
      <c r="EF109" s="247">
        <v>8.77E-2</v>
      </c>
      <c r="EG109" s="247">
        <v>2.8400000000000002E-2</v>
      </c>
      <c r="EH109" s="247">
        <v>1.7999999999999999E-2</v>
      </c>
      <c r="EI109" s="246" t="s">
        <v>1622</v>
      </c>
      <c r="EJ109" s="234">
        <v>0.23</v>
      </c>
      <c r="EK109" s="234">
        <v>0.32</v>
      </c>
      <c r="EL109" s="234" t="s">
        <v>1627</v>
      </c>
      <c r="EM109" s="234" t="s">
        <v>1628</v>
      </c>
      <c r="EN109" s="234" t="s">
        <v>1597</v>
      </c>
      <c r="EO109" s="234" t="s">
        <v>1629</v>
      </c>
      <c r="EP109" s="234" t="s">
        <v>376</v>
      </c>
      <c r="EQ109" s="234" t="s">
        <v>377</v>
      </c>
      <c r="ER109" s="234">
        <v>1</v>
      </c>
      <c r="ES109" s="249">
        <v>-2.4E-2</v>
      </c>
      <c r="ET109" s="234" t="s">
        <v>384</v>
      </c>
      <c r="EU109" s="250">
        <v>12.4</v>
      </c>
      <c r="EV109" s="234" t="s">
        <v>491</v>
      </c>
      <c r="EW109" s="250">
        <v>0.61</v>
      </c>
      <c r="EX109" s="250">
        <v>3.24</v>
      </c>
      <c r="EY109" s="250">
        <v>2.78</v>
      </c>
      <c r="EZ109" s="250">
        <v>3.8</v>
      </c>
      <c r="FA109" s="250">
        <v>5.38</v>
      </c>
      <c r="FB109" s="250">
        <v>3.94</v>
      </c>
      <c r="FC109" s="250">
        <v>2.42</v>
      </c>
      <c r="FD109" s="249">
        <v>0</v>
      </c>
      <c r="FE109" s="250">
        <v>0</v>
      </c>
      <c r="FF109" s="250">
        <v>0</v>
      </c>
    </row>
    <row r="110" spans="1:162">
      <c r="A110" s="234" t="s">
        <v>1630</v>
      </c>
      <c r="B110" s="234" t="s">
        <v>1631</v>
      </c>
      <c r="C110" s="246" t="s">
        <v>401</v>
      </c>
      <c r="D110" s="246" t="s">
        <v>362</v>
      </c>
      <c r="E110" s="246">
        <v>4210</v>
      </c>
      <c r="F110" s="246" t="s">
        <v>1576</v>
      </c>
      <c r="G110" s="246" t="s">
        <v>417</v>
      </c>
      <c r="H110" s="246" t="s">
        <v>1577</v>
      </c>
      <c r="I110" s="246">
        <v>0.66930000000000001</v>
      </c>
      <c r="J110" s="246">
        <v>0.68300000000000005</v>
      </c>
      <c r="K110" s="247">
        <v>7.0800000000000002E-2</v>
      </c>
      <c r="L110" s="247">
        <v>8.7900000000000006E-2</v>
      </c>
      <c r="M110" s="246" t="s">
        <v>384</v>
      </c>
      <c r="N110" s="247">
        <v>2.98E-2</v>
      </c>
      <c r="O110" s="247">
        <v>6.93E-2</v>
      </c>
      <c r="P110" s="247">
        <v>5.8200000000000002E-2</v>
      </c>
      <c r="Q110" s="247">
        <v>8.72E-2</v>
      </c>
      <c r="R110" s="247">
        <v>-4.7E-2</v>
      </c>
      <c r="S110" s="247">
        <v>-5.3499999999999999E-2</v>
      </c>
      <c r="T110" s="248">
        <v>2.54</v>
      </c>
      <c r="U110" s="248">
        <v>0</v>
      </c>
      <c r="V110" s="248">
        <v>0.06</v>
      </c>
      <c r="W110" s="248">
        <v>0.06</v>
      </c>
      <c r="X110" s="248">
        <v>2.6</v>
      </c>
      <c r="Y110" s="248">
        <v>0</v>
      </c>
      <c r="Z110" s="248">
        <v>2.6</v>
      </c>
      <c r="AA110" s="247">
        <v>0</v>
      </c>
      <c r="AB110" s="246">
        <v>0.05</v>
      </c>
      <c r="AC110" s="247">
        <v>8.5000000000000006E-3</v>
      </c>
      <c r="AD110" s="247">
        <v>2.3800000000000002E-2</v>
      </c>
      <c r="AE110" s="247">
        <v>8.5000000000000006E-3</v>
      </c>
      <c r="AF110" s="247">
        <v>2.4400000000000002E-2</v>
      </c>
      <c r="AG110" s="248">
        <v>0.06</v>
      </c>
      <c r="AH110" s="246">
        <v>69.06</v>
      </c>
      <c r="AI110" s="246" t="s">
        <v>384</v>
      </c>
      <c r="AJ110" s="246">
        <v>-0.13</v>
      </c>
      <c r="AK110" s="246" t="s">
        <v>384</v>
      </c>
      <c r="AL110" s="246" t="s">
        <v>384</v>
      </c>
      <c r="AM110" s="246">
        <v>0.27</v>
      </c>
      <c r="AN110" s="233">
        <v>33.799999999999997</v>
      </c>
      <c r="AO110" s="246">
        <v>12.39</v>
      </c>
      <c r="AP110" s="246">
        <v>7.56</v>
      </c>
      <c r="AQ110" s="246">
        <v>11.95</v>
      </c>
      <c r="AR110" s="246" t="s">
        <v>384</v>
      </c>
      <c r="AS110" s="246" t="s">
        <v>384</v>
      </c>
      <c r="AT110" s="246">
        <v>0.35</v>
      </c>
      <c r="AU110" s="246">
        <v>0.37</v>
      </c>
      <c r="AV110" s="246">
        <v>1.4</v>
      </c>
      <c r="AW110" s="246">
        <v>7.7</v>
      </c>
      <c r="AX110" s="246">
        <v>46.46</v>
      </c>
      <c r="AY110" s="246">
        <v>0.36</v>
      </c>
      <c r="AZ110" s="246">
        <v>1.43</v>
      </c>
      <c r="BA110" s="247">
        <v>0</v>
      </c>
      <c r="BB110" s="247">
        <v>0</v>
      </c>
      <c r="BC110" s="247">
        <v>3.6700000000000003E-2</v>
      </c>
      <c r="BD110" s="246" t="s">
        <v>384</v>
      </c>
      <c r="BE110" s="247">
        <v>3.8300000000000001E-2</v>
      </c>
      <c r="BF110" s="247">
        <v>0.91200000000000003</v>
      </c>
      <c r="BG110" s="247">
        <v>0.40699999999999997</v>
      </c>
      <c r="BH110" s="246" t="s">
        <v>384</v>
      </c>
      <c r="BI110" s="246" t="s">
        <v>384</v>
      </c>
      <c r="BJ110" s="247">
        <v>4.0899999999999999E-2</v>
      </c>
      <c r="BK110" s="247">
        <v>3.3700000000000001E-2</v>
      </c>
      <c r="BL110" s="246">
        <v>0.22</v>
      </c>
      <c r="BM110" s="247">
        <v>0.17680000000000001</v>
      </c>
      <c r="BN110" s="247">
        <v>0.1779</v>
      </c>
      <c r="BO110" s="247">
        <v>0.31790000000000002</v>
      </c>
      <c r="BP110" s="247">
        <v>0.16</v>
      </c>
      <c r="BQ110" s="247">
        <v>0.14499999999999999</v>
      </c>
      <c r="BR110" s="246" t="s">
        <v>384</v>
      </c>
      <c r="BS110" s="248">
        <v>0.21</v>
      </c>
      <c r="BT110" s="248">
        <v>0.34</v>
      </c>
      <c r="BU110" s="248">
        <v>0.34</v>
      </c>
      <c r="BV110" s="248">
        <v>0.34</v>
      </c>
      <c r="BW110" s="248">
        <v>0.6</v>
      </c>
      <c r="BX110" s="248">
        <v>1.82</v>
      </c>
      <c r="BY110" s="248">
        <v>1.9</v>
      </c>
      <c r="BZ110" s="248">
        <v>0.21</v>
      </c>
      <c r="CA110" s="248">
        <v>0.06</v>
      </c>
      <c r="CB110" s="248">
        <v>0.28999999999999998</v>
      </c>
      <c r="CC110" s="248">
        <v>0</v>
      </c>
      <c r="CD110" s="248">
        <v>0</v>
      </c>
      <c r="CE110" s="248">
        <v>0</v>
      </c>
      <c r="CF110" s="247">
        <v>0</v>
      </c>
      <c r="CG110" s="248">
        <v>-0.01</v>
      </c>
      <c r="CH110" s="247">
        <v>-2.4199999999999999E-2</v>
      </c>
      <c r="CI110" s="248">
        <v>0.3</v>
      </c>
      <c r="CJ110" s="248">
        <v>0.34</v>
      </c>
      <c r="CK110" s="248">
        <v>0.34</v>
      </c>
      <c r="CL110" s="248">
        <v>8.2200000000000006</v>
      </c>
      <c r="CM110" s="248">
        <v>8.58</v>
      </c>
      <c r="CN110" s="248">
        <v>7.26</v>
      </c>
      <c r="CO110" s="248">
        <v>7.32</v>
      </c>
      <c r="CP110" s="248">
        <v>0</v>
      </c>
      <c r="CQ110" s="246">
        <v>-0.02</v>
      </c>
      <c r="CR110" s="246">
        <v>-0.12</v>
      </c>
      <c r="CS110" s="246">
        <v>0.42</v>
      </c>
      <c r="CT110" s="246">
        <v>1.34</v>
      </c>
      <c r="CU110" s="246">
        <v>1.3</v>
      </c>
      <c r="CV110" s="248">
        <v>0.05</v>
      </c>
      <c r="CW110" s="248">
        <v>0.02</v>
      </c>
      <c r="CX110" s="248">
        <v>0</v>
      </c>
      <c r="CY110" s="248">
        <v>0.39</v>
      </c>
      <c r="CZ110" s="248">
        <v>0.06</v>
      </c>
      <c r="DA110" s="248">
        <v>0.34</v>
      </c>
      <c r="DB110" s="248">
        <v>2.54</v>
      </c>
      <c r="DC110" s="248">
        <v>0.06</v>
      </c>
      <c r="DD110" s="248">
        <v>2.6</v>
      </c>
      <c r="DE110" s="246" t="s">
        <v>384</v>
      </c>
      <c r="DF110" s="248">
        <v>0</v>
      </c>
      <c r="DG110" s="248">
        <v>0.34</v>
      </c>
      <c r="DH110" s="248">
        <v>7.32</v>
      </c>
      <c r="DI110" s="248">
        <v>0.21</v>
      </c>
      <c r="DJ110" s="247">
        <v>4.0899999999999999E-2</v>
      </c>
      <c r="DK110" s="247">
        <v>3.3700000000000001E-2</v>
      </c>
      <c r="DL110" s="246">
        <v>12.27</v>
      </c>
      <c r="DM110" s="246">
        <v>0.01</v>
      </c>
      <c r="DN110" s="246">
        <v>9.77</v>
      </c>
      <c r="DO110" s="246">
        <v>0.05</v>
      </c>
      <c r="DP110" s="247">
        <v>5.5999999999999999E-3</v>
      </c>
      <c r="DQ110" s="248">
        <v>-0.3</v>
      </c>
      <c r="DR110" s="246" t="s">
        <v>644</v>
      </c>
      <c r="DS110" s="246" t="s">
        <v>644</v>
      </c>
      <c r="DT110" s="246" t="e">
        <v>#REF!</v>
      </c>
      <c r="DU110" s="246" t="s">
        <v>388</v>
      </c>
      <c r="DV110" s="246" t="s">
        <v>1632</v>
      </c>
      <c r="DW110" s="246" t="s">
        <v>1373</v>
      </c>
      <c r="DX110" s="246" t="s">
        <v>388</v>
      </c>
      <c r="DY110" s="246" t="s">
        <v>377</v>
      </c>
      <c r="DZ110" s="246">
        <v>29</v>
      </c>
      <c r="EA110" s="247">
        <v>-0.13639999999999999</v>
      </c>
      <c r="EB110" s="246" t="s">
        <v>384</v>
      </c>
      <c r="EC110" s="246" t="s">
        <v>384</v>
      </c>
      <c r="ED110" s="247">
        <v>3.2500000000000001E-2</v>
      </c>
      <c r="EE110" s="247">
        <v>4.9599999999999998E-2</v>
      </c>
      <c r="EF110" s="247">
        <v>1.06E-2</v>
      </c>
      <c r="EG110" s="247">
        <v>0.21809999999999999</v>
      </c>
      <c r="EH110" s="247">
        <v>0.17799999999999999</v>
      </c>
      <c r="EI110" s="248">
        <v>-0.3</v>
      </c>
      <c r="EJ110" s="234">
        <v>0.34</v>
      </c>
      <c r="EK110" s="234">
        <v>0.41</v>
      </c>
      <c r="EL110" s="234" t="s">
        <v>1633</v>
      </c>
      <c r="EM110" s="234" t="s">
        <v>1634</v>
      </c>
      <c r="EN110" s="234" t="s">
        <v>377</v>
      </c>
      <c r="EO110" s="234" t="s">
        <v>1635</v>
      </c>
      <c r="EP110" s="234" t="s">
        <v>1636</v>
      </c>
      <c r="EQ110" s="234" t="s">
        <v>1637</v>
      </c>
      <c r="ER110" s="234">
        <v>1</v>
      </c>
      <c r="ES110" s="249">
        <v>0.41749999999999998</v>
      </c>
      <c r="ET110" s="234" t="s">
        <v>384</v>
      </c>
      <c r="EU110" s="250">
        <v>1.9</v>
      </c>
      <c r="EV110" s="234" t="s">
        <v>491</v>
      </c>
      <c r="EW110" s="250">
        <v>0</v>
      </c>
      <c r="EX110" s="250">
        <v>0</v>
      </c>
      <c r="EY110" s="250">
        <v>0</v>
      </c>
      <c r="EZ110" s="250">
        <v>0.74</v>
      </c>
      <c r="FA110" s="250">
        <v>2.42</v>
      </c>
      <c r="FB110" s="250">
        <v>2.4500000000000002</v>
      </c>
      <c r="FC110" s="250">
        <v>0</v>
      </c>
      <c r="FD110" s="249">
        <v>0</v>
      </c>
      <c r="FE110" s="250">
        <v>0</v>
      </c>
      <c r="FF110" s="250">
        <v>0</v>
      </c>
    </row>
    <row r="111" spans="1:162">
      <c r="A111" s="234" t="s">
        <v>1638</v>
      </c>
      <c r="B111" s="234" t="s">
        <v>1639</v>
      </c>
      <c r="C111" s="246" t="s">
        <v>401</v>
      </c>
      <c r="D111" s="246" t="s">
        <v>362</v>
      </c>
      <c r="E111" s="246">
        <v>4210</v>
      </c>
      <c r="F111" s="246" t="s">
        <v>416</v>
      </c>
      <c r="G111" s="246" t="s">
        <v>417</v>
      </c>
      <c r="H111" s="246" t="s">
        <v>418</v>
      </c>
      <c r="I111" s="246">
        <v>0.66930000000000001</v>
      </c>
      <c r="J111" s="246">
        <v>0.7873</v>
      </c>
      <c r="K111" s="247">
        <v>4.2299999999999997E-2</v>
      </c>
      <c r="L111" s="247">
        <v>7.2800000000000004E-2</v>
      </c>
      <c r="M111" s="246" t="s">
        <v>384</v>
      </c>
      <c r="N111" s="247">
        <v>1.11E-2</v>
      </c>
      <c r="O111" s="247">
        <v>5.0599999999999999E-2</v>
      </c>
      <c r="P111" s="247">
        <v>4.2000000000000003E-2</v>
      </c>
      <c r="Q111" s="247">
        <v>6.7400000000000002E-2</v>
      </c>
      <c r="R111" s="247">
        <v>-8.0299999999999996E-2</v>
      </c>
      <c r="S111" s="247">
        <v>-7.9100000000000004E-2</v>
      </c>
      <c r="T111" s="248">
        <v>2.42</v>
      </c>
      <c r="U111" s="248">
        <v>0</v>
      </c>
      <c r="V111" s="248">
        <v>0.51</v>
      </c>
      <c r="W111" s="248">
        <v>0.51</v>
      </c>
      <c r="X111" s="248">
        <v>2.93</v>
      </c>
      <c r="Y111" s="248">
        <v>0.28999999999999998</v>
      </c>
      <c r="Z111" s="248">
        <v>2.64</v>
      </c>
      <c r="AA111" s="247">
        <v>9.8799999999999999E-2</v>
      </c>
      <c r="AB111" s="246">
        <v>0.48</v>
      </c>
      <c r="AC111" s="247">
        <v>4.7500000000000001E-2</v>
      </c>
      <c r="AD111" s="247">
        <v>0.17519999999999999</v>
      </c>
      <c r="AE111" s="247">
        <v>4.99E-2</v>
      </c>
      <c r="AF111" s="247">
        <v>0.21240000000000001</v>
      </c>
      <c r="AG111" s="248">
        <v>0.02</v>
      </c>
      <c r="AH111" s="246">
        <v>69.06</v>
      </c>
      <c r="AI111" s="247">
        <v>-0.47210000000000002</v>
      </c>
      <c r="AJ111" s="246">
        <v>-0.35</v>
      </c>
      <c r="AK111" s="246" t="s">
        <v>384</v>
      </c>
      <c r="AL111" s="246" t="s">
        <v>384</v>
      </c>
      <c r="AM111" s="246">
        <v>0.41</v>
      </c>
      <c r="AN111" s="233" t="s">
        <v>384</v>
      </c>
      <c r="AO111" s="246" t="s">
        <v>384</v>
      </c>
      <c r="AP111" s="246" t="s">
        <v>384</v>
      </c>
      <c r="AQ111" s="246" t="s">
        <v>384</v>
      </c>
      <c r="AR111" s="246" t="s">
        <v>384</v>
      </c>
      <c r="AS111" s="246" t="s">
        <v>384</v>
      </c>
      <c r="AT111" s="246">
        <v>0.23</v>
      </c>
      <c r="AU111" s="246">
        <v>0.22</v>
      </c>
      <c r="AV111" s="246">
        <v>0.13</v>
      </c>
      <c r="AW111" s="246" t="s">
        <v>384</v>
      </c>
      <c r="AX111" s="246">
        <v>2.4</v>
      </c>
      <c r="AY111" s="246">
        <v>0.25</v>
      </c>
      <c r="AZ111" s="246">
        <v>0.14000000000000001</v>
      </c>
      <c r="BA111" s="246" t="s">
        <v>384</v>
      </c>
      <c r="BB111" s="247">
        <v>0</v>
      </c>
      <c r="BC111" s="247">
        <v>6.1400000000000003E-2</v>
      </c>
      <c r="BD111" s="246" t="s">
        <v>384</v>
      </c>
      <c r="BE111" s="246" t="s">
        <v>384</v>
      </c>
      <c r="BF111" s="247">
        <v>-5.1200000000000002E-2</v>
      </c>
      <c r="BG111" s="247">
        <v>-4.0399999999999998E-2</v>
      </c>
      <c r="BH111" s="246" t="s">
        <v>384</v>
      </c>
      <c r="BI111" s="246" t="s">
        <v>384</v>
      </c>
      <c r="BJ111" s="247">
        <v>-7.4999999999999997E-3</v>
      </c>
      <c r="BK111" s="247">
        <v>-1.17E-2</v>
      </c>
      <c r="BL111" s="246">
        <v>1.62</v>
      </c>
      <c r="BM111" s="247">
        <v>-4.1999999999999997E-3</v>
      </c>
      <c r="BN111" s="247">
        <v>-7.1999999999999998E-3</v>
      </c>
      <c r="BO111" s="247">
        <v>0.1288</v>
      </c>
      <c r="BP111" s="247">
        <v>0.17</v>
      </c>
      <c r="BQ111" s="247">
        <v>0</v>
      </c>
      <c r="BR111" s="246" t="s">
        <v>384</v>
      </c>
      <c r="BS111" s="248">
        <v>-0.3</v>
      </c>
      <c r="BT111" s="248">
        <v>-0.08</v>
      </c>
      <c r="BU111" s="248">
        <v>-0.13</v>
      </c>
      <c r="BV111" s="248">
        <v>-0.13</v>
      </c>
      <c r="BW111" s="248">
        <v>2.2799999999999998</v>
      </c>
      <c r="BX111" s="248">
        <v>18.899999999999999</v>
      </c>
      <c r="BY111" s="248">
        <v>17.7</v>
      </c>
      <c r="BZ111" s="248">
        <v>1.07</v>
      </c>
      <c r="CA111" s="248">
        <v>1.1000000000000001</v>
      </c>
      <c r="CB111" s="248">
        <v>-0.13</v>
      </c>
      <c r="CC111" s="248">
        <v>0.78</v>
      </c>
      <c r="CD111" s="248">
        <v>1.33</v>
      </c>
      <c r="CE111" s="248">
        <v>5.1100000000000003</v>
      </c>
      <c r="CF111" s="247">
        <v>0.28889999999999999</v>
      </c>
      <c r="CG111" s="248">
        <v>0.4</v>
      </c>
      <c r="CH111" s="246" t="s">
        <v>384</v>
      </c>
      <c r="CI111" s="248">
        <v>-1.85</v>
      </c>
      <c r="CJ111" s="248">
        <v>-2.58</v>
      </c>
      <c r="CK111" s="248">
        <v>-1.8</v>
      </c>
      <c r="CL111" s="248">
        <v>9.98</v>
      </c>
      <c r="CM111" s="248">
        <v>10.9</v>
      </c>
      <c r="CN111" s="248">
        <v>10.3</v>
      </c>
      <c r="CO111" s="248">
        <v>10.52</v>
      </c>
      <c r="CP111" s="248">
        <v>0</v>
      </c>
      <c r="CQ111" s="246">
        <v>-0.03</v>
      </c>
      <c r="CR111" s="246">
        <v>-0.38</v>
      </c>
      <c r="CS111" s="246">
        <v>0.42</v>
      </c>
      <c r="CT111" s="246">
        <v>1.23</v>
      </c>
      <c r="CU111" s="246">
        <v>1.43</v>
      </c>
      <c r="CV111" s="248">
        <v>-0.82</v>
      </c>
      <c r="CW111" s="248">
        <v>-1.0900000000000001</v>
      </c>
      <c r="CX111" s="248">
        <v>0</v>
      </c>
      <c r="CY111" s="246" t="s">
        <v>384</v>
      </c>
      <c r="CZ111" s="246" t="s">
        <v>384</v>
      </c>
      <c r="DA111" s="246" t="s">
        <v>384</v>
      </c>
      <c r="DB111" s="246" t="s">
        <v>384</v>
      </c>
      <c r="DC111" s="248">
        <v>1.1000000000000001</v>
      </c>
      <c r="DD111" s="248">
        <v>2.64</v>
      </c>
      <c r="DE111" s="246" t="s">
        <v>384</v>
      </c>
      <c r="DF111" s="248">
        <v>0</v>
      </c>
      <c r="DG111" s="248">
        <v>-0.13</v>
      </c>
      <c r="DH111" s="248">
        <v>10.52</v>
      </c>
      <c r="DI111" s="248">
        <v>1.07</v>
      </c>
      <c r="DJ111" s="247">
        <v>-7.4999999999999997E-3</v>
      </c>
      <c r="DK111" s="247">
        <v>-1.17E-2</v>
      </c>
      <c r="DL111" s="246">
        <v>2.4700000000000002</v>
      </c>
      <c r="DM111" s="246">
        <v>1.23</v>
      </c>
      <c r="DN111" s="246" t="s">
        <v>384</v>
      </c>
      <c r="DO111" s="246">
        <v>-0.82</v>
      </c>
      <c r="DP111" s="246" t="s">
        <v>384</v>
      </c>
      <c r="DQ111" s="248">
        <v>-0.63</v>
      </c>
      <c r="DR111" s="246" t="s">
        <v>1155</v>
      </c>
      <c r="DS111" s="246" t="s">
        <v>1255</v>
      </c>
      <c r="DT111" s="246" t="e">
        <v>#REF!</v>
      </c>
      <c r="DU111" s="246" t="s">
        <v>388</v>
      </c>
      <c r="DV111" s="248">
        <v>-0.13</v>
      </c>
      <c r="DW111" s="246" t="s">
        <v>406</v>
      </c>
      <c r="DX111" s="246" t="s">
        <v>1373</v>
      </c>
      <c r="DY111" s="246" t="s">
        <v>1640</v>
      </c>
      <c r="DZ111" s="246">
        <v>28</v>
      </c>
      <c r="EA111" s="247">
        <v>9.8599999999999993E-2</v>
      </c>
      <c r="EB111" s="247">
        <v>4.2700000000000002E-2</v>
      </c>
      <c r="EC111" s="247">
        <v>0.52869999999999995</v>
      </c>
      <c r="ED111" s="247">
        <v>-0.35120000000000001</v>
      </c>
      <c r="EE111" s="247">
        <v>0.13619999999999999</v>
      </c>
      <c r="EF111" s="247">
        <v>-1.67E-2</v>
      </c>
      <c r="EG111" s="247">
        <v>-1.21E-2</v>
      </c>
      <c r="EH111" s="247">
        <v>-7.0000000000000001E-3</v>
      </c>
      <c r="EI111" s="248">
        <v>-0.63</v>
      </c>
      <c r="EJ111" s="234">
        <v>-0.13</v>
      </c>
      <c r="EK111" s="234">
        <v>-0.22</v>
      </c>
      <c r="EL111" s="234" t="s">
        <v>1641</v>
      </c>
      <c r="EM111" s="234" t="s">
        <v>1642</v>
      </c>
      <c r="EN111" s="234" t="s">
        <v>1643</v>
      </c>
      <c r="EO111" s="234" t="s">
        <v>1644</v>
      </c>
      <c r="EP111" s="234" t="s">
        <v>1645</v>
      </c>
      <c r="EQ111" s="234" t="s">
        <v>1633</v>
      </c>
      <c r="ER111" s="234">
        <v>0</v>
      </c>
      <c r="ES111" s="249">
        <v>-2.3199999999999998E-2</v>
      </c>
      <c r="ET111" s="234" t="s">
        <v>384</v>
      </c>
      <c r="EU111" s="250">
        <v>17.7</v>
      </c>
      <c r="EV111" s="234" t="s">
        <v>491</v>
      </c>
      <c r="EW111" s="250">
        <v>0</v>
      </c>
      <c r="EX111" s="250">
        <v>11</v>
      </c>
      <c r="EY111" s="250">
        <v>1.71</v>
      </c>
      <c r="EZ111" s="250">
        <v>5.19</v>
      </c>
      <c r="FA111" s="250">
        <v>2.13</v>
      </c>
      <c r="FB111" s="250">
        <v>2.2799999999999998</v>
      </c>
      <c r="FC111" s="250">
        <v>0</v>
      </c>
      <c r="FD111" s="249">
        <v>0</v>
      </c>
      <c r="FE111" s="250">
        <v>0.17</v>
      </c>
      <c r="FF111" s="250">
        <v>0</v>
      </c>
    </row>
    <row r="112" spans="1:162">
      <c r="A112" s="234" t="s">
        <v>1646</v>
      </c>
      <c r="B112" s="234" t="s">
        <v>1647</v>
      </c>
      <c r="C112" s="246" t="s">
        <v>361</v>
      </c>
      <c r="D112" s="246" t="s">
        <v>362</v>
      </c>
      <c r="E112" s="246">
        <v>4210</v>
      </c>
      <c r="F112" s="246" t="s">
        <v>1403</v>
      </c>
      <c r="G112" s="246" t="s">
        <v>382</v>
      </c>
      <c r="H112" s="246" t="s">
        <v>383</v>
      </c>
      <c r="I112" s="246">
        <v>0.74739999999999995</v>
      </c>
      <c r="J112" s="246">
        <v>0.74739999999999995</v>
      </c>
      <c r="K112" s="247">
        <v>5.33E-2</v>
      </c>
      <c r="L112" s="247">
        <v>7.9299999999999995E-2</v>
      </c>
      <c r="M112" s="246" t="s">
        <v>384</v>
      </c>
      <c r="N112" s="247">
        <v>1.61E-2</v>
      </c>
      <c r="O112" s="247">
        <v>5.5599999999999997E-2</v>
      </c>
      <c r="P112" s="247">
        <v>4.4999999999999998E-2</v>
      </c>
      <c r="Q112" s="247">
        <v>7.9299999999999995E-2</v>
      </c>
      <c r="R112" s="246" t="s">
        <v>384</v>
      </c>
      <c r="S112" s="247">
        <v>4.9207000000000001</v>
      </c>
      <c r="T112" s="248">
        <v>2.33</v>
      </c>
      <c r="U112" s="248">
        <v>0</v>
      </c>
      <c r="V112" s="248">
        <v>0</v>
      </c>
      <c r="W112" s="248">
        <v>0</v>
      </c>
      <c r="X112" s="248">
        <v>2.33</v>
      </c>
      <c r="Y112" s="248">
        <v>0</v>
      </c>
      <c r="Z112" s="248">
        <v>2.33</v>
      </c>
      <c r="AA112" s="247">
        <v>8.9999999999999998E-4</v>
      </c>
      <c r="AB112" s="246">
        <v>0.08</v>
      </c>
      <c r="AC112" s="246" t="s">
        <v>384</v>
      </c>
      <c r="AD112" s="247">
        <v>0</v>
      </c>
      <c r="AE112" s="246" t="s">
        <v>384</v>
      </c>
      <c r="AF112" s="247">
        <v>0</v>
      </c>
      <c r="AG112" s="248">
        <v>0.71</v>
      </c>
      <c r="AH112" s="246">
        <v>50.04</v>
      </c>
      <c r="AI112" s="247">
        <v>0.1794</v>
      </c>
      <c r="AJ112" s="246">
        <v>0.9</v>
      </c>
      <c r="AK112" s="247">
        <v>7.7499999999999999E-2</v>
      </c>
      <c r="AL112" s="247">
        <v>0.45550000000000002</v>
      </c>
      <c r="AM112" s="246">
        <v>0.52</v>
      </c>
      <c r="AN112" s="233" t="s">
        <v>384</v>
      </c>
      <c r="AO112" s="246">
        <v>33.29</v>
      </c>
      <c r="AP112" s="246">
        <v>20.09</v>
      </c>
      <c r="AQ112" s="246">
        <v>5.49</v>
      </c>
      <c r="AR112" s="246" t="s">
        <v>384</v>
      </c>
      <c r="AS112" s="246" t="s">
        <v>384</v>
      </c>
      <c r="AT112" s="246" t="s">
        <v>384</v>
      </c>
      <c r="AU112" s="246" t="s">
        <v>384</v>
      </c>
      <c r="AV112" s="246" t="s">
        <v>384</v>
      </c>
      <c r="AW112" s="246">
        <v>20.07</v>
      </c>
      <c r="AX112" s="246" t="s">
        <v>384</v>
      </c>
      <c r="AY112" s="246" t="s">
        <v>384</v>
      </c>
      <c r="AZ112" s="246" t="s">
        <v>384</v>
      </c>
      <c r="BA112" s="247">
        <v>0</v>
      </c>
      <c r="BB112" s="247">
        <v>0</v>
      </c>
      <c r="BC112" s="247">
        <v>5.0677000000000003</v>
      </c>
      <c r="BD112" s="246" t="s">
        <v>384</v>
      </c>
      <c r="BE112" s="246" t="s">
        <v>384</v>
      </c>
      <c r="BF112" s="246" t="s">
        <v>384</v>
      </c>
      <c r="BG112" s="246" t="s">
        <v>384</v>
      </c>
      <c r="BH112" s="246" t="s">
        <v>384</v>
      </c>
      <c r="BI112" s="246" t="s">
        <v>384</v>
      </c>
      <c r="BJ112" s="246" t="s">
        <v>384</v>
      </c>
      <c r="BK112" s="247">
        <v>5</v>
      </c>
      <c r="BL112" s="246">
        <v>0</v>
      </c>
      <c r="BM112" s="246" t="s">
        <v>384</v>
      </c>
      <c r="BN112" s="246" t="s">
        <v>384</v>
      </c>
      <c r="BO112" s="246" t="s">
        <v>384</v>
      </c>
      <c r="BP112" s="247">
        <v>0.19</v>
      </c>
      <c r="BQ112" s="247">
        <v>0</v>
      </c>
      <c r="BR112" s="246" t="s">
        <v>384</v>
      </c>
      <c r="BS112" s="248">
        <v>7.0000000000000007E-2</v>
      </c>
      <c r="BT112" s="248">
        <v>0.12</v>
      </c>
      <c r="BU112" s="248">
        <v>0.12</v>
      </c>
      <c r="BV112" s="248">
        <v>0.12</v>
      </c>
      <c r="BW112" s="248">
        <v>0</v>
      </c>
      <c r="BX112" s="248">
        <v>0</v>
      </c>
      <c r="BY112" s="248">
        <v>0</v>
      </c>
      <c r="BZ112" s="248">
        <v>0</v>
      </c>
      <c r="CA112" s="248">
        <v>0</v>
      </c>
      <c r="CB112" s="248">
        <v>0.12</v>
      </c>
      <c r="CC112" s="248">
        <v>0</v>
      </c>
      <c r="CD112" s="248">
        <v>0.03</v>
      </c>
      <c r="CE112" s="248">
        <v>-0.04</v>
      </c>
      <c r="CF112" s="246" t="s">
        <v>384</v>
      </c>
      <c r="CG112" s="248">
        <v>0.02</v>
      </c>
      <c r="CH112" s="247">
        <v>0.4052</v>
      </c>
      <c r="CI112" s="248">
        <v>7.0000000000000007E-2</v>
      </c>
      <c r="CJ112" s="248">
        <v>7.0000000000000007E-2</v>
      </c>
      <c r="CK112" s="248">
        <v>7.0000000000000007E-2</v>
      </c>
      <c r="CL112" s="248">
        <v>-0.05</v>
      </c>
      <c r="CM112" s="248">
        <v>0.01</v>
      </c>
      <c r="CN112" s="248">
        <v>-0.03</v>
      </c>
      <c r="CO112" s="248">
        <v>0</v>
      </c>
      <c r="CP112" s="248">
        <v>0</v>
      </c>
      <c r="CQ112" s="246">
        <v>0.28999999999999998</v>
      </c>
      <c r="CR112" s="246">
        <v>0.9</v>
      </c>
      <c r="CS112" s="246">
        <v>0.55000000000000004</v>
      </c>
      <c r="CT112" s="246">
        <v>1.01</v>
      </c>
      <c r="CU112" s="246">
        <v>0.78</v>
      </c>
      <c r="CV112" s="248">
        <v>-0.05</v>
      </c>
      <c r="CW112" s="248">
        <v>-0.06</v>
      </c>
      <c r="CX112" s="248">
        <v>0</v>
      </c>
      <c r="CY112" s="248">
        <v>0.12</v>
      </c>
      <c r="CZ112" s="246" t="s">
        <v>384</v>
      </c>
      <c r="DA112" s="248">
        <v>0.12</v>
      </c>
      <c r="DB112" s="248">
        <v>2.33</v>
      </c>
      <c r="DC112" s="246" t="s">
        <v>384</v>
      </c>
      <c r="DD112" s="246" t="s">
        <v>384</v>
      </c>
      <c r="DE112" s="246" t="s">
        <v>384</v>
      </c>
      <c r="DF112" s="248">
        <v>0</v>
      </c>
      <c r="DG112" s="248">
        <v>0.12</v>
      </c>
      <c r="DH112" s="248">
        <v>0</v>
      </c>
      <c r="DI112" s="248">
        <v>0</v>
      </c>
      <c r="DJ112" s="246" t="s">
        <v>384</v>
      </c>
      <c r="DK112" s="247">
        <v>12.8889</v>
      </c>
      <c r="DL112" s="246" t="s">
        <v>384</v>
      </c>
      <c r="DM112" s="246">
        <v>-0.02</v>
      </c>
      <c r="DN112" s="246">
        <v>0.42</v>
      </c>
      <c r="DO112" s="246">
        <v>-0.05</v>
      </c>
      <c r="DP112" s="247">
        <v>-0.22900000000000001</v>
      </c>
      <c r="DQ112" s="248">
        <v>-0.06</v>
      </c>
      <c r="DR112" s="246" t="s">
        <v>644</v>
      </c>
      <c r="DS112" s="246" t="s">
        <v>644</v>
      </c>
      <c r="DT112" s="246" t="e">
        <v>#REF!</v>
      </c>
      <c r="DU112" s="246" t="s">
        <v>1073</v>
      </c>
      <c r="DV112" s="246" t="s">
        <v>1521</v>
      </c>
      <c r="DW112" s="246" t="s">
        <v>388</v>
      </c>
      <c r="DX112" s="246" t="s">
        <v>388</v>
      </c>
      <c r="DY112" s="246" t="s">
        <v>1615</v>
      </c>
      <c r="DZ112" s="246">
        <v>9</v>
      </c>
      <c r="EA112" s="246" t="s">
        <v>384</v>
      </c>
      <c r="EB112" s="247">
        <v>-7.3200000000000001E-2</v>
      </c>
      <c r="EC112" s="247">
        <v>3.0909</v>
      </c>
      <c r="ED112" s="247">
        <v>0.36259999999999998</v>
      </c>
      <c r="EE112" s="246" t="s">
        <v>384</v>
      </c>
      <c r="EF112" s="246" t="s">
        <v>384</v>
      </c>
      <c r="EG112" s="246" t="s">
        <v>384</v>
      </c>
      <c r="EH112" s="246" t="s">
        <v>384</v>
      </c>
      <c r="EI112" s="248">
        <v>-0.06</v>
      </c>
      <c r="EJ112" s="234">
        <v>0.12</v>
      </c>
      <c r="EK112" s="234">
        <v>7.0000000000000007E-2</v>
      </c>
      <c r="EL112" s="234" t="s">
        <v>377</v>
      </c>
      <c r="EM112" s="234" t="s">
        <v>1648</v>
      </c>
      <c r="EN112" s="234" t="s">
        <v>1649</v>
      </c>
      <c r="EO112" s="234" t="s">
        <v>1650</v>
      </c>
      <c r="EP112" s="234" t="s">
        <v>376</v>
      </c>
      <c r="EQ112" s="234" t="s">
        <v>377</v>
      </c>
      <c r="ER112" s="234">
        <v>1</v>
      </c>
      <c r="ES112" s="234" t="s">
        <v>384</v>
      </c>
      <c r="ET112" s="234" t="s">
        <v>384</v>
      </c>
      <c r="EU112" s="250">
        <v>0</v>
      </c>
      <c r="EV112" s="234" t="s">
        <v>491</v>
      </c>
      <c r="EW112" s="250">
        <v>0.21</v>
      </c>
      <c r="EX112" s="250">
        <v>0.75</v>
      </c>
      <c r="EY112" s="250">
        <v>0.6</v>
      </c>
      <c r="EZ112" s="250">
        <v>0</v>
      </c>
      <c r="FA112" s="250">
        <v>0</v>
      </c>
      <c r="FB112" s="250">
        <v>0.38</v>
      </c>
      <c r="FC112" s="250">
        <v>0</v>
      </c>
      <c r="FD112" s="249">
        <v>0</v>
      </c>
      <c r="FE112" s="250">
        <v>0</v>
      </c>
      <c r="FF112" s="250">
        <v>0</v>
      </c>
    </row>
    <row r="113" spans="1:162">
      <c r="A113" s="234" t="s">
        <v>1651</v>
      </c>
      <c r="B113" s="234" t="s">
        <v>1652</v>
      </c>
      <c r="C113" s="246" t="s">
        <v>401</v>
      </c>
      <c r="D113" s="246" t="s">
        <v>362</v>
      </c>
      <c r="E113" s="246">
        <v>4210</v>
      </c>
      <c r="F113" s="246" t="s">
        <v>642</v>
      </c>
      <c r="G113" s="246" t="s">
        <v>417</v>
      </c>
      <c r="H113" s="246" t="s">
        <v>642</v>
      </c>
      <c r="I113" s="246">
        <v>0.66930000000000001</v>
      </c>
      <c r="J113" s="246">
        <v>0.90259999999999996</v>
      </c>
      <c r="K113" s="247">
        <v>7.0800000000000002E-2</v>
      </c>
      <c r="L113" s="247">
        <v>0.10340000000000001</v>
      </c>
      <c r="M113" s="246" t="s">
        <v>384</v>
      </c>
      <c r="N113" s="247">
        <v>2.98E-2</v>
      </c>
      <c r="O113" s="247">
        <v>6.93E-2</v>
      </c>
      <c r="P113" s="247">
        <v>4.8500000000000001E-2</v>
      </c>
      <c r="Q113" s="247">
        <v>8.5199999999999998E-2</v>
      </c>
      <c r="R113" s="246" t="s">
        <v>384</v>
      </c>
      <c r="S113" s="246" t="s">
        <v>384</v>
      </c>
      <c r="T113" s="248">
        <v>2.31</v>
      </c>
      <c r="U113" s="248">
        <v>0</v>
      </c>
      <c r="V113" s="248">
        <v>1.1499999999999999</v>
      </c>
      <c r="W113" s="248">
        <v>1.1499999999999999</v>
      </c>
      <c r="X113" s="248">
        <v>3.46</v>
      </c>
      <c r="Y113" s="248">
        <v>0.12</v>
      </c>
      <c r="Z113" s="248">
        <v>3.34</v>
      </c>
      <c r="AA113" s="247">
        <v>3.3799999999999997E-2</v>
      </c>
      <c r="AB113" s="246">
        <v>1.61</v>
      </c>
      <c r="AC113" s="247">
        <v>0.3528</v>
      </c>
      <c r="AD113" s="247">
        <v>0.33239999999999997</v>
      </c>
      <c r="AE113" s="247">
        <v>0.54500000000000004</v>
      </c>
      <c r="AF113" s="247">
        <v>0.49780000000000002</v>
      </c>
      <c r="AG113" s="248">
        <v>0.51</v>
      </c>
      <c r="AH113" s="246">
        <v>69.06</v>
      </c>
      <c r="AI113" s="246" t="s">
        <v>384</v>
      </c>
      <c r="AJ113" s="246" t="s">
        <v>384</v>
      </c>
      <c r="AK113" s="246" t="s">
        <v>384</v>
      </c>
      <c r="AL113" s="246" t="s">
        <v>384</v>
      </c>
      <c r="AM113" s="246">
        <v>0.46</v>
      </c>
      <c r="AN113" s="233">
        <v>6.79</v>
      </c>
      <c r="AO113" s="246">
        <v>5.14</v>
      </c>
      <c r="AP113" s="246">
        <v>4.5999999999999996</v>
      </c>
      <c r="AQ113" s="246" t="s">
        <v>384</v>
      </c>
      <c r="AR113" s="246" t="s">
        <v>384</v>
      </c>
      <c r="AS113" s="246" t="s">
        <v>384</v>
      </c>
      <c r="AT113" s="246">
        <v>1.0900000000000001</v>
      </c>
      <c r="AU113" s="246" t="s">
        <v>384</v>
      </c>
      <c r="AV113" s="246">
        <v>0.4</v>
      </c>
      <c r="AW113" s="246">
        <v>4.21</v>
      </c>
      <c r="AX113" s="246">
        <v>2.79</v>
      </c>
      <c r="AY113" s="246">
        <v>1.06</v>
      </c>
      <c r="AZ113" s="246">
        <v>0.57999999999999996</v>
      </c>
      <c r="BA113" s="247">
        <v>0</v>
      </c>
      <c r="BB113" s="247">
        <v>0</v>
      </c>
      <c r="BC113" s="246" t="s">
        <v>384</v>
      </c>
      <c r="BD113" s="246" t="s">
        <v>384</v>
      </c>
      <c r="BE113" s="246" t="s">
        <v>384</v>
      </c>
      <c r="BF113" s="246" t="s">
        <v>384</v>
      </c>
      <c r="BG113" s="246" t="s">
        <v>384</v>
      </c>
      <c r="BH113" s="246" t="s">
        <v>384</v>
      </c>
      <c r="BI113" s="246" t="s">
        <v>384</v>
      </c>
      <c r="BJ113" s="246" t="s">
        <v>384</v>
      </c>
      <c r="BK113" s="246" t="s">
        <v>384</v>
      </c>
      <c r="BL113" s="246" t="s">
        <v>384</v>
      </c>
      <c r="BM113" s="247">
        <v>8.3900000000000002E-2</v>
      </c>
      <c r="BN113" s="247">
        <v>0.13289999999999999</v>
      </c>
      <c r="BO113" s="247">
        <v>0.22409999999999999</v>
      </c>
      <c r="BP113" s="247">
        <v>0.3</v>
      </c>
      <c r="BQ113" s="247">
        <v>0.2697</v>
      </c>
      <c r="BR113" s="247">
        <v>4.1000000000000002E-2</v>
      </c>
      <c r="BS113" s="248">
        <v>0.45</v>
      </c>
      <c r="BT113" s="248">
        <v>0.5</v>
      </c>
      <c r="BU113" s="248">
        <v>0.8</v>
      </c>
      <c r="BV113" s="248">
        <v>0.8</v>
      </c>
      <c r="BW113" s="248">
        <v>1.34</v>
      </c>
      <c r="BX113" s="248">
        <v>5.75</v>
      </c>
      <c r="BY113" s="248">
        <v>5.98</v>
      </c>
      <c r="BZ113" s="248">
        <v>1.1399999999999999</v>
      </c>
      <c r="CA113" s="248">
        <v>1.2</v>
      </c>
      <c r="CB113" s="248">
        <v>0.57999999999999996</v>
      </c>
      <c r="CC113" s="248">
        <v>0</v>
      </c>
      <c r="CD113" s="248">
        <v>0</v>
      </c>
      <c r="CE113" s="248">
        <v>1.85</v>
      </c>
      <c r="CF113" s="247">
        <v>0.30869999999999997</v>
      </c>
      <c r="CG113" s="248">
        <v>-0.43</v>
      </c>
      <c r="CH113" s="247">
        <v>-0.73719999999999997</v>
      </c>
      <c r="CI113" s="248">
        <v>1.01</v>
      </c>
      <c r="CJ113" s="248">
        <v>0.93</v>
      </c>
      <c r="CK113" s="248">
        <v>0.93</v>
      </c>
      <c r="CL113" s="248">
        <v>0</v>
      </c>
      <c r="CM113" s="248">
        <v>0</v>
      </c>
      <c r="CN113" s="248">
        <v>2.11</v>
      </c>
      <c r="CO113" s="248">
        <v>3.14</v>
      </c>
      <c r="CP113" s="248">
        <v>0</v>
      </c>
      <c r="CQ113" s="246" t="s">
        <v>384</v>
      </c>
      <c r="CR113" s="246" t="s">
        <v>384</v>
      </c>
      <c r="CS113" s="246">
        <v>0.42</v>
      </c>
      <c r="CT113" s="246" t="s">
        <v>384</v>
      </c>
      <c r="CU113" s="246" t="s">
        <v>384</v>
      </c>
      <c r="CV113" s="246" t="s">
        <v>384</v>
      </c>
      <c r="CW113" s="246" t="s">
        <v>384</v>
      </c>
      <c r="CX113" s="248">
        <v>0</v>
      </c>
      <c r="CY113" s="248">
        <v>0.69</v>
      </c>
      <c r="CZ113" s="248">
        <v>0.19</v>
      </c>
      <c r="DA113" s="248">
        <v>0.5</v>
      </c>
      <c r="DB113" s="248">
        <v>2.31</v>
      </c>
      <c r="DC113" s="248">
        <v>1.2</v>
      </c>
      <c r="DD113" s="248">
        <v>3.34</v>
      </c>
      <c r="DE113" s="246" t="s">
        <v>384</v>
      </c>
      <c r="DF113" s="248">
        <v>0</v>
      </c>
      <c r="DG113" s="248">
        <v>0.8</v>
      </c>
      <c r="DH113" s="248">
        <v>3.14</v>
      </c>
      <c r="DI113" s="248">
        <v>1.1399999999999999</v>
      </c>
      <c r="DJ113" s="246" t="s">
        <v>384</v>
      </c>
      <c r="DK113" s="246" t="s">
        <v>384</v>
      </c>
      <c r="DL113" s="246">
        <v>2.93</v>
      </c>
      <c r="DM113" s="246">
        <v>0.43</v>
      </c>
      <c r="DN113" s="246" t="s">
        <v>384</v>
      </c>
      <c r="DO113" s="246" t="s">
        <v>384</v>
      </c>
      <c r="DP113" s="246" t="s">
        <v>384</v>
      </c>
      <c r="DQ113" s="246" t="s">
        <v>1653</v>
      </c>
      <c r="DR113" s="246" t="s">
        <v>644</v>
      </c>
      <c r="DS113" s="246" t="s">
        <v>644</v>
      </c>
      <c r="DT113" s="246" t="e">
        <v>#REF!</v>
      </c>
      <c r="DU113" s="246" t="s">
        <v>388</v>
      </c>
      <c r="DV113" s="246" t="s">
        <v>1654</v>
      </c>
      <c r="DW113" s="246" t="s">
        <v>1123</v>
      </c>
      <c r="DX113" s="246" t="s">
        <v>1074</v>
      </c>
      <c r="DY113" s="246" t="s">
        <v>1593</v>
      </c>
      <c r="DZ113" s="246">
        <v>9</v>
      </c>
      <c r="EA113" s="246" t="s">
        <v>384</v>
      </c>
      <c r="EB113" s="246" t="s">
        <v>384</v>
      </c>
      <c r="EC113" s="246" t="s">
        <v>384</v>
      </c>
      <c r="ED113" s="247">
        <v>-0.2351</v>
      </c>
      <c r="EE113" s="246" t="s">
        <v>384</v>
      </c>
      <c r="EF113" s="247">
        <v>3.3999999999999998E-3</v>
      </c>
      <c r="EG113" s="247">
        <v>0.12939999999999999</v>
      </c>
      <c r="EH113" s="247">
        <v>0.13300000000000001</v>
      </c>
      <c r="EI113" s="246" t="s">
        <v>1653</v>
      </c>
      <c r="EJ113" s="234">
        <v>0.8</v>
      </c>
      <c r="EK113" s="234">
        <v>0.77</v>
      </c>
      <c r="EL113" s="234" t="s">
        <v>377</v>
      </c>
      <c r="EM113" s="234" t="s">
        <v>377</v>
      </c>
      <c r="EN113" s="234" t="s">
        <v>377</v>
      </c>
      <c r="EO113" s="234" t="s">
        <v>1655</v>
      </c>
      <c r="EP113" s="234" t="s">
        <v>376</v>
      </c>
      <c r="EQ113" s="234" t="s">
        <v>377</v>
      </c>
      <c r="ER113" s="234">
        <v>1</v>
      </c>
      <c r="ES113" s="234" t="s">
        <v>384</v>
      </c>
      <c r="ET113" s="234" t="s">
        <v>384</v>
      </c>
      <c r="EU113" s="234" t="s">
        <v>384</v>
      </c>
      <c r="EV113" s="234" t="s">
        <v>491</v>
      </c>
      <c r="EW113" s="250">
        <v>0</v>
      </c>
      <c r="EX113" s="250">
        <v>0</v>
      </c>
      <c r="EY113" s="250">
        <v>0</v>
      </c>
      <c r="EZ113" s="250">
        <v>0</v>
      </c>
      <c r="FA113" s="250">
        <v>0</v>
      </c>
      <c r="FB113" s="250">
        <v>0</v>
      </c>
      <c r="FC113" s="250">
        <v>0</v>
      </c>
      <c r="FD113" s="249">
        <v>0</v>
      </c>
      <c r="FE113" s="250">
        <v>0</v>
      </c>
      <c r="FF113" s="250">
        <v>0</v>
      </c>
    </row>
    <row r="114" spans="1:162">
      <c r="A114" s="234" t="s">
        <v>1656</v>
      </c>
      <c r="B114" s="234" t="s">
        <v>1657</v>
      </c>
      <c r="C114" s="246" t="s">
        <v>401</v>
      </c>
      <c r="D114" s="246" t="s">
        <v>362</v>
      </c>
      <c r="E114" s="246">
        <v>4210</v>
      </c>
      <c r="F114" s="246" t="s">
        <v>642</v>
      </c>
      <c r="G114" s="246" t="s">
        <v>417</v>
      </c>
      <c r="H114" s="246" t="s">
        <v>642</v>
      </c>
      <c r="I114" s="246">
        <v>0.66930000000000001</v>
      </c>
      <c r="J114" s="246">
        <v>0.73880000000000001</v>
      </c>
      <c r="K114" s="247">
        <v>7.0800000000000002E-2</v>
      </c>
      <c r="L114" s="247">
        <v>9.1800000000000007E-2</v>
      </c>
      <c r="M114" s="246" t="s">
        <v>384</v>
      </c>
      <c r="N114" s="247">
        <v>2.98E-2</v>
      </c>
      <c r="O114" s="247">
        <v>6.93E-2</v>
      </c>
      <c r="P114" s="247">
        <v>4.8500000000000001E-2</v>
      </c>
      <c r="Q114" s="247">
        <v>8.6199999999999999E-2</v>
      </c>
      <c r="R114" s="247">
        <v>0.40160000000000001</v>
      </c>
      <c r="S114" s="247">
        <v>0.1216</v>
      </c>
      <c r="T114" s="248">
        <v>1.82</v>
      </c>
      <c r="U114" s="248">
        <v>0</v>
      </c>
      <c r="V114" s="248">
        <v>0.27</v>
      </c>
      <c r="W114" s="248">
        <v>0.27</v>
      </c>
      <c r="X114" s="248">
        <v>2.09</v>
      </c>
      <c r="Y114" s="248">
        <v>0.42</v>
      </c>
      <c r="Z114" s="248">
        <v>1.67</v>
      </c>
      <c r="AA114" s="247">
        <v>0.2</v>
      </c>
      <c r="AB114" s="246">
        <v>1.53</v>
      </c>
      <c r="AC114" s="247">
        <v>0.2903</v>
      </c>
      <c r="AD114" s="247">
        <v>0.12920000000000001</v>
      </c>
      <c r="AE114" s="247">
        <v>0.40910000000000002</v>
      </c>
      <c r="AF114" s="247">
        <v>0.1484</v>
      </c>
      <c r="AG114" s="248">
        <v>0.45</v>
      </c>
      <c r="AH114" s="246">
        <v>69.06</v>
      </c>
      <c r="AI114" s="246" t="s">
        <v>384</v>
      </c>
      <c r="AJ114" s="246" t="s">
        <v>384</v>
      </c>
      <c r="AK114" s="246" t="s">
        <v>384</v>
      </c>
      <c r="AL114" s="246" t="s">
        <v>384</v>
      </c>
      <c r="AM114" s="246">
        <v>0.31</v>
      </c>
      <c r="AN114" s="233">
        <v>8</v>
      </c>
      <c r="AO114" s="246">
        <v>8.7100000000000009</v>
      </c>
      <c r="AP114" s="246">
        <v>8.1300000000000008</v>
      </c>
      <c r="AQ114" s="246" t="s">
        <v>384</v>
      </c>
      <c r="AR114" s="246" t="s">
        <v>384</v>
      </c>
      <c r="AS114" s="246" t="s">
        <v>384</v>
      </c>
      <c r="AT114" s="246">
        <v>2.76</v>
      </c>
      <c r="AU114" s="246" t="s">
        <v>384</v>
      </c>
      <c r="AV114" s="246">
        <v>0.63</v>
      </c>
      <c r="AW114" s="246">
        <v>5.97</v>
      </c>
      <c r="AX114" s="246">
        <v>4.3899999999999997</v>
      </c>
      <c r="AY114" s="246">
        <v>3.27</v>
      </c>
      <c r="AZ114" s="246">
        <v>0.57999999999999996</v>
      </c>
      <c r="BA114" s="247">
        <v>0</v>
      </c>
      <c r="BB114" s="247">
        <v>0</v>
      </c>
      <c r="BC114" s="246" t="s">
        <v>384</v>
      </c>
      <c r="BD114" s="246" t="s">
        <v>384</v>
      </c>
      <c r="BE114" s="246" t="s">
        <v>384</v>
      </c>
      <c r="BF114" s="246" t="s">
        <v>384</v>
      </c>
      <c r="BG114" s="246" t="s">
        <v>384</v>
      </c>
      <c r="BH114" s="246" t="s">
        <v>384</v>
      </c>
      <c r="BI114" s="246" t="s">
        <v>384</v>
      </c>
      <c r="BJ114" s="247">
        <v>0.49340000000000001</v>
      </c>
      <c r="BK114" s="247">
        <v>0.20780000000000001</v>
      </c>
      <c r="BL114" s="246">
        <v>2.72</v>
      </c>
      <c r="BM114" s="247">
        <v>0.08</v>
      </c>
      <c r="BN114" s="247">
        <v>0.1</v>
      </c>
      <c r="BO114" s="247">
        <v>0.2039</v>
      </c>
      <c r="BP114" s="247">
        <v>0.3</v>
      </c>
      <c r="BQ114" s="247">
        <v>0.23549999999999999</v>
      </c>
      <c r="BR114" s="246" t="s">
        <v>384</v>
      </c>
      <c r="BS114" s="248">
        <v>0.21</v>
      </c>
      <c r="BT114" s="248">
        <v>0.22</v>
      </c>
      <c r="BU114" s="248">
        <v>0.28000000000000003</v>
      </c>
      <c r="BV114" s="248">
        <v>0.28000000000000003</v>
      </c>
      <c r="BW114" s="248">
        <v>0.56999999999999995</v>
      </c>
      <c r="BX114" s="248">
        <v>2.9</v>
      </c>
      <c r="BY114" s="248">
        <v>2.8</v>
      </c>
      <c r="BZ114" s="248">
        <v>0.43</v>
      </c>
      <c r="CA114" s="248">
        <v>0.38</v>
      </c>
      <c r="CB114" s="248">
        <v>0.21</v>
      </c>
      <c r="CC114" s="248">
        <v>0</v>
      </c>
      <c r="CD114" s="248">
        <v>0</v>
      </c>
      <c r="CE114" s="248">
        <v>0.03</v>
      </c>
      <c r="CF114" s="247">
        <v>1.0699999999999999E-2</v>
      </c>
      <c r="CG114" s="248">
        <v>-0.14000000000000001</v>
      </c>
      <c r="CH114" s="247">
        <v>-0.63070000000000004</v>
      </c>
      <c r="CI114" s="248">
        <v>0.35</v>
      </c>
      <c r="CJ114" s="248">
        <v>0.36</v>
      </c>
      <c r="CK114" s="248">
        <v>0.36</v>
      </c>
      <c r="CL114" s="248">
        <v>0.45</v>
      </c>
      <c r="CM114" s="248">
        <v>1.03</v>
      </c>
      <c r="CN114" s="248">
        <v>0.66</v>
      </c>
      <c r="CO114" s="248">
        <v>0.51</v>
      </c>
      <c r="CP114" s="248">
        <v>0</v>
      </c>
      <c r="CQ114" s="246" t="s">
        <v>384</v>
      </c>
      <c r="CR114" s="246" t="s">
        <v>384</v>
      </c>
      <c r="CS114" s="246">
        <v>0.42</v>
      </c>
      <c r="CT114" s="246" t="s">
        <v>384</v>
      </c>
      <c r="CU114" s="246" t="s">
        <v>384</v>
      </c>
      <c r="CV114" s="246" t="s">
        <v>384</v>
      </c>
      <c r="CW114" s="246" t="s">
        <v>384</v>
      </c>
      <c r="CX114" s="248">
        <v>0</v>
      </c>
      <c r="CY114" s="248">
        <v>0.28999999999999998</v>
      </c>
      <c r="CZ114" s="248">
        <v>7.0000000000000007E-2</v>
      </c>
      <c r="DA114" s="248">
        <v>0.22</v>
      </c>
      <c r="DB114" s="248">
        <v>1.82</v>
      </c>
      <c r="DC114" s="248">
        <v>0.38</v>
      </c>
      <c r="DD114" s="248">
        <v>1.67</v>
      </c>
      <c r="DE114" s="246" t="s">
        <v>384</v>
      </c>
      <c r="DF114" s="248">
        <v>0</v>
      </c>
      <c r="DG114" s="248">
        <v>0.28000000000000003</v>
      </c>
      <c r="DH114" s="248">
        <v>0.51</v>
      </c>
      <c r="DI114" s="248">
        <v>0.43</v>
      </c>
      <c r="DJ114" s="247">
        <v>0.49340000000000001</v>
      </c>
      <c r="DK114" s="247">
        <v>0.20780000000000001</v>
      </c>
      <c r="DL114" s="246">
        <v>3.92</v>
      </c>
      <c r="DM114" s="246">
        <v>0.14000000000000001</v>
      </c>
      <c r="DN114" s="246" t="s">
        <v>384</v>
      </c>
      <c r="DO114" s="246" t="s">
        <v>384</v>
      </c>
      <c r="DP114" s="246" t="s">
        <v>384</v>
      </c>
      <c r="DQ114" s="248">
        <v>-0.31</v>
      </c>
      <c r="DR114" s="246" t="s">
        <v>644</v>
      </c>
      <c r="DS114" s="246" t="s">
        <v>644</v>
      </c>
      <c r="DT114" s="246" t="e">
        <v>#REF!</v>
      </c>
      <c r="DU114" s="246" t="s">
        <v>388</v>
      </c>
      <c r="DV114" s="246" t="s">
        <v>1658</v>
      </c>
      <c r="DW114" s="246" t="s">
        <v>406</v>
      </c>
      <c r="DX114" s="246" t="s">
        <v>1074</v>
      </c>
      <c r="DY114" s="246" t="s">
        <v>1659</v>
      </c>
      <c r="DZ114" s="246">
        <v>6</v>
      </c>
      <c r="EA114" s="246" t="s">
        <v>384</v>
      </c>
      <c r="EB114" s="246" t="s">
        <v>384</v>
      </c>
      <c r="EC114" s="246" t="s">
        <v>384</v>
      </c>
      <c r="ED114" s="246" t="s">
        <v>384</v>
      </c>
      <c r="EE114" s="246" t="s">
        <v>384</v>
      </c>
      <c r="EF114" s="247">
        <v>-3.1099999999999999E-2</v>
      </c>
      <c r="EG114" s="247">
        <v>9.4799999999999995E-2</v>
      </c>
      <c r="EH114" s="247">
        <v>0.1</v>
      </c>
      <c r="EI114" s="248">
        <v>-0.31</v>
      </c>
      <c r="EJ114" s="234">
        <v>0.28000000000000003</v>
      </c>
      <c r="EK114" s="234">
        <v>0.27</v>
      </c>
      <c r="EL114" s="234" t="s">
        <v>377</v>
      </c>
      <c r="EM114" s="234" t="s">
        <v>377</v>
      </c>
      <c r="EN114" s="234" t="s">
        <v>377</v>
      </c>
      <c r="EO114" s="234" t="s">
        <v>377</v>
      </c>
      <c r="EP114" s="234" t="s">
        <v>376</v>
      </c>
      <c r="EQ114" s="234" t="s">
        <v>377</v>
      </c>
      <c r="ER114" s="234">
        <v>1</v>
      </c>
      <c r="ES114" s="234" t="s">
        <v>384</v>
      </c>
      <c r="ET114" s="234" t="s">
        <v>384</v>
      </c>
      <c r="EU114" s="234" t="s">
        <v>384</v>
      </c>
      <c r="EV114" s="234" t="s">
        <v>491</v>
      </c>
      <c r="EW114" s="250">
        <v>0</v>
      </c>
      <c r="EX114" s="250">
        <v>0</v>
      </c>
      <c r="EY114" s="250">
        <v>0</v>
      </c>
      <c r="EZ114" s="250">
        <v>0</v>
      </c>
      <c r="FA114" s="250">
        <v>0</v>
      </c>
      <c r="FB114" s="250">
        <v>0</v>
      </c>
      <c r="FC114" s="250">
        <v>0.16</v>
      </c>
      <c r="FD114" s="249">
        <v>0</v>
      </c>
      <c r="FE114" s="250">
        <v>0</v>
      </c>
      <c r="FF114" s="250">
        <v>0</v>
      </c>
    </row>
    <row r="115" spans="1:162">
      <c r="A115" s="234" t="s">
        <v>1660</v>
      </c>
      <c r="B115" s="234" t="s">
        <v>1661</v>
      </c>
      <c r="C115" s="246" t="s">
        <v>361</v>
      </c>
      <c r="D115" s="246" t="s">
        <v>362</v>
      </c>
      <c r="E115" s="246">
        <v>4210</v>
      </c>
      <c r="F115" s="246" t="s">
        <v>1662</v>
      </c>
      <c r="G115" s="246" t="s">
        <v>382</v>
      </c>
      <c r="H115" s="246" t="s">
        <v>383</v>
      </c>
      <c r="I115" s="246">
        <v>0.74739999999999995</v>
      </c>
      <c r="J115" s="246">
        <v>0.97009999999999996</v>
      </c>
      <c r="K115" s="247">
        <v>4.2299999999999997E-2</v>
      </c>
      <c r="L115" s="247">
        <v>8.0500000000000002E-2</v>
      </c>
      <c r="M115" s="246" t="s">
        <v>384</v>
      </c>
      <c r="N115" s="247">
        <v>1.11E-2</v>
      </c>
      <c r="O115" s="247">
        <v>5.0599999999999999E-2</v>
      </c>
      <c r="P115" s="247">
        <v>4.02E-2</v>
      </c>
      <c r="Q115" s="247">
        <v>6.9500000000000006E-2</v>
      </c>
      <c r="R115" s="246" t="s">
        <v>384</v>
      </c>
      <c r="S115" s="246" t="s">
        <v>384</v>
      </c>
      <c r="T115" s="248">
        <v>1.37</v>
      </c>
      <c r="U115" s="248">
        <v>0</v>
      </c>
      <c r="V115" s="248">
        <v>0.51</v>
      </c>
      <c r="W115" s="248">
        <v>0.51</v>
      </c>
      <c r="X115" s="248">
        <v>1.88</v>
      </c>
      <c r="Y115" s="248">
        <v>0.01</v>
      </c>
      <c r="Z115" s="248">
        <v>1.87</v>
      </c>
      <c r="AA115" s="247">
        <v>5.7999999999999996E-3</v>
      </c>
      <c r="AB115" s="246">
        <v>1.67</v>
      </c>
      <c r="AC115" s="246" t="s">
        <v>384</v>
      </c>
      <c r="AD115" s="247">
        <v>0.27279999999999999</v>
      </c>
      <c r="AE115" s="246" t="s">
        <v>384</v>
      </c>
      <c r="AF115" s="247">
        <v>0.37519999999999998</v>
      </c>
      <c r="AG115" s="248">
        <v>0</v>
      </c>
      <c r="AH115" s="246">
        <v>50.04</v>
      </c>
      <c r="AI115" s="246" t="s">
        <v>384</v>
      </c>
      <c r="AJ115" s="246">
        <v>0.8</v>
      </c>
      <c r="AK115" s="247">
        <v>3.1600000000000003E-2</v>
      </c>
      <c r="AL115" s="246" t="s">
        <v>384</v>
      </c>
      <c r="AM115" s="246">
        <v>0.85</v>
      </c>
      <c r="AN115" s="233" t="s">
        <v>384</v>
      </c>
      <c r="AO115" s="246" t="s">
        <v>384</v>
      </c>
      <c r="AP115" s="246" t="s">
        <v>384</v>
      </c>
      <c r="AQ115" s="246" t="s">
        <v>384</v>
      </c>
      <c r="AR115" s="246" t="s">
        <v>384</v>
      </c>
      <c r="AS115" s="246" t="s">
        <v>384</v>
      </c>
      <c r="AT115" s="246" t="s">
        <v>384</v>
      </c>
      <c r="AU115" s="246" t="s">
        <v>384</v>
      </c>
      <c r="AV115" s="246">
        <v>0.73</v>
      </c>
      <c r="AW115" s="246" t="s">
        <v>384</v>
      </c>
      <c r="AX115" s="246">
        <v>6.76</v>
      </c>
      <c r="AY115" s="246">
        <v>11.78</v>
      </c>
      <c r="AZ115" s="246">
        <v>1</v>
      </c>
      <c r="BA115" s="246" t="s">
        <v>384</v>
      </c>
      <c r="BB115" s="247">
        <v>0</v>
      </c>
      <c r="BC115" s="247">
        <v>1.1012</v>
      </c>
      <c r="BD115" s="246" t="s">
        <v>384</v>
      </c>
      <c r="BE115" s="246" t="s">
        <v>384</v>
      </c>
      <c r="BF115" s="247">
        <v>0.184</v>
      </c>
      <c r="BG115" s="246" t="s">
        <v>384</v>
      </c>
      <c r="BH115" s="246" t="s">
        <v>384</v>
      </c>
      <c r="BI115" s="246" t="s">
        <v>384</v>
      </c>
      <c r="BJ115" s="246" t="s">
        <v>384</v>
      </c>
      <c r="BK115" s="246" t="s">
        <v>384</v>
      </c>
      <c r="BL115" s="246" t="s">
        <v>384</v>
      </c>
      <c r="BM115" s="247">
        <v>-0.22020000000000001</v>
      </c>
      <c r="BN115" s="247">
        <v>-0.75460000000000005</v>
      </c>
      <c r="BO115" s="247">
        <v>-0.1067</v>
      </c>
      <c r="BP115" s="247">
        <v>0.20599999999999999</v>
      </c>
      <c r="BQ115" s="247">
        <v>0</v>
      </c>
      <c r="BR115" s="247">
        <v>8.3000000000000001E-3</v>
      </c>
      <c r="BS115" s="248">
        <v>-5.26</v>
      </c>
      <c r="BT115" s="248">
        <v>-0.72</v>
      </c>
      <c r="BU115" s="248">
        <v>-2.46</v>
      </c>
      <c r="BV115" s="248">
        <v>-2.46</v>
      </c>
      <c r="BW115" s="248">
        <v>-0.35</v>
      </c>
      <c r="BX115" s="248">
        <v>1.88</v>
      </c>
      <c r="BY115" s="248">
        <v>3.26</v>
      </c>
      <c r="BZ115" s="248">
        <v>-0.25</v>
      </c>
      <c r="CA115" s="248">
        <v>0.28000000000000003</v>
      </c>
      <c r="CB115" s="248">
        <v>-2.46</v>
      </c>
      <c r="CC115" s="248">
        <v>0.01</v>
      </c>
      <c r="CD115" s="248">
        <v>0.09</v>
      </c>
      <c r="CE115" s="248">
        <v>-0.37</v>
      </c>
      <c r="CF115" s="247">
        <v>-0.1147</v>
      </c>
      <c r="CG115" s="248">
        <v>-0.34</v>
      </c>
      <c r="CH115" s="246" t="s">
        <v>384</v>
      </c>
      <c r="CI115" s="248">
        <v>-2.21</v>
      </c>
      <c r="CJ115" s="248">
        <v>-0.48</v>
      </c>
      <c r="CK115" s="248">
        <v>-0.47</v>
      </c>
      <c r="CL115" s="248">
        <v>-1.27</v>
      </c>
      <c r="CM115" s="248">
        <v>0</v>
      </c>
      <c r="CN115" s="248">
        <v>-0.34</v>
      </c>
      <c r="CO115" s="248">
        <v>0.16</v>
      </c>
      <c r="CP115" s="248">
        <v>0</v>
      </c>
      <c r="CQ115" s="246">
        <v>0.56999999999999995</v>
      </c>
      <c r="CR115" s="246">
        <v>0.18</v>
      </c>
      <c r="CS115" s="246">
        <v>0.55000000000000004</v>
      </c>
      <c r="CT115" s="246" t="s">
        <v>384</v>
      </c>
      <c r="CU115" s="246" t="s">
        <v>384</v>
      </c>
      <c r="CV115" s="246" t="s">
        <v>384</v>
      </c>
      <c r="CW115" s="246" t="s">
        <v>384</v>
      </c>
      <c r="CX115" s="248">
        <v>0</v>
      </c>
      <c r="CY115" s="246" t="s">
        <v>384</v>
      </c>
      <c r="CZ115" s="246" t="s">
        <v>384</v>
      </c>
      <c r="DA115" s="246" t="s">
        <v>384</v>
      </c>
      <c r="DB115" s="246" t="s">
        <v>384</v>
      </c>
      <c r="DC115" s="248">
        <v>0.28000000000000003</v>
      </c>
      <c r="DD115" s="248">
        <v>1.87</v>
      </c>
      <c r="DE115" s="246" t="s">
        <v>384</v>
      </c>
      <c r="DF115" s="248">
        <v>0</v>
      </c>
      <c r="DG115" s="248">
        <v>-2.46</v>
      </c>
      <c r="DH115" s="248">
        <v>0.16</v>
      </c>
      <c r="DI115" s="248">
        <v>-0.25</v>
      </c>
      <c r="DJ115" s="246" t="s">
        <v>384</v>
      </c>
      <c r="DK115" s="246" t="s">
        <v>384</v>
      </c>
      <c r="DL115" s="246" t="s">
        <v>384</v>
      </c>
      <c r="DM115" s="246">
        <v>0.66</v>
      </c>
      <c r="DN115" s="246" t="s">
        <v>384</v>
      </c>
      <c r="DO115" s="246" t="s">
        <v>384</v>
      </c>
      <c r="DP115" s="246" t="s">
        <v>384</v>
      </c>
      <c r="DQ115" s="248">
        <v>-0.59</v>
      </c>
      <c r="DR115" s="246" t="s">
        <v>1528</v>
      </c>
      <c r="DS115" s="246" t="s">
        <v>644</v>
      </c>
      <c r="DT115" s="246" t="e">
        <v>#REF!</v>
      </c>
      <c r="DU115" s="246" t="s">
        <v>1663</v>
      </c>
      <c r="DV115" s="248">
        <v>-2.46</v>
      </c>
      <c r="DW115" s="246" t="s">
        <v>1522</v>
      </c>
      <c r="DX115" s="246" t="s">
        <v>388</v>
      </c>
      <c r="DY115" s="246" t="s">
        <v>1664</v>
      </c>
      <c r="DZ115" s="246">
        <v>8</v>
      </c>
      <c r="EA115" s="247">
        <v>-0.55079999999999996</v>
      </c>
      <c r="EB115" s="247">
        <v>3.5255000000000001</v>
      </c>
      <c r="EC115" s="247">
        <v>-0.2339</v>
      </c>
      <c r="ED115" s="247">
        <v>-0.27889999999999998</v>
      </c>
      <c r="EE115" s="247">
        <v>0.123</v>
      </c>
      <c r="EF115" s="247">
        <v>0.1812</v>
      </c>
      <c r="EG115" s="247">
        <v>-1.6738999999999999</v>
      </c>
      <c r="EH115" s="247">
        <v>-0.755</v>
      </c>
      <c r="EI115" s="248">
        <v>-0.59</v>
      </c>
      <c r="EJ115" s="234">
        <v>-2.46</v>
      </c>
      <c r="EK115" s="234">
        <v>-4.62</v>
      </c>
      <c r="EL115" s="234" t="s">
        <v>1665</v>
      </c>
      <c r="EM115" s="234" t="s">
        <v>1666</v>
      </c>
      <c r="EN115" s="234" t="s">
        <v>1667</v>
      </c>
      <c r="EO115" s="234" t="s">
        <v>1668</v>
      </c>
      <c r="EP115" s="234" t="s">
        <v>1669</v>
      </c>
      <c r="EQ115" s="234" t="s">
        <v>1536</v>
      </c>
      <c r="ER115" s="234">
        <v>0</v>
      </c>
      <c r="ES115" s="249">
        <v>-9.4999999999999998E-3</v>
      </c>
      <c r="ET115" s="234" t="s">
        <v>384</v>
      </c>
      <c r="EU115" s="250">
        <v>3.26</v>
      </c>
      <c r="EV115" s="234" t="s">
        <v>491</v>
      </c>
      <c r="EW115" s="250">
        <v>0</v>
      </c>
      <c r="EX115" s="250">
        <v>3.13</v>
      </c>
      <c r="EY115" s="250">
        <v>1.0900000000000001</v>
      </c>
      <c r="EZ115" s="250">
        <v>0.98</v>
      </c>
      <c r="FA115" s="250">
        <v>1.22</v>
      </c>
      <c r="FB115" s="250">
        <v>0.65</v>
      </c>
      <c r="FC115" s="250">
        <v>0</v>
      </c>
      <c r="FD115" s="249">
        <v>0</v>
      </c>
      <c r="FE115" s="250">
        <v>0</v>
      </c>
      <c r="FF115" s="250">
        <v>0</v>
      </c>
    </row>
    <row r="116" spans="1:162">
      <c r="A116" s="234" t="s">
        <v>1670</v>
      </c>
      <c r="B116" s="234" t="s">
        <v>1671</v>
      </c>
      <c r="C116" s="246" t="s">
        <v>401</v>
      </c>
      <c r="D116" s="246" t="s">
        <v>362</v>
      </c>
      <c r="E116" s="246">
        <v>4210</v>
      </c>
      <c r="F116" s="246" t="s">
        <v>642</v>
      </c>
      <c r="G116" s="246" t="s">
        <v>417</v>
      </c>
      <c r="H116" s="246" t="s">
        <v>642</v>
      </c>
      <c r="I116" s="246">
        <v>0.66930000000000001</v>
      </c>
      <c r="J116" s="246">
        <v>0.6724</v>
      </c>
      <c r="K116" s="247">
        <v>7.0800000000000002E-2</v>
      </c>
      <c r="L116" s="247">
        <v>8.7099999999999997E-2</v>
      </c>
      <c r="M116" s="246" t="s">
        <v>384</v>
      </c>
      <c r="N116" s="247">
        <v>2.98E-2</v>
      </c>
      <c r="O116" s="247">
        <v>6.93E-2</v>
      </c>
      <c r="P116" s="247">
        <v>4.8500000000000001E-2</v>
      </c>
      <c r="Q116" s="247">
        <v>8.6900000000000005E-2</v>
      </c>
      <c r="R116" s="247">
        <v>-5.9799999999999999E-2</v>
      </c>
      <c r="S116" s="247">
        <v>-5.1799999999999999E-2</v>
      </c>
      <c r="T116" s="248">
        <v>0.76</v>
      </c>
      <c r="U116" s="248">
        <v>0</v>
      </c>
      <c r="V116" s="248">
        <v>0.01</v>
      </c>
      <c r="W116" s="248">
        <v>0.01</v>
      </c>
      <c r="X116" s="248">
        <v>0.77</v>
      </c>
      <c r="Y116" s="248">
        <v>0.02</v>
      </c>
      <c r="Z116" s="248">
        <v>0.75</v>
      </c>
      <c r="AA116" s="247">
        <v>1.95E-2</v>
      </c>
      <c r="AB116" s="246">
        <v>0.67</v>
      </c>
      <c r="AC116" s="247">
        <v>4.7000000000000002E-3</v>
      </c>
      <c r="AD116" s="247">
        <v>6.4999999999999997E-3</v>
      </c>
      <c r="AE116" s="247">
        <v>4.7000000000000002E-3</v>
      </c>
      <c r="AF116" s="247">
        <v>6.4999999999999997E-3</v>
      </c>
      <c r="AG116" s="248">
        <v>0.2</v>
      </c>
      <c r="AH116" s="246">
        <v>69.06</v>
      </c>
      <c r="AI116" s="246" t="s">
        <v>384</v>
      </c>
      <c r="AJ116" s="246">
        <v>0.82</v>
      </c>
      <c r="AK116" s="246" t="s">
        <v>384</v>
      </c>
      <c r="AL116" s="246" t="s">
        <v>384</v>
      </c>
      <c r="AM116" s="246">
        <v>0.4</v>
      </c>
      <c r="AN116" s="233">
        <v>50</v>
      </c>
      <c r="AO116" s="246">
        <v>23.15</v>
      </c>
      <c r="AP116" s="246">
        <v>25.47</v>
      </c>
      <c r="AQ116" s="246">
        <v>35.630000000000003</v>
      </c>
      <c r="AR116" s="246" t="s">
        <v>384</v>
      </c>
      <c r="AS116" s="246" t="s">
        <v>384</v>
      </c>
      <c r="AT116" s="246">
        <v>0.72</v>
      </c>
      <c r="AU116" s="246">
        <v>0.89</v>
      </c>
      <c r="AV116" s="246">
        <v>1.39</v>
      </c>
      <c r="AW116" s="246">
        <v>15.08</v>
      </c>
      <c r="AX116" s="246">
        <v>6.61</v>
      </c>
      <c r="AY116" s="246">
        <v>0.72</v>
      </c>
      <c r="AZ116" s="246">
        <v>1.37</v>
      </c>
      <c r="BA116" s="247">
        <v>0</v>
      </c>
      <c r="BB116" s="247">
        <v>0</v>
      </c>
      <c r="BC116" s="247">
        <v>-0.20580000000000001</v>
      </c>
      <c r="BD116" s="246" t="s">
        <v>384</v>
      </c>
      <c r="BE116" s="246" t="s">
        <v>384</v>
      </c>
      <c r="BF116" s="246" t="s">
        <v>384</v>
      </c>
      <c r="BG116" s="246" t="s">
        <v>384</v>
      </c>
      <c r="BH116" s="246" t="s">
        <v>384</v>
      </c>
      <c r="BI116" s="246" t="s">
        <v>384</v>
      </c>
      <c r="BJ116" s="247">
        <v>2.7300000000000001E-2</v>
      </c>
      <c r="BK116" s="247">
        <v>3.5099999999999999E-2</v>
      </c>
      <c r="BL116" s="246">
        <v>0.51</v>
      </c>
      <c r="BM116" s="247">
        <v>5.62E-2</v>
      </c>
      <c r="BN116" s="247">
        <v>9.3600000000000003E-2</v>
      </c>
      <c r="BO116" s="247">
        <v>0.2303</v>
      </c>
      <c r="BP116" s="247">
        <v>0.3</v>
      </c>
      <c r="BQ116" s="247">
        <v>0.26190000000000002</v>
      </c>
      <c r="BR116" s="247">
        <v>3.8699999999999998E-2</v>
      </c>
      <c r="BS116" s="248">
        <v>0.03</v>
      </c>
      <c r="BT116" s="248">
        <v>0.03</v>
      </c>
      <c r="BU116" s="248">
        <v>0.05</v>
      </c>
      <c r="BV116" s="248">
        <v>0.05</v>
      </c>
      <c r="BW116" s="248">
        <v>0.12</v>
      </c>
      <c r="BX116" s="248">
        <v>0.55000000000000004</v>
      </c>
      <c r="BY116" s="248">
        <v>0.53</v>
      </c>
      <c r="BZ116" s="248">
        <v>0.12</v>
      </c>
      <c r="CA116" s="248">
        <v>0.11</v>
      </c>
      <c r="CB116" s="248">
        <v>0.04</v>
      </c>
      <c r="CC116" s="248">
        <v>7.0000000000000007E-2</v>
      </c>
      <c r="CD116" s="248">
        <v>0.21</v>
      </c>
      <c r="CE116" s="248">
        <v>0.39</v>
      </c>
      <c r="CF116" s="247">
        <v>0.72099999999999997</v>
      </c>
      <c r="CG116" s="248">
        <v>0.12</v>
      </c>
      <c r="CH116" s="247">
        <v>9.1586999999999996</v>
      </c>
      <c r="CI116" s="248">
        <v>-0.3</v>
      </c>
      <c r="CJ116" s="248">
        <v>-0.38</v>
      </c>
      <c r="CK116" s="248">
        <v>-0.31</v>
      </c>
      <c r="CL116" s="248">
        <v>1.1000000000000001</v>
      </c>
      <c r="CM116" s="248">
        <v>1.05</v>
      </c>
      <c r="CN116" s="248">
        <v>1.06</v>
      </c>
      <c r="CO116" s="248">
        <v>1.05</v>
      </c>
      <c r="CP116" s="248">
        <v>0</v>
      </c>
      <c r="CQ116" s="246">
        <v>0.02</v>
      </c>
      <c r="CR116" s="246" t="s">
        <v>384</v>
      </c>
      <c r="CS116" s="246">
        <v>0.42</v>
      </c>
      <c r="CT116" s="246" t="s">
        <v>384</v>
      </c>
      <c r="CU116" s="246" t="s">
        <v>384</v>
      </c>
      <c r="CV116" s="246" t="s">
        <v>384</v>
      </c>
      <c r="CW116" s="246" t="s">
        <v>384</v>
      </c>
      <c r="CX116" s="248">
        <v>-7.0000000000000007E-2</v>
      </c>
      <c r="CY116" s="248">
        <v>0.04</v>
      </c>
      <c r="CZ116" s="248">
        <v>0.01</v>
      </c>
      <c r="DA116" s="248">
        <v>0.03</v>
      </c>
      <c r="DB116" s="248">
        <v>0.76</v>
      </c>
      <c r="DC116" s="248">
        <v>0.11</v>
      </c>
      <c r="DD116" s="248">
        <v>0.75</v>
      </c>
      <c r="DE116" s="248">
        <v>-0.38</v>
      </c>
      <c r="DF116" s="248">
        <v>0</v>
      </c>
      <c r="DG116" s="248">
        <v>0.05</v>
      </c>
      <c r="DH116" s="248">
        <v>1.05</v>
      </c>
      <c r="DI116" s="248">
        <v>0.12</v>
      </c>
      <c r="DJ116" s="247">
        <v>2.7300000000000001E-2</v>
      </c>
      <c r="DK116" s="247">
        <v>3.5099999999999999E-2</v>
      </c>
      <c r="DL116" s="246">
        <v>6.28</v>
      </c>
      <c r="DM116" s="246">
        <v>0.06</v>
      </c>
      <c r="DN116" s="246" t="s">
        <v>384</v>
      </c>
      <c r="DO116" s="246" t="s">
        <v>384</v>
      </c>
      <c r="DP116" s="246" t="s">
        <v>384</v>
      </c>
      <c r="DQ116" s="248">
        <v>-0.08</v>
      </c>
      <c r="DR116" s="246" t="s">
        <v>628</v>
      </c>
      <c r="DS116" s="246" t="s">
        <v>1528</v>
      </c>
      <c r="DT116" s="246" t="e">
        <v>#REF!</v>
      </c>
      <c r="DU116" s="246" t="s">
        <v>388</v>
      </c>
      <c r="DV116" s="246" t="s">
        <v>1672</v>
      </c>
      <c r="DW116" s="246" t="s">
        <v>1074</v>
      </c>
      <c r="DX116" s="246" t="s">
        <v>388</v>
      </c>
      <c r="DY116" s="246" t="s">
        <v>377</v>
      </c>
      <c r="DZ116" s="246">
        <v>-2</v>
      </c>
      <c r="EA116" s="247">
        <v>-0.43630000000000002</v>
      </c>
      <c r="EB116" s="247">
        <v>0.1069</v>
      </c>
      <c r="EC116" s="246" t="s">
        <v>384</v>
      </c>
      <c r="ED116" s="246" t="s">
        <v>384</v>
      </c>
      <c r="EE116" s="247">
        <v>-0.47670000000000001</v>
      </c>
      <c r="EF116" s="247">
        <v>-3.09E-2</v>
      </c>
      <c r="EG116" s="247">
        <v>9.4399999999999998E-2</v>
      </c>
      <c r="EH116" s="247">
        <v>9.4E-2</v>
      </c>
      <c r="EI116" s="248">
        <v>-0.08</v>
      </c>
      <c r="EJ116" s="234">
        <v>0.05</v>
      </c>
      <c r="EK116" s="234">
        <v>0.05</v>
      </c>
      <c r="EL116" s="234" t="s">
        <v>1673</v>
      </c>
      <c r="EM116" s="234" t="s">
        <v>1674</v>
      </c>
      <c r="EN116" s="234" t="s">
        <v>1675</v>
      </c>
      <c r="EO116" s="234" t="s">
        <v>377</v>
      </c>
      <c r="EP116" s="234" t="s">
        <v>376</v>
      </c>
      <c r="EQ116" s="234" t="s">
        <v>377</v>
      </c>
      <c r="ER116" s="234">
        <v>1</v>
      </c>
      <c r="ES116" s="234" t="s">
        <v>384</v>
      </c>
      <c r="ET116" s="234" t="s">
        <v>384</v>
      </c>
      <c r="EU116" s="234" t="s">
        <v>384</v>
      </c>
      <c r="EV116" s="234" t="s">
        <v>491</v>
      </c>
      <c r="EW116" s="250">
        <v>0</v>
      </c>
      <c r="EX116" s="250">
        <v>0</v>
      </c>
      <c r="EY116" s="250">
        <v>0</v>
      </c>
      <c r="EZ116" s="250">
        <v>0</v>
      </c>
      <c r="FA116" s="250">
        <v>1.46</v>
      </c>
      <c r="FB116" s="250">
        <v>0.96</v>
      </c>
      <c r="FC116" s="250">
        <v>0.01</v>
      </c>
      <c r="FD116" s="249">
        <v>0</v>
      </c>
      <c r="FE116" s="250">
        <v>0</v>
      </c>
      <c r="FF116" s="250">
        <v>0</v>
      </c>
    </row>
    <row r="117" spans="1:162">
      <c r="A117" s="234" t="s">
        <v>1676</v>
      </c>
      <c r="B117" s="234" t="s">
        <v>1677</v>
      </c>
      <c r="C117" s="246" t="s">
        <v>401</v>
      </c>
      <c r="D117" s="246" t="s">
        <v>362</v>
      </c>
      <c r="E117" s="246">
        <v>4210</v>
      </c>
      <c r="F117" s="246" t="s">
        <v>642</v>
      </c>
      <c r="G117" s="246" t="s">
        <v>417</v>
      </c>
      <c r="H117" s="246" t="s">
        <v>642</v>
      </c>
      <c r="I117" s="246">
        <v>0.66930000000000001</v>
      </c>
      <c r="J117" s="246">
        <v>4.0171000000000001</v>
      </c>
      <c r="K117" s="247">
        <v>7.0800000000000002E-2</v>
      </c>
      <c r="L117" s="247">
        <v>0.32390000000000002</v>
      </c>
      <c r="M117" s="246" t="s">
        <v>384</v>
      </c>
      <c r="N117" s="247">
        <v>2.98E-2</v>
      </c>
      <c r="O117" s="247">
        <v>6.93E-2</v>
      </c>
      <c r="P117" s="247">
        <v>4.8500000000000001E-2</v>
      </c>
      <c r="Q117" s="247">
        <v>8.2299999999999998E-2</v>
      </c>
      <c r="R117" s="246" t="s">
        <v>384</v>
      </c>
      <c r="S117" s="246" t="s">
        <v>384</v>
      </c>
      <c r="T117" s="248">
        <v>0.55000000000000004</v>
      </c>
      <c r="U117" s="248">
        <v>0</v>
      </c>
      <c r="V117" s="248">
        <v>3.93</v>
      </c>
      <c r="W117" s="248">
        <v>3.93</v>
      </c>
      <c r="X117" s="248">
        <v>4.4800000000000004</v>
      </c>
      <c r="Y117" s="248">
        <v>0</v>
      </c>
      <c r="Z117" s="248">
        <v>4.4800000000000004</v>
      </c>
      <c r="AA117" s="247">
        <v>2.0000000000000001E-4</v>
      </c>
      <c r="AB117" s="246">
        <v>1.4</v>
      </c>
      <c r="AC117" s="246" t="s">
        <v>384</v>
      </c>
      <c r="AD117" s="247">
        <v>0.87719999999999998</v>
      </c>
      <c r="AE117" s="246" t="s">
        <v>384</v>
      </c>
      <c r="AF117" s="247">
        <v>7.1455000000000002</v>
      </c>
      <c r="AG117" s="248">
        <v>0.04</v>
      </c>
      <c r="AH117" s="246">
        <v>69.06</v>
      </c>
      <c r="AI117" s="247">
        <v>0.13780000000000001</v>
      </c>
      <c r="AJ117" s="246">
        <v>-0.94</v>
      </c>
      <c r="AK117" s="247">
        <v>0.10489999999999999</v>
      </c>
      <c r="AL117" s="246" t="s">
        <v>384</v>
      </c>
      <c r="AM117" s="246">
        <v>0.71</v>
      </c>
      <c r="AN117" s="233" t="s">
        <v>384</v>
      </c>
      <c r="AO117" s="246" t="s">
        <v>384</v>
      </c>
      <c r="AP117" s="246" t="s">
        <v>384</v>
      </c>
      <c r="AQ117" s="246" t="s">
        <v>384</v>
      </c>
      <c r="AR117" s="246" t="s">
        <v>384</v>
      </c>
      <c r="AS117" s="246" t="s">
        <v>384</v>
      </c>
      <c r="AT117" s="246" t="s">
        <v>384</v>
      </c>
      <c r="AU117" s="246" t="s">
        <v>384</v>
      </c>
      <c r="AV117" s="246">
        <v>2.71</v>
      </c>
      <c r="AW117" s="246" t="s">
        <v>384</v>
      </c>
      <c r="AX117" s="246" t="s">
        <v>384</v>
      </c>
      <c r="AY117" s="246" t="s">
        <v>384</v>
      </c>
      <c r="AZ117" s="246">
        <v>22.06</v>
      </c>
      <c r="BA117" s="246" t="s">
        <v>384</v>
      </c>
      <c r="BB117" s="247">
        <v>0</v>
      </c>
      <c r="BC117" s="247">
        <v>-0.74419999999999997</v>
      </c>
      <c r="BD117" s="246" t="s">
        <v>384</v>
      </c>
      <c r="BE117" s="246" t="s">
        <v>384</v>
      </c>
      <c r="BF117" s="247">
        <v>-0.54200000000000004</v>
      </c>
      <c r="BG117" s="247">
        <v>-0.46600000000000003</v>
      </c>
      <c r="BH117" s="246" t="s">
        <v>384</v>
      </c>
      <c r="BI117" s="246" t="s">
        <v>384</v>
      </c>
      <c r="BJ117" s="246" t="s">
        <v>384</v>
      </c>
      <c r="BK117" s="246" t="s">
        <v>384</v>
      </c>
      <c r="BL117" s="246" t="s">
        <v>384</v>
      </c>
      <c r="BM117" s="247">
        <v>-4.3158000000000003</v>
      </c>
      <c r="BN117" s="247">
        <v>-0.97370000000000001</v>
      </c>
      <c r="BO117" s="247">
        <v>-0.61839999999999995</v>
      </c>
      <c r="BP117" s="247">
        <v>0.3</v>
      </c>
      <c r="BQ117" s="247">
        <v>0</v>
      </c>
      <c r="BR117" s="246" t="s">
        <v>384</v>
      </c>
      <c r="BS117" s="248">
        <v>-0.22</v>
      </c>
      <c r="BT117" s="248">
        <v>-0.33</v>
      </c>
      <c r="BU117" s="248">
        <v>-7.0000000000000007E-2</v>
      </c>
      <c r="BV117" s="248">
        <v>-7.0000000000000007E-2</v>
      </c>
      <c r="BW117" s="248">
        <v>-0.05</v>
      </c>
      <c r="BX117" s="248">
        <v>0.2</v>
      </c>
      <c r="BY117" s="248">
        <v>0.08</v>
      </c>
      <c r="BZ117" s="248">
        <v>0.06</v>
      </c>
      <c r="CA117" s="248">
        <v>-7.0000000000000007E-2</v>
      </c>
      <c r="CB117" s="248">
        <v>-7.0000000000000007E-2</v>
      </c>
      <c r="CC117" s="248">
        <v>-0.25</v>
      </c>
      <c r="CD117" s="248">
        <v>0.09</v>
      </c>
      <c r="CE117" s="248">
        <v>-0.61</v>
      </c>
      <c r="CF117" s="247">
        <v>-8</v>
      </c>
      <c r="CG117" s="248">
        <v>0</v>
      </c>
      <c r="CH117" s="246" t="s">
        <v>384</v>
      </c>
      <c r="CI117" s="248">
        <v>-0.17</v>
      </c>
      <c r="CJ117" s="248">
        <v>-0.18</v>
      </c>
      <c r="CK117" s="248">
        <v>-0.42</v>
      </c>
      <c r="CL117" s="248">
        <v>-4.6500000000000004</v>
      </c>
      <c r="CM117" s="248">
        <v>0</v>
      </c>
      <c r="CN117" s="248">
        <v>-4.71</v>
      </c>
      <c r="CO117" s="248">
        <v>0</v>
      </c>
      <c r="CP117" s="248">
        <v>0</v>
      </c>
      <c r="CQ117" s="246">
        <v>-0.56000000000000005</v>
      </c>
      <c r="CR117" s="246">
        <v>-0.06</v>
      </c>
      <c r="CS117" s="246">
        <v>0.42</v>
      </c>
      <c r="CT117" s="246" t="s">
        <v>384</v>
      </c>
      <c r="CU117" s="246" t="s">
        <v>384</v>
      </c>
      <c r="CV117" s="246" t="s">
        <v>384</v>
      </c>
      <c r="CW117" s="246" t="s">
        <v>384</v>
      </c>
      <c r="CX117" s="248">
        <v>0</v>
      </c>
      <c r="CY117" s="246" t="s">
        <v>384</v>
      </c>
      <c r="CZ117" s="246" t="s">
        <v>384</v>
      </c>
      <c r="DA117" s="246" t="s">
        <v>384</v>
      </c>
      <c r="DB117" s="246" t="s">
        <v>384</v>
      </c>
      <c r="DC117" s="246" t="s">
        <v>384</v>
      </c>
      <c r="DD117" s="246" t="s">
        <v>384</v>
      </c>
      <c r="DE117" s="246" t="s">
        <v>384</v>
      </c>
      <c r="DF117" s="248">
        <v>0</v>
      </c>
      <c r="DG117" s="248">
        <v>-7.0000000000000007E-2</v>
      </c>
      <c r="DH117" s="248">
        <v>0</v>
      </c>
      <c r="DI117" s="248">
        <v>0.06</v>
      </c>
      <c r="DJ117" s="246" t="s">
        <v>384</v>
      </c>
      <c r="DK117" s="246" t="s">
        <v>384</v>
      </c>
      <c r="DL117" s="246">
        <v>69.98</v>
      </c>
      <c r="DM117" s="246">
        <v>0.01</v>
      </c>
      <c r="DN117" s="246">
        <v>10.99</v>
      </c>
      <c r="DO117" s="246" t="s">
        <v>384</v>
      </c>
      <c r="DP117" s="246" t="s">
        <v>384</v>
      </c>
      <c r="DQ117" s="248">
        <v>-7.0000000000000007E-2</v>
      </c>
      <c r="DR117" s="246" t="s">
        <v>1470</v>
      </c>
      <c r="DS117" s="246" t="s">
        <v>628</v>
      </c>
      <c r="DT117" s="246" t="e">
        <v>#REF!</v>
      </c>
      <c r="DU117" s="246" t="s">
        <v>388</v>
      </c>
      <c r="DV117" s="248">
        <v>-7.0000000000000007E-2</v>
      </c>
      <c r="DW117" s="246" t="s">
        <v>853</v>
      </c>
      <c r="DX117" s="246" t="s">
        <v>1074</v>
      </c>
      <c r="DY117" s="246" t="s">
        <v>1678</v>
      </c>
      <c r="DZ117" s="246">
        <v>17</v>
      </c>
      <c r="EA117" s="247">
        <v>0.1235</v>
      </c>
      <c r="EB117" s="247">
        <v>-0.32419999999999999</v>
      </c>
      <c r="EC117" s="247">
        <v>-0.37480000000000002</v>
      </c>
      <c r="ED117" s="247">
        <v>-0.2848</v>
      </c>
      <c r="EE117" s="247">
        <v>-0.66049999999999998</v>
      </c>
      <c r="EF117" s="247">
        <v>-0.46100000000000002</v>
      </c>
      <c r="EG117" s="247">
        <v>-9.2200000000000004E-2</v>
      </c>
      <c r="EH117" s="247">
        <v>-0.97399999999999998</v>
      </c>
      <c r="EI117" s="248">
        <v>-7.0000000000000007E-2</v>
      </c>
      <c r="EJ117" s="234">
        <v>-7.0000000000000007E-2</v>
      </c>
      <c r="EK117" s="234">
        <v>-0.01</v>
      </c>
      <c r="EL117" s="234" t="s">
        <v>1679</v>
      </c>
      <c r="EM117" s="234" t="s">
        <v>1680</v>
      </c>
      <c r="EN117" s="234" t="s">
        <v>1425</v>
      </c>
      <c r="EO117" s="234" t="s">
        <v>1681</v>
      </c>
      <c r="EP117" s="234" t="s">
        <v>376</v>
      </c>
      <c r="EQ117" s="234" t="s">
        <v>377</v>
      </c>
      <c r="ER117" s="234">
        <v>0</v>
      </c>
      <c r="ES117" s="249">
        <v>-0.48849999999999999</v>
      </c>
      <c r="ET117" s="234" t="s">
        <v>384</v>
      </c>
      <c r="EU117" s="250">
        <v>0.08</v>
      </c>
      <c r="EV117" s="234" t="s">
        <v>491</v>
      </c>
      <c r="EW117" s="250">
        <v>0</v>
      </c>
      <c r="EX117" s="250">
        <v>1.84</v>
      </c>
      <c r="EY117" s="250">
        <v>1.84</v>
      </c>
      <c r="EZ117" s="250">
        <v>0.94</v>
      </c>
      <c r="FA117" s="250">
        <v>1.62</v>
      </c>
      <c r="FB117" s="250">
        <v>2.15</v>
      </c>
      <c r="FC117" s="250">
        <v>0</v>
      </c>
      <c r="FD117" s="249">
        <v>0</v>
      </c>
      <c r="FE117" s="250">
        <v>0</v>
      </c>
      <c r="FF117" s="250">
        <v>0</v>
      </c>
    </row>
    <row r="118" spans="1:162">
      <c r="A118" s="234" t="s">
        <v>1682</v>
      </c>
      <c r="B118" s="234" t="s">
        <v>1683</v>
      </c>
      <c r="C118" s="246" t="s">
        <v>1684</v>
      </c>
      <c r="D118" s="246" t="s">
        <v>362</v>
      </c>
      <c r="E118" s="246">
        <v>4210</v>
      </c>
      <c r="F118" s="246" t="s">
        <v>363</v>
      </c>
      <c r="G118" s="246" t="s">
        <v>363</v>
      </c>
      <c r="H118" s="246" t="s">
        <v>363</v>
      </c>
      <c r="I118" s="246">
        <v>1.3407</v>
      </c>
      <c r="J118" s="246">
        <v>1.3407</v>
      </c>
      <c r="K118" s="247">
        <v>4.4600000000000001E-2</v>
      </c>
      <c r="L118" s="247">
        <v>9.9299999999999999E-2</v>
      </c>
      <c r="M118" s="246" t="s">
        <v>384</v>
      </c>
      <c r="N118" s="247">
        <v>1.34E-2</v>
      </c>
      <c r="O118" s="247">
        <v>5.2900000000000003E-2</v>
      </c>
      <c r="P118" s="247">
        <v>3.9699999999999999E-2</v>
      </c>
      <c r="Q118" s="247">
        <v>9.9299999999999999E-2</v>
      </c>
      <c r="R118" s="246" t="s">
        <v>384</v>
      </c>
      <c r="S118" s="246" t="s">
        <v>384</v>
      </c>
      <c r="T118" s="248">
        <v>7.0000000000000007E-2</v>
      </c>
      <c r="U118" s="248">
        <v>0</v>
      </c>
      <c r="V118" s="248">
        <v>0</v>
      </c>
      <c r="W118" s="248">
        <v>0</v>
      </c>
      <c r="X118" s="248">
        <v>7.0000000000000007E-2</v>
      </c>
      <c r="Y118" s="248">
        <v>0</v>
      </c>
      <c r="Z118" s="248">
        <v>7.0000000000000007E-2</v>
      </c>
      <c r="AA118" s="247">
        <v>0</v>
      </c>
      <c r="AB118" s="246">
        <v>0.18</v>
      </c>
      <c r="AC118" s="246" t="s">
        <v>384</v>
      </c>
      <c r="AD118" s="247">
        <v>0</v>
      </c>
      <c r="AE118" s="246" t="s">
        <v>384</v>
      </c>
      <c r="AF118" s="247">
        <v>0</v>
      </c>
      <c r="AG118" s="248">
        <v>0</v>
      </c>
      <c r="AH118" s="246">
        <v>31.61</v>
      </c>
      <c r="AI118" s="247">
        <v>-0.59470000000000001</v>
      </c>
      <c r="AJ118" s="246">
        <v>0.36</v>
      </c>
      <c r="AK118" s="247">
        <v>8.3699999999999997E-2</v>
      </c>
      <c r="AL118" s="246" t="s">
        <v>384</v>
      </c>
      <c r="AM118" s="246" t="s">
        <v>384</v>
      </c>
      <c r="AN118" s="233" t="s">
        <v>384</v>
      </c>
      <c r="AO118" s="246" t="s">
        <v>384</v>
      </c>
      <c r="AP118" s="246" t="s">
        <v>384</v>
      </c>
      <c r="AQ118" s="246" t="s">
        <v>384</v>
      </c>
      <c r="AR118" s="246" t="s">
        <v>384</v>
      </c>
      <c r="AS118" s="246" t="s">
        <v>384</v>
      </c>
      <c r="AT118" s="246" t="s">
        <v>384</v>
      </c>
      <c r="AU118" s="246" t="s">
        <v>384</v>
      </c>
      <c r="AV118" s="246" t="s">
        <v>384</v>
      </c>
      <c r="AW118" s="246" t="s">
        <v>384</v>
      </c>
      <c r="AX118" s="246" t="s">
        <v>384</v>
      </c>
      <c r="AY118" s="246" t="s">
        <v>384</v>
      </c>
      <c r="AZ118" s="246" t="s">
        <v>384</v>
      </c>
      <c r="BA118" s="246" t="s">
        <v>384</v>
      </c>
      <c r="BB118" s="247">
        <v>0</v>
      </c>
      <c r="BC118" s="246" t="s">
        <v>384</v>
      </c>
      <c r="BD118" s="246" t="s">
        <v>384</v>
      </c>
      <c r="BE118" s="246" t="s">
        <v>384</v>
      </c>
      <c r="BF118" s="246" t="s">
        <v>384</v>
      </c>
      <c r="BG118" s="246" t="s">
        <v>384</v>
      </c>
      <c r="BH118" s="246" t="s">
        <v>384</v>
      </c>
      <c r="BI118" s="246" t="s">
        <v>384</v>
      </c>
      <c r="BJ118" s="246" t="s">
        <v>384</v>
      </c>
      <c r="BK118" s="246" t="s">
        <v>384</v>
      </c>
      <c r="BL118" s="246" t="s">
        <v>384</v>
      </c>
      <c r="BM118" s="246" t="s">
        <v>384</v>
      </c>
      <c r="BN118" s="246" t="s">
        <v>384</v>
      </c>
      <c r="BO118" s="246" t="s">
        <v>384</v>
      </c>
      <c r="BP118" s="247">
        <v>0.25</v>
      </c>
      <c r="BQ118" s="247">
        <v>0</v>
      </c>
      <c r="BR118" s="246" t="s">
        <v>384</v>
      </c>
      <c r="BS118" s="248">
        <v>0</v>
      </c>
      <c r="BT118" s="248">
        <v>0</v>
      </c>
      <c r="BU118" s="248">
        <v>0</v>
      </c>
      <c r="BV118" s="248">
        <v>0</v>
      </c>
      <c r="BW118" s="248">
        <v>0</v>
      </c>
      <c r="BX118" s="248">
        <v>0</v>
      </c>
      <c r="BY118" s="248">
        <v>0</v>
      </c>
      <c r="BZ118" s="248">
        <v>0</v>
      </c>
      <c r="CA118" s="248">
        <v>0</v>
      </c>
      <c r="CB118" s="248">
        <v>0</v>
      </c>
      <c r="CC118" s="248">
        <v>0</v>
      </c>
      <c r="CD118" s="248">
        <v>0</v>
      </c>
      <c r="CE118" s="248">
        <v>0</v>
      </c>
      <c r="CF118" s="246" t="s">
        <v>384</v>
      </c>
      <c r="CG118" s="248">
        <v>0</v>
      </c>
      <c r="CH118" s="246" t="s">
        <v>384</v>
      </c>
      <c r="CI118" s="248">
        <v>0</v>
      </c>
      <c r="CJ118" s="248">
        <v>0</v>
      </c>
      <c r="CK118" s="248">
        <v>0</v>
      </c>
      <c r="CL118" s="248">
        <v>0</v>
      </c>
      <c r="CM118" s="248">
        <v>0</v>
      </c>
      <c r="CN118" s="248">
        <v>0</v>
      </c>
      <c r="CO118" s="248">
        <v>0</v>
      </c>
      <c r="CP118" s="248">
        <v>0</v>
      </c>
      <c r="CQ118" s="246" t="s">
        <v>384</v>
      </c>
      <c r="CR118" s="246">
        <v>0.11</v>
      </c>
      <c r="CS118" s="246">
        <v>1.1200000000000001</v>
      </c>
      <c r="CT118" s="246" t="s">
        <v>384</v>
      </c>
      <c r="CU118" s="246" t="s">
        <v>384</v>
      </c>
      <c r="CV118" s="246" t="s">
        <v>384</v>
      </c>
      <c r="CW118" s="246" t="s">
        <v>384</v>
      </c>
      <c r="CX118" s="248">
        <v>0</v>
      </c>
      <c r="CY118" s="246" t="s">
        <v>384</v>
      </c>
      <c r="CZ118" s="246" t="s">
        <v>384</v>
      </c>
      <c r="DA118" s="246" t="s">
        <v>384</v>
      </c>
      <c r="DB118" s="246" t="s">
        <v>384</v>
      </c>
      <c r="DC118" s="246" t="s">
        <v>384</v>
      </c>
      <c r="DD118" s="246" t="s">
        <v>384</v>
      </c>
      <c r="DE118" s="246" t="s">
        <v>384</v>
      </c>
      <c r="DF118" s="248">
        <v>0</v>
      </c>
      <c r="DG118" s="248">
        <v>0</v>
      </c>
      <c r="DH118" s="248">
        <v>0</v>
      </c>
      <c r="DI118" s="248">
        <v>0</v>
      </c>
      <c r="DJ118" s="246" t="s">
        <v>384</v>
      </c>
      <c r="DK118" s="246" t="s">
        <v>384</v>
      </c>
      <c r="DL118" s="246" t="s">
        <v>384</v>
      </c>
      <c r="DM118" s="246">
        <v>0</v>
      </c>
      <c r="DN118" s="246" t="s">
        <v>384</v>
      </c>
      <c r="DO118" s="246" t="s">
        <v>384</v>
      </c>
      <c r="DP118" s="246" t="s">
        <v>384</v>
      </c>
      <c r="DQ118" s="246" t="s">
        <v>1387</v>
      </c>
      <c r="DR118" s="246" t="s">
        <v>644</v>
      </c>
      <c r="DS118" s="246" t="s">
        <v>644</v>
      </c>
      <c r="DT118" s="246" t="e">
        <v>#REF!</v>
      </c>
      <c r="DU118" s="246" t="s">
        <v>388</v>
      </c>
      <c r="DV118" s="246" t="s">
        <v>376</v>
      </c>
      <c r="DW118" s="246" t="s">
        <v>388</v>
      </c>
      <c r="DX118" s="246" t="s">
        <v>388</v>
      </c>
      <c r="DY118" s="246" t="s">
        <v>377</v>
      </c>
      <c r="DZ118" s="246">
        <v>12</v>
      </c>
      <c r="EA118" s="246" t="s">
        <v>384</v>
      </c>
      <c r="EB118" s="246" t="s">
        <v>384</v>
      </c>
      <c r="EC118" s="246" t="s">
        <v>384</v>
      </c>
      <c r="ED118" s="246" t="s">
        <v>384</v>
      </c>
      <c r="EE118" s="246" t="s">
        <v>384</v>
      </c>
      <c r="EF118" s="246" t="s">
        <v>384</v>
      </c>
      <c r="EG118" s="246" t="s">
        <v>384</v>
      </c>
      <c r="EH118" s="246" t="s">
        <v>384</v>
      </c>
      <c r="EI118" s="246" t="s">
        <v>1387</v>
      </c>
      <c r="EJ118" s="234">
        <v>0</v>
      </c>
      <c r="EK118" s="234">
        <v>0</v>
      </c>
      <c r="EL118" s="234" t="s">
        <v>377</v>
      </c>
      <c r="EM118" s="234" t="s">
        <v>377</v>
      </c>
      <c r="EN118" s="234" t="s">
        <v>1075</v>
      </c>
      <c r="EO118" s="234" t="s">
        <v>377</v>
      </c>
      <c r="EP118" s="234" t="s">
        <v>376</v>
      </c>
      <c r="EQ118" s="234" t="s">
        <v>377</v>
      </c>
      <c r="ER118" s="234">
        <v>0</v>
      </c>
      <c r="ES118" s="234" t="s">
        <v>384</v>
      </c>
      <c r="ET118" s="234" t="s">
        <v>384</v>
      </c>
      <c r="EU118" s="234" t="s">
        <v>384</v>
      </c>
      <c r="EV118" s="234" t="s">
        <v>491</v>
      </c>
      <c r="EW118" s="250">
        <v>0.08</v>
      </c>
      <c r="EX118" s="250">
        <v>5.05</v>
      </c>
      <c r="EY118" s="250">
        <v>0.72</v>
      </c>
      <c r="EZ118" s="250">
        <v>7.0000000000000007E-2</v>
      </c>
      <c r="FA118" s="250">
        <v>0</v>
      </c>
      <c r="FB118" s="250">
        <v>0</v>
      </c>
      <c r="FC118" s="250">
        <v>0</v>
      </c>
      <c r="FD118" s="249">
        <v>0</v>
      </c>
      <c r="FE118" s="250">
        <v>0</v>
      </c>
      <c r="FF118" s="250">
        <v>0</v>
      </c>
    </row>
    <row r="119" spans="1:162">
      <c r="A119" s="234" t="s">
        <v>1685</v>
      </c>
      <c r="B119" s="234" t="s">
        <v>1686</v>
      </c>
      <c r="C119" s="246" t="s">
        <v>401</v>
      </c>
      <c r="D119" s="246" t="s">
        <v>362</v>
      </c>
      <c r="E119" s="246">
        <v>4210</v>
      </c>
      <c r="F119" s="246" t="s">
        <v>509</v>
      </c>
      <c r="G119" s="246" t="s">
        <v>417</v>
      </c>
      <c r="H119" s="246" t="s">
        <v>509</v>
      </c>
      <c r="I119" s="246">
        <v>0.66930000000000001</v>
      </c>
      <c r="J119" s="246">
        <v>106.7127</v>
      </c>
      <c r="K119" s="247">
        <v>5.1400000000000001E-2</v>
      </c>
      <c r="L119" s="247">
        <v>5.5244999999999997</v>
      </c>
      <c r="M119" s="246" t="s">
        <v>384</v>
      </c>
      <c r="N119" s="247">
        <v>1.7100000000000001E-2</v>
      </c>
      <c r="O119" s="247">
        <v>5.6599999999999998E-2</v>
      </c>
      <c r="P119" s="247">
        <v>4.2500000000000003E-2</v>
      </c>
      <c r="Q119" s="247">
        <v>6.83E-2</v>
      </c>
      <c r="R119" s="247">
        <v>-5.5835999999999997</v>
      </c>
      <c r="S119" s="247">
        <v>0.26690000000000003</v>
      </c>
      <c r="T119" s="248">
        <v>0.02</v>
      </c>
      <c r="U119" s="248">
        <v>0</v>
      </c>
      <c r="V119" s="248">
        <v>3.38</v>
      </c>
      <c r="W119" s="248">
        <v>3.38</v>
      </c>
      <c r="X119" s="248">
        <v>3.4</v>
      </c>
      <c r="Y119" s="248">
        <v>1.05</v>
      </c>
      <c r="Z119" s="248">
        <v>2.35</v>
      </c>
      <c r="AA119" s="247">
        <v>0.30919999999999997</v>
      </c>
      <c r="AB119" s="246">
        <v>100.24</v>
      </c>
      <c r="AC119" s="247">
        <v>4.1200000000000001E-2</v>
      </c>
      <c r="AD119" s="247">
        <v>0.99529999999999996</v>
      </c>
      <c r="AE119" s="247">
        <v>4.2900000000000001E-2</v>
      </c>
      <c r="AF119" s="247">
        <v>211.25</v>
      </c>
      <c r="AG119" s="248">
        <v>0</v>
      </c>
      <c r="AH119" s="246">
        <v>69.06</v>
      </c>
      <c r="AI119" s="247">
        <v>-1.2173</v>
      </c>
      <c r="AJ119" s="246">
        <v>1.96</v>
      </c>
      <c r="AK119" s="247">
        <v>0.13039999999999999</v>
      </c>
      <c r="AL119" s="246" t="s">
        <v>384</v>
      </c>
      <c r="AM119" s="246">
        <v>1</v>
      </c>
      <c r="AN119" s="233">
        <v>18.079999999999998</v>
      </c>
      <c r="AO119" s="246" t="s">
        <v>384</v>
      </c>
      <c r="AP119" s="246" t="s">
        <v>384</v>
      </c>
      <c r="AQ119" s="246" t="s">
        <v>384</v>
      </c>
      <c r="AR119" s="246" t="s">
        <v>384</v>
      </c>
      <c r="AS119" s="246" t="s">
        <v>384</v>
      </c>
      <c r="AT119" s="246">
        <v>0</v>
      </c>
      <c r="AU119" s="246">
        <v>1.23</v>
      </c>
      <c r="AV119" s="246">
        <v>0</v>
      </c>
      <c r="AW119" s="246">
        <v>0.39</v>
      </c>
      <c r="AX119" s="246">
        <v>0.33</v>
      </c>
      <c r="AY119" s="246">
        <v>0.03</v>
      </c>
      <c r="AZ119" s="246">
        <v>0.06</v>
      </c>
      <c r="BA119" s="246" t="s">
        <v>384</v>
      </c>
      <c r="BB119" s="247">
        <v>0</v>
      </c>
      <c r="BC119" s="247">
        <v>-0.99970000000000003</v>
      </c>
      <c r="BD119" s="246" t="s">
        <v>384</v>
      </c>
      <c r="BE119" s="246" t="s">
        <v>384</v>
      </c>
      <c r="BF119" s="247">
        <v>-0.22900000000000001</v>
      </c>
      <c r="BG119" s="247">
        <v>1.7299999999999999E-2</v>
      </c>
      <c r="BH119" s="246" t="s">
        <v>384</v>
      </c>
      <c r="BI119" s="246" t="s">
        <v>384</v>
      </c>
      <c r="BJ119" s="247">
        <v>-5.91E-2</v>
      </c>
      <c r="BK119" s="247">
        <v>0.3352</v>
      </c>
      <c r="BL119" s="246">
        <v>1.73</v>
      </c>
      <c r="BM119" s="247">
        <v>-7.5999999999999998E-2</v>
      </c>
      <c r="BN119" s="247">
        <v>0.19359999999999999</v>
      </c>
      <c r="BO119" s="247">
        <v>1.0800000000000001E-2</v>
      </c>
      <c r="BP119" s="247">
        <v>0.25</v>
      </c>
      <c r="BQ119" s="247">
        <v>0</v>
      </c>
      <c r="BR119" s="247">
        <v>8.0100000000000005E-2</v>
      </c>
      <c r="BS119" s="248">
        <v>-6.19</v>
      </c>
      <c r="BT119" s="248">
        <v>-2.37</v>
      </c>
      <c r="BU119" s="248">
        <v>6.04</v>
      </c>
      <c r="BV119" s="248">
        <v>6.04</v>
      </c>
      <c r="BW119" s="248">
        <v>0.34</v>
      </c>
      <c r="BX119" s="248">
        <v>40.4</v>
      </c>
      <c r="BY119" s="248">
        <v>31.2</v>
      </c>
      <c r="BZ119" s="248">
        <v>-3.23</v>
      </c>
      <c r="CA119" s="248">
        <v>7.15</v>
      </c>
      <c r="CB119" s="248">
        <v>6.04</v>
      </c>
      <c r="CC119" s="248">
        <v>1.51</v>
      </c>
      <c r="CD119" s="248">
        <v>3.98</v>
      </c>
      <c r="CE119" s="248">
        <v>-9.23</v>
      </c>
      <c r="CF119" s="247">
        <v>-0.29580000000000001</v>
      </c>
      <c r="CG119" s="248">
        <v>0.1</v>
      </c>
      <c r="CH119" s="247">
        <v>0.67620000000000002</v>
      </c>
      <c r="CI119" s="248">
        <v>1.96</v>
      </c>
      <c r="CJ119" s="248">
        <v>-7.96</v>
      </c>
      <c r="CK119" s="248">
        <v>-6.45</v>
      </c>
      <c r="CL119" s="248">
        <v>40.1</v>
      </c>
      <c r="CM119" s="248">
        <v>18.02</v>
      </c>
      <c r="CN119" s="248">
        <v>78.7</v>
      </c>
      <c r="CO119" s="248">
        <v>67.33</v>
      </c>
      <c r="CP119" s="248">
        <v>0</v>
      </c>
      <c r="CQ119" s="246" t="s">
        <v>384</v>
      </c>
      <c r="CR119" s="246">
        <v>0.74</v>
      </c>
      <c r="CS119" s="246">
        <v>0.42</v>
      </c>
      <c r="CT119" s="246" t="s">
        <v>384</v>
      </c>
      <c r="CU119" s="246" t="s">
        <v>384</v>
      </c>
      <c r="CV119" s="246" t="s">
        <v>384</v>
      </c>
      <c r="CW119" s="246" t="s">
        <v>384</v>
      </c>
      <c r="CX119" s="248">
        <v>0</v>
      </c>
      <c r="CY119" s="246" t="s">
        <v>384</v>
      </c>
      <c r="CZ119" s="246" t="s">
        <v>384</v>
      </c>
      <c r="DA119" s="246" t="s">
        <v>384</v>
      </c>
      <c r="DB119" s="246" t="s">
        <v>384</v>
      </c>
      <c r="DC119" s="248">
        <v>7.15</v>
      </c>
      <c r="DD119" s="248">
        <v>2.35</v>
      </c>
      <c r="DE119" s="246" t="s">
        <v>384</v>
      </c>
      <c r="DF119" s="248">
        <v>0</v>
      </c>
      <c r="DG119" s="248">
        <v>6.04</v>
      </c>
      <c r="DH119" s="248">
        <v>67.33</v>
      </c>
      <c r="DI119" s="248">
        <v>-3.23</v>
      </c>
      <c r="DJ119" s="247">
        <v>-5.91E-2</v>
      </c>
      <c r="DK119" s="247">
        <v>0.3352</v>
      </c>
      <c r="DL119" s="246" t="s">
        <v>384</v>
      </c>
      <c r="DM119" s="246">
        <v>1.1100000000000001</v>
      </c>
      <c r="DN119" s="246" t="s">
        <v>384</v>
      </c>
      <c r="DO119" s="246" t="s">
        <v>384</v>
      </c>
      <c r="DP119" s="246" t="s">
        <v>384</v>
      </c>
      <c r="DQ119" s="248">
        <v>-16.920000000000002</v>
      </c>
      <c r="DR119" s="246" t="s">
        <v>1687</v>
      </c>
      <c r="DS119" s="246" t="s">
        <v>1688</v>
      </c>
      <c r="DT119" s="246" t="e">
        <v>#REF!</v>
      </c>
      <c r="DU119" s="246" t="s">
        <v>1689</v>
      </c>
      <c r="DV119" s="246" t="s">
        <v>1690</v>
      </c>
      <c r="DW119" s="246" t="s">
        <v>1350</v>
      </c>
      <c r="DX119" s="246" t="s">
        <v>388</v>
      </c>
      <c r="DY119" s="246" t="s">
        <v>1691</v>
      </c>
      <c r="DZ119" s="246">
        <v>18</v>
      </c>
      <c r="EA119" s="247">
        <v>7.8315999999999999</v>
      </c>
      <c r="EB119" s="247">
        <v>0.34360000000000002</v>
      </c>
      <c r="EC119" s="247">
        <v>-0.26600000000000001</v>
      </c>
      <c r="ED119" s="247">
        <v>-0.99970000000000003</v>
      </c>
      <c r="EE119" s="247">
        <v>-0.99760000000000004</v>
      </c>
      <c r="EF119" s="247">
        <v>-0.1285</v>
      </c>
      <c r="EG119" s="247">
        <v>2.7900000000000001E-2</v>
      </c>
      <c r="EH119" s="247">
        <v>0.19400000000000001</v>
      </c>
      <c r="EI119" s="248">
        <v>-16.920000000000002</v>
      </c>
      <c r="EJ119" s="234">
        <v>6.04</v>
      </c>
      <c r="EK119" s="234">
        <v>1</v>
      </c>
      <c r="EL119" s="234" t="s">
        <v>1692</v>
      </c>
      <c r="EM119" s="234" t="s">
        <v>1693</v>
      </c>
      <c r="EN119" s="234" t="s">
        <v>1694</v>
      </c>
      <c r="EO119" s="234" t="s">
        <v>1695</v>
      </c>
      <c r="EP119" s="234" t="s">
        <v>376</v>
      </c>
      <c r="EQ119" s="234" t="s">
        <v>377</v>
      </c>
      <c r="ER119" s="234">
        <v>0</v>
      </c>
      <c r="ES119" s="249">
        <v>0.1066</v>
      </c>
      <c r="ET119" s="234" t="s">
        <v>384</v>
      </c>
      <c r="EU119" s="250">
        <v>31.2</v>
      </c>
      <c r="EV119" s="234" t="s">
        <v>491</v>
      </c>
      <c r="EW119" s="250">
        <v>0</v>
      </c>
      <c r="EX119" s="250">
        <v>34.9</v>
      </c>
      <c r="EY119" s="250">
        <v>19.3</v>
      </c>
      <c r="EZ119" s="250">
        <v>12.9</v>
      </c>
      <c r="FA119" s="250">
        <v>6.59</v>
      </c>
      <c r="FB119" s="250">
        <v>54.9</v>
      </c>
      <c r="FC119" s="250">
        <v>2.57</v>
      </c>
      <c r="FD119" s="249">
        <v>0</v>
      </c>
      <c r="FE119" s="250">
        <v>0</v>
      </c>
      <c r="FF119" s="250">
        <v>0</v>
      </c>
    </row>
    <row r="120" spans="1:162">
      <c r="A120" s="234" t="s">
        <v>1696</v>
      </c>
      <c r="B120" s="234" t="s">
        <v>1697</v>
      </c>
      <c r="C120" s="246" t="s">
        <v>361</v>
      </c>
      <c r="D120" s="246" t="s">
        <v>362</v>
      </c>
      <c r="E120" s="246">
        <v>4210</v>
      </c>
      <c r="F120" s="246" t="s">
        <v>1698</v>
      </c>
      <c r="G120" s="246" t="s">
        <v>417</v>
      </c>
      <c r="H120" s="246" t="s">
        <v>1577</v>
      </c>
      <c r="I120" s="246">
        <v>0.74739999999999995</v>
      </c>
      <c r="J120" s="246">
        <v>0.96389999999999998</v>
      </c>
      <c r="K120" s="247">
        <v>6.3E-2</v>
      </c>
      <c r="L120" s="247">
        <v>0.1002</v>
      </c>
      <c r="M120" s="246" t="s">
        <v>384</v>
      </c>
      <c r="N120" s="247">
        <v>2.47E-2</v>
      </c>
      <c r="O120" s="247">
        <v>6.4199999999999993E-2</v>
      </c>
      <c r="P120" s="247">
        <v>5.7799999999999997E-2</v>
      </c>
      <c r="Q120" s="246" t="s">
        <v>384</v>
      </c>
      <c r="R120" s="247">
        <v>0.2923</v>
      </c>
      <c r="S120" s="246" t="s">
        <v>384</v>
      </c>
      <c r="T120" s="248">
        <v>0</v>
      </c>
      <c r="U120" s="248">
        <v>0</v>
      </c>
      <c r="V120" s="248">
        <v>57.6</v>
      </c>
      <c r="W120" s="248">
        <v>57.6</v>
      </c>
      <c r="X120" s="248">
        <v>57.6</v>
      </c>
      <c r="Y120" s="248">
        <v>19.8</v>
      </c>
      <c r="Z120" s="248">
        <v>37.799999999999997</v>
      </c>
      <c r="AA120" s="247">
        <v>0.34379999999999999</v>
      </c>
      <c r="AB120" s="246" t="s">
        <v>384</v>
      </c>
      <c r="AC120" s="247">
        <v>0.47139999999999999</v>
      </c>
      <c r="AD120" s="246" t="s">
        <v>384</v>
      </c>
      <c r="AE120" s="247">
        <v>0.89159999999999995</v>
      </c>
      <c r="AF120" s="246" t="s">
        <v>384</v>
      </c>
      <c r="AG120" s="248">
        <v>115.27</v>
      </c>
      <c r="AH120" s="246">
        <v>69.06</v>
      </c>
      <c r="AI120" s="247">
        <v>0.28999999999999998</v>
      </c>
      <c r="AJ120" s="246">
        <v>-0.2</v>
      </c>
      <c r="AK120" s="247">
        <v>7.0699999999999999E-2</v>
      </c>
      <c r="AL120" s="246" t="s">
        <v>384</v>
      </c>
      <c r="AM120" s="246">
        <v>0.08</v>
      </c>
      <c r="AN120" s="233">
        <v>29.42</v>
      </c>
      <c r="AO120" s="246">
        <v>0</v>
      </c>
      <c r="AP120" s="246">
        <v>0</v>
      </c>
      <c r="AQ120" s="246">
        <v>35.4</v>
      </c>
      <c r="AR120" s="246" t="s">
        <v>384</v>
      </c>
      <c r="AS120" s="246" t="s">
        <v>384</v>
      </c>
      <c r="AT120" s="246">
        <v>0</v>
      </c>
      <c r="AU120" s="246">
        <v>10.87</v>
      </c>
      <c r="AV120" s="246">
        <v>0</v>
      </c>
      <c r="AW120" s="246">
        <v>1.32</v>
      </c>
      <c r="AX120" s="246">
        <v>0.73</v>
      </c>
      <c r="AY120" s="246">
        <v>0.41</v>
      </c>
      <c r="AZ120" s="246">
        <v>0.14000000000000001</v>
      </c>
      <c r="BA120" s="247">
        <v>0.86960000000000004</v>
      </c>
      <c r="BB120" s="246" t="s">
        <v>384</v>
      </c>
      <c r="BC120" s="247">
        <v>-1</v>
      </c>
      <c r="BD120" s="247">
        <v>3.9300000000000002E-2</v>
      </c>
      <c r="BE120" s="247">
        <v>7.6899999999999996E-2</v>
      </c>
      <c r="BF120" s="247">
        <v>0.121</v>
      </c>
      <c r="BG120" s="247">
        <v>0.14699999999999999</v>
      </c>
      <c r="BH120" s="246" t="s">
        <v>384</v>
      </c>
      <c r="BI120" s="246" t="s">
        <v>384</v>
      </c>
      <c r="BJ120" s="247">
        <v>0.39250000000000002</v>
      </c>
      <c r="BK120" s="247">
        <v>0.29110000000000003</v>
      </c>
      <c r="BL120" s="246">
        <v>3.9</v>
      </c>
      <c r="BM120" s="247">
        <v>7.1999999999999995E-2</v>
      </c>
      <c r="BN120" s="247">
        <v>8.9599999999999999E-2</v>
      </c>
      <c r="BO120" s="247">
        <v>0.74439999999999995</v>
      </c>
      <c r="BP120" s="247">
        <v>0.1</v>
      </c>
      <c r="BQ120" s="247">
        <v>0.16739999999999999</v>
      </c>
      <c r="BR120" s="247">
        <v>3.3999999999999998E-3</v>
      </c>
      <c r="BS120" s="248">
        <v>17.600000000000001</v>
      </c>
      <c r="BT120" s="248">
        <v>23</v>
      </c>
      <c r="BU120" s="248">
        <v>28.6</v>
      </c>
      <c r="BV120" s="248">
        <v>28.6</v>
      </c>
      <c r="BW120" s="248">
        <v>237.7</v>
      </c>
      <c r="BX120" s="248">
        <v>274.8</v>
      </c>
      <c r="BY120" s="248">
        <v>319.3</v>
      </c>
      <c r="BZ120" s="248">
        <v>42.8</v>
      </c>
      <c r="CA120" s="248">
        <v>51.7</v>
      </c>
      <c r="CB120" s="248">
        <v>23.81</v>
      </c>
      <c r="CC120" s="248">
        <v>13.23</v>
      </c>
      <c r="CD120" s="248">
        <v>0</v>
      </c>
      <c r="CE120" s="248">
        <v>10.55</v>
      </c>
      <c r="CF120" s="247">
        <v>3.3000000000000002E-2</v>
      </c>
      <c r="CG120" s="248">
        <v>-18.559999999999999</v>
      </c>
      <c r="CH120" s="247">
        <v>-0.77939999999999998</v>
      </c>
      <c r="CI120" s="248">
        <v>42.37</v>
      </c>
      <c r="CJ120" s="248">
        <v>28.33</v>
      </c>
      <c r="CK120" s="248">
        <v>41.56</v>
      </c>
      <c r="CL120" s="248">
        <v>58.6</v>
      </c>
      <c r="CM120" s="248">
        <v>81.8</v>
      </c>
      <c r="CN120" s="248">
        <v>64.599999999999994</v>
      </c>
      <c r="CO120" s="248">
        <v>91.4</v>
      </c>
      <c r="CP120" s="248">
        <v>-20</v>
      </c>
      <c r="CQ120" s="246">
        <v>-0.16</v>
      </c>
      <c r="CR120" s="246">
        <v>7.0000000000000007E-2</v>
      </c>
      <c r="CS120" s="246">
        <v>0.42</v>
      </c>
      <c r="CT120" s="246">
        <v>0.59</v>
      </c>
      <c r="CU120" s="246">
        <v>0.59</v>
      </c>
      <c r="CV120" s="248">
        <v>15.24</v>
      </c>
      <c r="CW120" s="248">
        <v>11.89</v>
      </c>
      <c r="CX120" s="248">
        <v>-20</v>
      </c>
      <c r="CY120" s="248">
        <v>27.6</v>
      </c>
      <c r="CZ120" s="248">
        <v>4.62</v>
      </c>
      <c r="DA120" s="248">
        <v>23</v>
      </c>
      <c r="DB120" s="248">
        <v>0</v>
      </c>
      <c r="DC120" s="248">
        <v>51.7</v>
      </c>
      <c r="DD120" s="248">
        <v>37.799999999999997</v>
      </c>
      <c r="DE120" s="248">
        <v>28.33</v>
      </c>
      <c r="DF120" s="248">
        <v>0</v>
      </c>
      <c r="DG120" s="248">
        <v>28.6</v>
      </c>
      <c r="DH120" s="248">
        <v>91.4</v>
      </c>
      <c r="DI120" s="248">
        <v>42.8</v>
      </c>
      <c r="DJ120" s="247">
        <v>0.39250000000000002</v>
      </c>
      <c r="DK120" s="247">
        <v>0.29110000000000003</v>
      </c>
      <c r="DL120" s="246">
        <v>0.88</v>
      </c>
      <c r="DM120" s="246">
        <v>26.6</v>
      </c>
      <c r="DN120" s="246">
        <v>24.21</v>
      </c>
      <c r="DO120" s="246">
        <v>15.24</v>
      </c>
      <c r="DP120" s="247">
        <v>0.2636</v>
      </c>
      <c r="DQ120" s="246" t="s">
        <v>1183</v>
      </c>
      <c r="DR120" s="246" t="s">
        <v>1699</v>
      </c>
      <c r="DS120" s="246" t="s">
        <v>1700</v>
      </c>
      <c r="DT120" s="246" t="e">
        <v>#REF!</v>
      </c>
      <c r="DU120" s="246" t="s">
        <v>388</v>
      </c>
      <c r="DV120" s="246" t="s">
        <v>1701</v>
      </c>
      <c r="DW120" s="246" t="s">
        <v>1305</v>
      </c>
      <c r="DX120" s="246" t="s">
        <v>1702</v>
      </c>
      <c r="DY120" s="246" t="s">
        <v>1354</v>
      </c>
      <c r="DZ120" s="246">
        <v>22</v>
      </c>
      <c r="EA120" s="246" t="s">
        <v>384</v>
      </c>
      <c r="EB120" s="246" t="s">
        <v>384</v>
      </c>
      <c r="EC120" s="247">
        <v>3.5799999999999998E-2</v>
      </c>
      <c r="ED120" s="246" t="s">
        <v>384</v>
      </c>
      <c r="EE120" s="246" t="s">
        <v>384</v>
      </c>
      <c r="EF120" s="247">
        <v>1.11E-2</v>
      </c>
      <c r="EG120" s="247">
        <v>8.3000000000000004E-2</v>
      </c>
      <c r="EH120" s="247">
        <v>0.09</v>
      </c>
      <c r="EI120" s="246" t="s">
        <v>1183</v>
      </c>
      <c r="EJ120" s="234">
        <v>28.6</v>
      </c>
      <c r="EK120" s="234">
        <v>26.2</v>
      </c>
      <c r="EL120" s="234" t="s">
        <v>1703</v>
      </c>
      <c r="EM120" s="234" t="s">
        <v>377</v>
      </c>
      <c r="EN120" s="234" t="s">
        <v>1704</v>
      </c>
      <c r="EO120" s="234" t="s">
        <v>1705</v>
      </c>
      <c r="EP120" s="234" t="s">
        <v>376</v>
      </c>
      <c r="EQ120" s="234" t="s">
        <v>377</v>
      </c>
      <c r="ER120" s="234">
        <v>1</v>
      </c>
      <c r="ES120" s="249">
        <v>0.126</v>
      </c>
      <c r="ET120" s="234" t="s">
        <v>384</v>
      </c>
      <c r="EU120" s="250">
        <v>319.3</v>
      </c>
      <c r="EV120" s="234" t="s">
        <v>491</v>
      </c>
      <c r="EW120" s="250">
        <v>104.4</v>
      </c>
      <c r="EX120" s="250">
        <v>348.8</v>
      </c>
      <c r="EY120" s="250">
        <v>0</v>
      </c>
      <c r="EZ120" s="250">
        <v>0</v>
      </c>
      <c r="FA120" s="250">
        <v>582.20000000000005</v>
      </c>
      <c r="FB120" s="250">
        <v>623.1</v>
      </c>
      <c r="FC120" s="250">
        <v>0</v>
      </c>
      <c r="FD120" s="249">
        <v>0</v>
      </c>
      <c r="FE120" s="250">
        <v>0</v>
      </c>
      <c r="FF120" s="250">
        <v>0</v>
      </c>
    </row>
    <row r="121" spans="1:162">
      <c r="A121" s="234" t="s">
        <v>1706</v>
      </c>
      <c r="B121" s="234" t="s">
        <v>1707</v>
      </c>
      <c r="C121" s="246" t="s">
        <v>401</v>
      </c>
      <c r="D121" s="246" t="s">
        <v>362</v>
      </c>
      <c r="E121" s="246">
        <v>4210</v>
      </c>
      <c r="F121" s="246" t="s">
        <v>363</v>
      </c>
      <c r="G121" s="246" t="s">
        <v>363</v>
      </c>
      <c r="H121" s="246" t="s">
        <v>363</v>
      </c>
      <c r="I121" s="246">
        <v>0.66930000000000001</v>
      </c>
      <c r="J121" s="246">
        <v>0.83979999999999999</v>
      </c>
      <c r="K121" s="247">
        <v>4.4600000000000001E-2</v>
      </c>
      <c r="L121" s="247">
        <v>7.6999999999999999E-2</v>
      </c>
      <c r="M121" s="246" t="s">
        <v>384</v>
      </c>
      <c r="N121" s="247">
        <v>1.34E-2</v>
      </c>
      <c r="O121" s="247">
        <v>5.2900000000000003E-2</v>
      </c>
      <c r="P121" s="247">
        <v>3.9699999999999999E-2</v>
      </c>
      <c r="Q121" s="246" t="s">
        <v>384</v>
      </c>
      <c r="R121" s="247">
        <v>-8.0399999999999999E-2</v>
      </c>
      <c r="S121" s="246" t="s">
        <v>384</v>
      </c>
      <c r="T121" s="248">
        <v>0</v>
      </c>
      <c r="U121" s="248">
        <v>0</v>
      </c>
      <c r="V121" s="248">
        <v>0</v>
      </c>
      <c r="W121" s="248">
        <v>0</v>
      </c>
      <c r="X121" s="248">
        <v>0</v>
      </c>
      <c r="Y121" s="248">
        <v>0.01</v>
      </c>
      <c r="Z121" s="248">
        <v>-0.01</v>
      </c>
      <c r="AA121" s="246" t="s">
        <v>384</v>
      </c>
      <c r="AB121" s="246" t="s">
        <v>384</v>
      </c>
      <c r="AC121" s="247">
        <v>0</v>
      </c>
      <c r="AD121" s="246" t="s">
        <v>384</v>
      </c>
      <c r="AE121" s="247">
        <v>0</v>
      </c>
      <c r="AF121" s="246" t="s">
        <v>384</v>
      </c>
      <c r="AG121" s="248">
        <v>1.1000000000000001</v>
      </c>
      <c r="AH121" s="246">
        <v>31.61</v>
      </c>
      <c r="AI121" s="246" t="s">
        <v>384</v>
      </c>
      <c r="AJ121" s="246">
        <v>-0.09</v>
      </c>
      <c r="AK121" s="247">
        <v>7.7499999999999999E-2</v>
      </c>
      <c r="AL121" s="246" t="s">
        <v>384</v>
      </c>
      <c r="AM121" s="246">
        <v>0.48</v>
      </c>
      <c r="AN121" s="233" t="s">
        <v>384</v>
      </c>
      <c r="AO121" s="246" t="s">
        <v>384</v>
      </c>
      <c r="AP121" s="246" t="s">
        <v>384</v>
      </c>
      <c r="AQ121" s="246" t="s">
        <v>384</v>
      </c>
      <c r="AR121" s="246" t="s">
        <v>384</v>
      </c>
      <c r="AS121" s="246" t="s">
        <v>384</v>
      </c>
      <c r="AT121" s="246">
        <v>0</v>
      </c>
      <c r="AU121" s="246">
        <v>2.33</v>
      </c>
      <c r="AV121" s="246">
        <v>0</v>
      </c>
      <c r="AW121" s="246" t="s">
        <v>384</v>
      </c>
      <c r="AX121" s="246" t="s">
        <v>384</v>
      </c>
      <c r="AY121" s="246" t="s">
        <v>384</v>
      </c>
      <c r="AZ121" s="246" t="s">
        <v>384</v>
      </c>
      <c r="BA121" s="246" t="s">
        <v>384</v>
      </c>
      <c r="BB121" s="246" t="s">
        <v>384</v>
      </c>
      <c r="BC121" s="247">
        <v>-1</v>
      </c>
      <c r="BD121" s="246" t="s">
        <v>384</v>
      </c>
      <c r="BE121" s="246" t="s">
        <v>384</v>
      </c>
      <c r="BF121" s="247">
        <v>-0.60199999999999998</v>
      </c>
      <c r="BG121" s="247">
        <v>-0.31900000000000001</v>
      </c>
      <c r="BH121" s="246" t="s">
        <v>384</v>
      </c>
      <c r="BI121" s="246" t="s">
        <v>384</v>
      </c>
      <c r="BJ121" s="247">
        <v>-3.5000000000000001E-3</v>
      </c>
      <c r="BK121" s="247">
        <v>-1.4E-3</v>
      </c>
      <c r="BL121" s="246">
        <v>0</v>
      </c>
      <c r="BM121" s="247">
        <v>-0.88</v>
      </c>
      <c r="BN121" s="247">
        <v>-0.36</v>
      </c>
      <c r="BO121" s="247">
        <v>-0.04</v>
      </c>
      <c r="BP121" s="247">
        <v>0.25</v>
      </c>
      <c r="BQ121" s="247">
        <v>0</v>
      </c>
      <c r="BR121" s="246" t="s">
        <v>384</v>
      </c>
      <c r="BS121" s="248">
        <v>-7.0000000000000007E-2</v>
      </c>
      <c r="BT121" s="248">
        <v>-0.04</v>
      </c>
      <c r="BU121" s="248">
        <v>-0.02</v>
      </c>
      <c r="BV121" s="248">
        <v>-0.02</v>
      </c>
      <c r="BW121" s="248">
        <v>0</v>
      </c>
      <c r="BX121" s="248">
        <v>0.05</v>
      </c>
      <c r="BY121" s="248">
        <v>0.05</v>
      </c>
      <c r="BZ121" s="248">
        <v>0</v>
      </c>
      <c r="CA121" s="248">
        <v>0</v>
      </c>
      <c r="CB121" s="248">
        <v>-0.02</v>
      </c>
      <c r="CC121" s="248">
        <v>0</v>
      </c>
      <c r="CD121" s="248">
        <v>-0.05</v>
      </c>
      <c r="CE121" s="248">
        <v>-1.1499999999999999</v>
      </c>
      <c r="CF121" s="247">
        <v>-22.94</v>
      </c>
      <c r="CG121" s="248">
        <v>0</v>
      </c>
      <c r="CH121" s="246" t="s">
        <v>384</v>
      </c>
      <c r="CI121" s="248">
        <v>0.04</v>
      </c>
      <c r="CJ121" s="248">
        <v>0.01</v>
      </c>
      <c r="CK121" s="248">
        <v>0.01</v>
      </c>
      <c r="CL121" s="248">
        <v>12.6</v>
      </c>
      <c r="CM121" s="248">
        <v>12.6</v>
      </c>
      <c r="CN121" s="248">
        <v>12.6</v>
      </c>
      <c r="CO121" s="248">
        <v>12.59</v>
      </c>
      <c r="CP121" s="248">
        <v>0</v>
      </c>
      <c r="CQ121" s="246">
        <v>-0.43</v>
      </c>
      <c r="CR121" s="246">
        <v>0.56000000000000005</v>
      </c>
      <c r="CS121" s="246">
        <v>1.1200000000000001</v>
      </c>
      <c r="CT121" s="246" t="s">
        <v>384</v>
      </c>
      <c r="CU121" s="246" t="s">
        <v>384</v>
      </c>
      <c r="CV121" s="246" t="s">
        <v>384</v>
      </c>
      <c r="CW121" s="246" t="s">
        <v>384</v>
      </c>
      <c r="CX121" s="248">
        <v>0</v>
      </c>
      <c r="CY121" s="246" t="s">
        <v>384</v>
      </c>
      <c r="CZ121" s="246" t="s">
        <v>384</v>
      </c>
      <c r="DA121" s="246" t="s">
        <v>384</v>
      </c>
      <c r="DB121" s="246" t="s">
        <v>384</v>
      </c>
      <c r="DC121" s="246" t="s">
        <v>384</v>
      </c>
      <c r="DD121" s="246" t="s">
        <v>384</v>
      </c>
      <c r="DE121" s="246" t="s">
        <v>384</v>
      </c>
      <c r="DF121" s="248">
        <v>0</v>
      </c>
      <c r="DG121" s="248">
        <v>-0.02</v>
      </c>
      <c r="DH121" s="248">
        <v>12.59</v>
      </c>
      <c r="DI121" s="248">
        <v>0</v>
      </c>
      <c r="DJ121" s="247">
        <v>-3.5000000000000001E-3</v>
      </c>
      <c r="DK121" s="247">
        <v>-1.4E-3</v>
      </c>
      <c r="DL121" s="246" t="s">
        <v>384</v>
      </c>
      <c r="DM121" s="246">
        <v>0.02</v>
      </c>
      <c r="DN121" s="246" t="s">
        <v>384</v>
      </c>
      <c r="DO121" s="246" t="s">
        <v>384</v>
      </c>
      <c r="DP121" s="246" t="s">
        <v>384</v>
      </c>
      <c r="DQ121" s="246" t="s">
        <v>1387</v>
      </c>
      <c r="DR121" s="246" t="s">
        <v>644</v>
      </c>
      <c r="DS121" s="246" t="s">
        <v>644</v>
      </c>
      <c r="DT121" s="246" t="e">
        <v>#REF!</v>
      </c>
      <c r="DU121" s="246" t="s">
        <v>388</v>
      </c>
      <c r="DV121" s="248">
        <v>-0.02</v>
      </c>
      <c r="DW121" s="246" t="s">
        <v>388</v>
      </c>
      <c r="DX121" s="246" t="s">
        <v>388</v>
      </c>
      <c r="DY121" s="246" t="s">
        <v>1708</v>
      </c>
      <c r="DZ121" s="246">
        <v>3</v>
      </c>
      <c r="EA121" s="246" t="s">
        <v>384</v>
      </c>
      <c r="EB121" s="246" t="s">
        <v>384</v>
      </c>
      <c r="EC121" s="247">
        <v>0.43380000000000002</v>
      </c>
      <c r="ED121" s="246" t="s">
        <v>384</v>
      </c>
      <c r="EE121" s="246" t="s">
        <v>384</v>
      </c>
      <c r="EF121" s="247">
        <v>-7.4099999999999999E-2</v>
      </c>
      <c r="EG121" s="247">
        <v>-0.77780000000000005</v>
      </c>
      <c r="EH121" s="247">
        <v>-0.36</v>
      </c>
      <c r="EI121" s="246" t="s">
        <v>1387</v>
      </c>
      <c r="EJ121" s="234">
        <v>-0.02</v>
      </c>
      <c r="EK121" s="234">
        <v>-0.04</v>
      </c>
      <c r="EL121" s="234" t="s">
        <v>377</v>
      </c>
      <c r="EM121" s="234" t="s">
        <v>377</v>
      </c>
      <c r="EN121" s="234" t="s">
        <v>1709</v>
      </c>
      <c r="EO121" s="234" t="s">
        <v>1710</v>
      </c>
      <c r="EP121" s="234" t="s">
        <v>376</v>
      </c>
      <c r="EQ121" s="234" t="s">
        <v>377</v>
      </c>
      <c r="ER121" s="234">
        <v>0</v>
      </c>
      <c r="ES121" s="249">
        <v>-0.40129999999999999</v>
      </c>
      <c r="ET121" s="234" t="s">
        <v>384</v>
      </c>
      <c r="EU121" s="250">
        <v>0.05</v>
      </c>
      <c r="EV121" s="234" t="s">
        <v>491</v>
      </c>
      <c r="EW121" s="250">
        <v>0</v>
      </c>
      <c r="EX121" s="250">
        <v>15.6</v>
      </c>
      <c r="EY121" s="250">
        <v>0</v>
      </c>
      <c r="EZ121" s="250">
        <v>0</v>
      </c>
      <c r="FA121" s="250">
        <v>0</v>
      </c>
      <c r="FB121" s="250">
        <v>29.4</v>
      </c>
      <c r="FC121" s="250">
        <v>0</v>
      </c>
      <c r="FD121" s="249">
        <v>0</v>
      </c>
      <c r="FE121" s="250">
        <v>0</v>
      </c>
      <c r="FF121" s="250">
        <v>0</v>
      </c>
    </row>
    <row r="122" spans="1:162">
      <c r="A122" s="234" t="s">
        <v>1711</v>
      </c>
      <c r="B122" s="234" t="s">
        <v>1712</v>
      </c>
      <c r="C122" s="246" t="s">
        <v>401</v>
      </c>
      <c r="D122" s="246" t="s">
        <v>362</v>
      </c>
      <c r="E122" s="246">
        <v>4210</v>
      </c>
      <c r="F122" s="246" t="s">
        <v>642</v>
      </c>
      <c r="G122" s="246" t="s">
        <v>417</v>
      </c>
      <c r="H122" s="246" t="s">
        <v>642</v>
      </c>
      <c r="I122" s="246">
        <v>0.66930000000000001</v>
      </c>
      <c r="J122" s="246">
        <v>0.83979999999999999</v>
      </c>
      <c r="K122" s="247">
        <v>7.0800000000000002E-2</v>
      </c>
      <c r="L122" s="247">
        <v>9.9000000000000005E-2</v>
      </c>
      <c r="M122" s="246" t="s">
        <v>384</v>
      </c>
      <c r="N122" s="247">
        <v>2.98E-2</v>
      </c>
      <c r="O122" s="247">
        <v>6.93E-2</v>
      </c>
      <c r="P122" s="247">
        <v>4.8500000000000001E-2</v>
      </c>
      <c r="Q122" s="246" t="s">
        <v>384</v>
      </c>
      <c r="R122" s="247">
        <v>8.2699999999999996E-2</v>
      </c>
      <c r="S122" s="246" t="s">
        <v>384</v>
      </c>
      <c r="T122" s="248">
        <v>0</v>
      </c>
      <c r="U122" s="248">
        <v>0</v>
      </c>
      <c r="V122" s="248">
        <v>0.55000000000000004</v>
      </c>
      <c r="W122" s="248">
        <v>0.55000000000000004</v>
      </c>
      <c r="X122" s="248">
        <v>0.55000000000000004</v>
      </c>
      <c r="Y122" s="248">
        <v>2.27</v>
      </c>
      <c r="Z122" s="248">
        <v>-1.72</v>
      </c>
      <c r="AA122" s="247">
        <v>4.1273</v>
      </c>
      <c r="AB122" s="246">
        <v>0.03</v>
      </c>
      <c r="AC122" s="247">
        <v>0.11219999999999999</v>
      </c>
      <c r="AD122" s="246" t="s">
        <v>384</v>
      </c>
      <c r="AE122" s="247">
        <v>0.12640000000000001</v>
      </c>
      <c r="AF122" s="246" t="s">
        <v>384</v>
      </c>
      <c r="AG122" s="248">
        <v>0.67</v>
      </c>
      <c r="AH122" s="246">
        <v>69.06</v>
      </c>
      <c r="AI122" s="247">
        <v>9.2600000000000002E-2</v>
      </c>
      <c r="AJ122" s="246">
        <v>-1.0900000000000001</v>
      </c>
      <c r="AK122" s="247">
        <v>0.13039999999999999</v>
      </c>
      <c r="AL122" s="246" t="s">
        <v>384</v>
      </c>
      <c r="AM122" s="246">
        <v>0.39</v>
      </c>
      <c r="AN122" s="233">
        <v>13.05</v>
      </c>
      <c r="AO122" s="246">
        <v>0</v>
      </c>
      <c r="AP122" s="246">
        <v>0</v>
      </c>
      <c r="AQ122" s="246">
        <v>0</v>
      </c>
      <c r="AR122" s="246" t="s">
        <v>384</v>
      </c>
      <c r="AS122" s="246" t="s">
        <v>384</v>
      </c>
      <c r="AT122" s="246">
        <v>0</v>
      </c>
      <c r="AU122" s="246">
        <v>0</v>
      </c>
      <c r="AV122" s="246">
        <v>0</v>
      </c>
      <c r="AW122" s="246" t="s">
        <v>384</v>
      </c>
      <c r="AX122" s="246" t="s">
        <v>384</v>
      </c>
      <c r="AY122" s="246" t="s">
        <v>384</v>
      </c>
      <c r="AZ122" s="246" t="s">
        <v>384</v>
      </c>
      <c r="BA122" s="247">
        <v>0</v>
      </c>
      <c r="BB122" s="246" t="s">
        <v>384</v>
      </c>
      <c r="BC122" s="246" t="s">
        <v>384</v>
      </c>
      <c r="BD122" s="247">
        <v>9.2200000000000004E-2</v>
      </c>
      <c r="BE122" s="246" t="s">
        <v>384</v>
      </c>
      <c r="BF122" s="247">
        <v>-4.1700000000000001E-2</v>
      </c>
      <c r="BG122" s="247">
        <v>0.10299999999999999</v>
      </c>
      <c r="BH122" s="246" t="s">
        <v>384</v>
      </c>
      <c r="BI122" s="246" t="s">
        <v>384</v>
      </c>
      <c r="BJ122" s="247">
        <v>0.1817</v>
      </c>
      <c r="BK122" s="247">
        <v>0.19500000000000001</v>
      </c>
      <c r="BL122" s="246">
        <v>9.34</v>
      </c>
      <c r="BM122" s="247">
        <v>3.3799999999999997E-2</v>
      </c>
      <c r="BN122" s="247">
        <v>2.76E-2</v>
      </c>
      <c r="BO122" s="247">
        <v>0.17979999999999999</v>
      </c>
      <c r="BP122" s="247">
        <v>0.3</v>
      </c>
      <c r="BQ122" s="247">
        <v>0.24329999999999999</v>
      </c>
      <c r="BR122" s="246" t="s">
        <v>384</v>
      </c>
      <c r="BS122" s="248">
        <v>0.7</v>
      </c>
      <c r="BT122" s="248">
        <v>0.7</v>
      </c>
      <c r="BU122" s="248">
        <v>0.56999999999999995</v>
      </c>
      <c r="BV122" s="248">
        <v>0.56999999999999995</v>
      </c>
      <c r="BW122" s="248">
        <v>3.74</v>
      </c>
      <c r="BX122" s="248">
        <v>21.3</v>
      </c>
      <c r="BY122" s="248">
        <v>20.8</v>
      </c>
      <c r="BZ122" s="248">
        <v>0.81</v>
      </c>
      <c r="CA122" s="248">
        <v>0.84</v>
      </c>
      <c r="CB122" s="248">
        <v>0.43</v>
      </c>
      <c r="CC122" s="248">
        <v>-0.39</v>
      </c>
      <c r="CD122" s="248">
        <v>-1.45</v>
      </c>
      <c r="CE122" s="248">
        <v>-4.83</v>
      </c>
      <c r="CF122" s="247">
        <v>-0.23230000000000001</v>
      </c>
      <c r="CG122" s="248">
        <v>0.09</v>
      </c>
      <c r="CH122" s="247">
        <v>-3.1379000000000001</v>
      </c>
      <c r="CI122" s="248">
        <v>1.8</v>
      </c>
      <c r="CJ122" s="248">
        <v>2.46</v>
      </c>
      <c r="CK122" s="248">
        <v>2.0699999999999998</v>
      </c>
      <c r="CL122" s="248">
        <v>3.87</v>
      </c>
      <c r="CM122" s="248">
        <v>2.23</v>
      </c>
      <c r="CN122" s="248">
        <v>4.3499999999999996</v>
      </c>
      <c r="CO122" s="248">
        <v>2.63</v>
      </c>
      <c r="CP122" s="248">
        <v>0</v>
      </c>
      <c r="CQ122" s="246">
        <v>-0.41</v>
      </c>
      <c r="CR122" s="246">
        <v>-0.55000000000000004</v>
      </c>
      <c r="CS122" s="246">
        <v>0.42</v>
      </c>
      <c r="CT122" s="246" t="s">
        <v>384</v>
      </c>
      <c r="CU122" s="246" t="s">
        <v>384</v>
      </c>
      <c r="CV122" s="246" t="s">
        <v>384</v>
      </c>
      <c r="CW122" s="246" t="s">
        <v>384</v>
      </c>
      <c r="CX122" s="248">
        <v>0</v>
      </c>
      <c r="CY122" s="248">
        <v>0.93</v>
      </c>
      <c r="CZ122" s="248">
        <v>0.23</v>
      </c>
      <c r="DA122" s="248">
        <v>0.7</v>
      </c>
      <c r="DB122" s="248">
        <v>0</v>
      </c>
      <c r="DC122" s="248">
        <v>0.84</v>
      </c>
      <c r="DD122" s="248">
        <v>-1.72</v>
      </c>
      <c r="DE122" s="246" t="s">
        <v>384</v>
      </c>
      <c r="DF122" s="248">
        <v>0</v>
      </c>
      <c r="DG122" s="248">
        <v>0.56999999999999995</v>
      </c>
      <c r="DH122" s="248">
        <v>2.63</v>
      </c>
      <c r="DI122" s="248">
        <v>0.81</v>
      </c>
      <c r="DJ122" s="247">
        <v>0.1817</v>
      </c>
      <c r="DK122" s="247">
        <v>0.19500000000000001</v>
      </c>
      <c r="DL122" s="246">
        <v>-2.12</v>
      </c>
      <c r="DM122" s="246">
        <v>0.27</v>
      </c>
      <c r="DN122" s="246" t="s">
        <v>384</v>
      </c>
      <c r="DO122" s="246" t="s">
        <v>384</v>
      </c>
      <c r="DP122" s="246" t="s">
        <v>384</v>
      </c>
      <c r="DQ122" s="246" t="s">
        <v>1713</v>
      </c>
      <c r="DR122" s="246" t="s">
        <v>628</v>
      </c>
      <c r="DS122" s="246" t="s">
        <v>1243</v>
      </c>
      <c r="DT122" s="246" t="e">
        <v>#REF!</v>
      </c>
      <c r="DU122" s="246" t="s">
        <v>388</v>
      </c>
      <c r="DV122" s="246" t="s">
        <v>1349</v>
      </c>
      <c r="DW122" s="246" t="s">
        <v>406</v>
      </c>
      <c r="DX122" s="246" t="s">
        <v>1159</v>
      </c>
      <c r="DY122" s="246" t="s">
        <v>1452</v>
      </c>
      <c r="DZ122" s="246">
        <v>11</v>
      </c>
      <c r="EA122" s="246" t="s">
        <v>384</v>
      </c>
      <c r="EB122" s="246" t="s">
        <v>384</v>
      </c>
      <c r="EC122" s="246" t="s">
        <v>384</v>
      </c>
      <c r="ED122" s="246" t="s">
        <v>384</v>
      </c>
      <c r="EE122" s="246" t="s">
        <v>384</v>
      </c>
      <c r="EF122" s="247">
        <v>-2.8000000000000001E-2</v>
      </c>
      <c r="EG122" s="247">
        <v>2.5999999999999999E-2</v>
      </c>
      <c r="EH122" s="247">
        <v>2.8000000000000001E-2</v>
      </c>
      <c r="EI122" s="246" t="s">
        <v>1713</v>
      </c>
      <c r="EJ122" s="234">
        <v>0.56999999999999995</v>
      </c>
      <c r="EK122" s="234">
        <v>0.56000000000000005</v>
      </c>
      <c r="EL122" s="234" t="s">
        <v>1714</v>
      </c>
      <c r="EM122" s="234" t="s">
        <v>377</v>
      </c>
      <c r="EN122" s="234" t="s">
        <v>377</v>
      </c>
      <c r="EO122" s="234" t="s">
        <v>377</v>
      </c>
      <c r="EP122" s="234" t="s">
        <v>376</v>
      </c>
      <c r="EQ122" s="234" t="s">
        <v>377</v>
      </c>
      <c r="ER122" s="234">
        <v>1</v>
      </c>
      <c r="ES122" s="234" t="s">
        <v>384</v>
      </c>
      <c r="ET122" s="234" t="s">
        <v>384</v>
      </c>
      <c r="EU122" s="234" t="s">
        <v>384</v>
      </c>
      <c r="EV122" s="234" t="s">
        <v>491</v>
      </c>
      <c r="EW122" s="250">
        <v>0</v>
      </c>
      <c r="EX122" s="250">
        <v>15.2</v>
      </c>
      <c r="EY122" s="250">
        <v>13.5</v>
      </c>
      <c r="EZ122" s="250">
        <v>0</v>
      </c>
      <c r="FA122" s="250">
        <v>20.2</v>
      </c>
      <c r="FB122" s="250">
        <v>0</v>
      </c>
      <c r="FC122" s="250">
        <v>0.45</v>
      </c>
      <c r="FD122" s="249">
        <v>0</v>
      </c>
      <c r="FE122" s="250">
        <v>0</v>
      </c>
      <c r="FF122" s="250">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2F422-76CE-6F40-924B-E8FC9FDB8997}">
  <dimension ref="A2:FF9"/>
  <sheetViews>
    <sheetView topLeftCell="AZ1" workbookViewId="0">
      <selection activeCell="AF8" sqref="AF8"/>
    </sheetView>
  </sheetViews>
  <sheetFormatPr baseColWidth="10" defaultColWidth="11" defaultRowHeight="16"/>
  <cols>
    <col min="1" max="1" width="47.5" bestFit="1" customWidth="1"/>
    <col min="2" max="2" width="15" bestFit="1" customWidth="1"/>
    <col min="3" max="3" width="13.33203125" bestFit="1" customWidth="1"/>
    <col min="4" max="4" width="13.5" bestFit="1" customWidth="1"/>
    <col min="5" max="5" width="8.6640625" bestFit="1" customWidth="1"/>
    <col min="6" max="6" width="11.6640625" bestFit="1" customWidth="1"/>
    <col min="7" max="7" width="21.5" bestFit="1" customWidth="1"/>
    <col min="8" max="8" width="12.33203125" bestFit="1" customWidth="1"/>
    <col min="9" max="9" width="22.1640625" bestFit="1" customWidth="1"/>
    <col min="32" max="32" width="23" bestFit="1" customWidth="1"/>
  </cols>
  <sheetData>
    <row r="2" spans="1:162">
      <c r="A2" s="237" t="s">
        <v>1773</v>
      </c>
    </row>
    <row r="3" spans="1:162" s="238" customFormat="1">
      <c r="A3" s="232" t="s">
        <v>204</v>
      </c>
      <c r="B3" s="232" t="s">
        <v>205</v>
      </c>
      <c r="C3" s="232" t="s">
        <v>206</v>
      </c>
      <c r="D3" s="232" t="s">
        <v>207</v>
      </c>
      <c r="E3" s="232" t="s">
        <v>208</v>
      </c>
      <c r="F3" s="232" t="s">
        <v>209</v>
      </c>
      <c r="G3" s="232" t="s">
        <v>210</v>
      </c>
      <c r="H3" s="232" t="s">
        <v>211</v>
      </c>
      <c r="I3" s="232" t="s">
        <v>212</v>
      </c>
      <c r="J3" s="232" t="s">
        <v>213</v>
      </c>
      <c r="K3" s="232" t="s">
        <v>214</v>
      </c>
      <c r="L3" s="232" t="s">
        <v>215</v>
      </c>
      <c r="M3" s="232" t="s">
        <v>216</v>
      </c>
      <c r="N3" s="232" t="s">
        <v>217</v>
      </c>
      <c r="O3" s="232" t="s">
        <v>218</v>
      </c>
      <c r="P3" s="232" t="s">
        <v>219</v>
      </c>
      <c r="Q3" s="232" t="s">
        <v>220</v>
      </c>
      <c r="R3" s="232" t="s">
        <v>221</v>
      </c>
      <c r="S3" s="232" t="s">
        <v>222</v>
      </c>
      <c r="T3" s="232" t="s">
        <v>223</v>
      </c>
      <c r="U3" s="232" t="s">
        <v>224</v>
      </c>
      <c r="V3" s="232" t="s">
        <v>225</v>
      </c>
      <c r="W3" s="232" t="s">
        <v>226</v>
      </c>
      <c r="X3" s="232" t="s">
        <v>227</v>
      </c>
      <c r="Y3" s="232" t="s">
        <v>228</v>
      </c>
      <c r="Z3" s="232" t="s">
        <v>229</v>
      </c>
      <c r="AA3" s="232" t="s">
        <v>230</v>
      </c>
      <c r="AB3" s="232" t="s">
        <v>231</v>
      </c>
      <c r="AC3" s="232" t="s">
        <v>232</v>
      </c>
      <c r="AD3" s="232" t="s">
        <v>233</v>
      </c>
      <c r="AE3" s="232" t="s">
        <v>234</v>
      </c>
      <c r="AF3" s="232" t="s">
        <v>235</v>
      </c>
      <c r="AG3" s="232" t="s">
        <v>236</v>
      </c>
      <c r="AH3" s="232" t="s">
        <v>237</v>
      </c>
      <c r="AI3" s="232" t="s">
        <v>238</v>
      </c>
      <c r="AJ3" s="232" t="s">
        <v>239</v>
      </c>
      <c r="AK3" s="232" t="s">
        <v>240</v>
      </c>
      <c r="AL3" s="232" t="s">
        <v>241</v>
      </c>
      <c r="AM3" s="232" t="s">
        <v>242</v>
      </c>
      <c r="AN3" s="239" t="s">
        <v>243</v>
      </c>
      <c r="AO3" s="232" t="s">
        <v>244</v>
      </c>
      <c r="AP3" s="232" t="s">
        <v>245</v>
      </c>
      <c r="AQ3" s="232" t="s">
        <v>246</v>
      </c>
      <c r="AR3" s="232" t="s">
        <v>247</v>
      </c>
      <c r="AS3" s="232" t="s">
        <v>248</v>
      </c>
      <c r="AT3" s="232" t="s">
        <v>249</v>
      </c>
      <c r="AU3" s="232" t="s">
        <v>250</v>
      </c>
      <c r="AV3" s="232" t="s">
        <v>251</v>
      </c>
      <c r="AW3" s="232" t="s">
        <v>252</v>
      </c>
      <c r="AX3" s="232" t="s">
        <v>195</v>
      </c>
      <c r="AY3" s="232" t="s">
        <v>253</v>
      </c>
      <c r="AZ3" s="232" t="s">
        <v>194</v>
      </c>
      <c r="BA3" s="232" t="s">
        <v>254</v>
      </c>
      <c r="BB3" s="232" t="s">
        <v>255</v>
      </c>
      <c r="BC3" s="232" t="s">
        <v>256</v>
      </c>
      <c r="BD3" s="232" t="s">
        <v>257</v>
      </c>
      <c r="BE3" s="232" t="s">
        <v>258</v>
      </c>
      <c r="BF3" s="232" t="s">
        <v>259</v>
      </c>
      <c r="BG3" s="232" t="s">
        <v>260</v>
      </c>
      <c r="BH3" s="232" t="s">
        <v>261</v>
      </c>
      <c r="BI3" s="232" t="s">
        <v>262</v>
      </c>
      <c r="BJ3" s="232" t="s">
        <v>263</v>
      </c>
      <c r="BK3" s="232" t="s">
        <v>264</v>
      </c>
      <c r="BL3" s="232" t="s">
        <v>265</v>
      </c>
      <c r="BM3" s="232" t="s">
        <v>266</v>
      </c>
      <c r="BN3" s="232" t="s">
        <v>267</v>
      </c>
      <c r="BO3" s="232" t="s">
        <v>268</v>
      </c>
      <c r="BP3" s="232" t="s">
        <v>269</v>
      </c>
      <c r="BQ3" s="232" t="s">
        <v>270</v>
      </c>
      <c r="BR3" s="232" t="s">
        <v>271</v>
      </c>
      <c r="BS3" s="232" t="s">
        <v>58</v>
      </c>
      <c r="BT3" s="232" t="s">
        <v>272</v>
      </c>
      <c r="BU3" s="232" t="s">
        <v>273</v>
      </c>
      <c r="BV3" s="232" t="s">
        <v>274</v>
      </c>
      <c r="BW3" s="232" t="s">
        <v>275</v>
      </c>
      <c r="BX3" s="232" t="s">
        <v>276</v>
      </c>
      <c r="BY3" s="232" t="s">
        <v>277</v>
      </c>
      <c r="BZ3" s="232" t="s">
        <v>70</v>
      </c>
      <c r="CA3" s="232" t="s">
        <v>278</v>
      </c>
      <c r="CB3" s="232" t="s">
        <v>279</v>
      </c>
      <c r="CC3" s="232" t="s">
        <v>280</v>
      </c>
      <c r="CD3" s="232" t="s">
        <v>281</v>
      </c>
      <c r="CE3" s="232" t="s">
        <v>282</v>
      </c>
      <c r="CF3" s="232" t="s">
        <v>283</v>
      </c>
      <c r="CG3" s="232" t="s">
        <v>284</v>
      </c>
      <c r="CH3" s="232" t="s">
        <v>285</v>
      </c>
      <c r="CI3" s="232" t="s">
        <v>286</v>
      </c>
      <c r="CJ3" s="232" t="s">
        <v>287</v>
      </c>
      <c r="CK3" s="232" t="s">
        <v>288</v>
      </c>
      <c r="CL3" s="232" t="s">
        <v>289</v>
      </c>
      <c r="CM3" s="232" t="s">
        <v>290</v>
      </c>
      <c r="CN3" s="232" t="s">
        <v>291</v>
      </c>
      <c r="CO3" s="232" t="s">
        <v>292</v>
      </c>
      <c r="CP3" s="232" t="s">
        <v>293</v>
      </c>
      <c r="CQ3" s="232" t="s">
        <v>294</v>
      </c>
      <c r="CR3" s="232" t="s">
        <v>295</v>
      </c>
      <c r="CS3" s="232" t="s">
        <v>296</v>
      </c>
      <c r="CT3" s="232" t="s">
        <v>297</v>
      </c>
      <c r="CU3" s="232" t="s">
        <v>298</v>
      </c>
      <c r="CV3" s="232" t="s">
        <v>299</v>
      </c>
      <c r="CW3" s="232" t="s">
        <v>300</v>
      </c>
      <c r="CX3" s="232" t="s">
        <v>301</v>
      </c>
      <c r="CY3" s="232" t="s">
        <v>302</v>
      </c>
      <c r="CZ3" s="232" t="s">
        <v>303</v>
      </c>
      <c r="DA3" s="232" t="s">
        <v>304</v>
      </c>
      <c r="DB3" s="232" t="s">
        <v>305</v>
      </c>
      <c r="DC3" s="232" t="s">
        <v>306</v>
      </c>
      <c r="DD3" s="232" t="s">
        <v>307</v>
      </c>
      <c r="DE3" s="232" t="s">
        <v>308</v>
      </c>
      <c r="DF3" s="232" t="s">
        <v>309</v>
      </c>
      <c r="DG3" s="232" t="s">
        <v>310</v>
      </c>
      <c r="DH3" s="232" t="s">
        <v>311</v>
      </c>
      <c r="DI3" s="232" t="s">
        <v>312</v>
      </c>
      <c r="DJ3" s="232" t="s">
        <v>313</v>
      </c>
      <c r="DK3" s="232" t="s">
        <v>314</v>
      </c>
      <c r="DL3" s="232" t="s">
        <v>315</v>
      </c>
      <c r="DM3" s="232" t="s">
        <v>316</v>
      </c>
      <c r="DN3" s="232" t="s">
        <v>317</v>
      </c>
      <c r="DO3" s="232" t="s">
        <v>318</v>
      </c>
      <c r="DP3" s="232" t="s">
        <v>319</v>
      </c>
      <c r="DQ3" s="232" t="s">
        <v>320</v>
      </c>
      <c r="DR3" s="232" t="s">
        <v>321</v>
      </c>
      <c r="DS3" s="232" t="s">
        <v>322</v>
      </c>
      <c r="DT3" s="232" t="s">
        <v>323</v>
      </c>
      <c r="DU3" s="232" t="s">
        <v>324</v>
      </c>
      <c r="DV3" s="232" t="s">
        <v>71</v>
      </c>
      <c r="DW3" s="232" t="s">
        <v>325</v>
      </c>
      <c r="DX3" s="232" t="s">
        <v>326</v>
      </c>
      <c r="DY3" s="232" t="s">
        <v>109</v>
      </c>
      <c r="DZ3" s="232" t="s">
        <v>327</v>
      </c>
      <c r="EA3" s="232" t="s">
        <v>328</v>
      </c>
      <c r="EB3" s="232" t="s">
        <v>329</v>
      </c>
      <c r="EC3" s="232" t="s">
        <v>330</v>
      </c>
      <c r="ED3" s="232" t="s">
        <v>331</v>
      </c>
      <c r="EE3" s="232" t="s">
        <v>332</v>
      </c>
      <c r="EF3" s="232" t="s">
        <v>333</v>
      </c>
      <c r="EG3" s="232" t="s">
        <v>334</v>
      </c>
      <c r="EH3" s="232" t="s">
        <v>335</v>
      </c>
      <c r="EI3" s="232" t="s">
        <v>320</v>
      </c>
      <c r="EJ3" s="232" t="s">
        <v>336</v>
      </c>
      <c r="EK3" s="232" t="s">
        <v>337</v>
      </c>
      <c r="EL3" s="232" t="s">
        <v>338</v>
      </c>
      <c r="EM3" s="232" t="s">
        <v>339</v>
      </c>
      <c r="EN3" s="232" t="s">
        <v>340</v>
      </c>
      <c r="EO3" s="232" t="s">
        <v>341</v>
      </c>
      <c r="EP3" s="232" t="s">
        <v>342</v>
      </c>
      <c r="EQ3" s="232" t="s">
        <v>343</v>
      </c>
      <c r="ER3" s="232" t="s">
        <v>344</v>
      </c>
      <c r="ES3" s="232" t="s">
        <v>345</v>
      </c>
      <c r="ET3" s="232" t="s">
        <v>346</v>
      </c>
      <c r="EU3" s="232" t="s">
        <v>347</v>
      </c>
      <c r="EV3" s="232" t="s">
        <v>348</v>
      </c>
      <c r="EW3" s="232" t="s">
        <v>349</v>
      </c>
      <c r="EX3" s="232" t="s">
        <v>350</v>
      </c>
      <c r="EY3" s="232" t="s">
        <v>351</v>
      </c>
      <c r="EZ3" s="232" t="s">
        <v>352</v>
      </c>
      <c r="FA3" s="232" t="s">
        <v>353</v>
      </c>
      <c r="FB3" s="232" t="s">
        <v>354</v>
      </c>
      <c r="FC3" s="232" t="s">
        <v>355</v>
      </c>
      <c r="FD3" s="232" t="s">
        <v>356</v>
      </c>
      <c r="FE3" s="232" t="s">
        <v>357</v>
      </c>
      <c r="FF3" s="232" t="s">
        <v>358</v>
      </c>
    </row>
    <row r="4" spans="1:162">
      <c r="A4" s="235" t="s">
        <v>359</v>
      </c>
      <c r="B4" s="235" t="s">
        <v>360</v>
      </c>
      <c r="C4" s="240" t="s">
        <v>361</v>
      </c>
      <c r="D4" s="240" t="s">
        <v>362</v>
      </c>
      <c r="E4" s="240">
        <v>4210</v>
      </c>
      <c r="F4" s="240" t="s">
        <v>363</v>
      </c>
      <c r="G4" s="240" t="s">
        <v>363</v>
      </c>
      <c r="H4" s="240" t="s">
        <v>363</v>
      </c>
      <c r="I4" s="240">
        <v>0.74739999999999995</v>
      </c>
      <c r="J4" s="240">
        <v>0.94059999999999999</v>
      </c>
      <c r="K4" s="241">
        <v>4.4600000000000001E-2</v>
      </c>
      <c r="L4" s="241">
        <v>8.1500000000000003E-2</v>
      </c>
      <c r="M4" s="241">
        <v>7.7999999999999996E-3</v>
      </c>
      <c r="N4" s="241">
        <v>1.01E-2</v>
      </c>
      <c r="O4" s="241">
        <v>4.9599999999999998E-2</v>
      </c>
      <c r="P4" s="241">
        <v>3.7199999999999997E-2</v>
      </c>
      <c r="Q4" s="241">
        <v>7.0099999999999996E-2</v>
      </c>
      <c r="R4" s="241">
        <v>0.24490000000000001</v>
      </c>
      <c r="S4" s="241">
        <v>0.1232</v>
      </c>
      <c r="T4" s="242">
        <v>84151.4</v>
      </c>
      <c r="U4" s="242">
        <v>4217.1499999999996</v>
      </c>
      <c r="V4" s="242">
        <v>24782</v>
      </c>
      <c r="W4" s="242">
        <v>28999.15</v>
      </c>
      <c r="X4" s="242">
        <v>113150.55</v>
      </c>
      <c r="Y4" s="242">
        <v>6764</v>
      </c>
      <c r="Z4" s="242">
        <v>106386.55</v>
      </c>
      <c r="AA4" s="241">
        <v>5.9799999999999999E-2</v>
      </c>
      <c r="AB4" s="240">
        <v>1.99</v>
      </c>
      <c r="AC4" s="241">
        <v>0.64659999999999995</v>
      </c>
      <c r="AD4" s="241">
        <v>0.25629999999999997</v>
      </c>
      <c r="AE4" s="241">
        <v>1.8298000000000001</v>
      </c>
      <c r="AF4" s="241">
        <v>0.34460000000000002</v>
      </c>
      <c r="AG4" s="242">
        <v>99.19</v>
      </c>
      <c r="AH4" s="240">
        <v>31.61</v>
      </c>
      <c r="AI4" s="241">
        <v>-0.14449999999999999</v>
      </c>
      <c r="AJ4" s="240">
        <v>0.78</v>
      </c>
      <c r="AK4" s="241">
        <v>0.38990000000000002</v>
      </c>
      <c r="AL4" s="241">
        <v>0.23449999999999999</v>
      </c>
      <c r="AM4" s="240">
        <v>0.25</v>
      </c>
      <c r="AN4" s="236">
        <v>8.18</v>
      </c>
      <c r="AO4" s="240">
        <v>14.55</v>
      </c>
      <c r="AP4" s="240">
        <v>15.29</v>
      </c>
      <c r="AQ4" s="240">
        <v>14.23</v>
      </c>
      <c r="AR4" s="240">
        <v>14.44</v>
      </c>
      <c r="AS4" s="240">
        <v>2.39</v>
      </c>
      <c r="AT4" s="240">
        <v>5.31</v>
      </c>
      <c r="AU4" s="240">
        <v>4.91</v>
      </c>
      <c r="AV4" s="240">
        <v>0.92</v>
      </c>
      <c r="AW4" s="240">
        <v>13.37</v>
      </c>
      <c r="AX4" s="240">
        <v>8.5500000000000007</v>
      </c>
      <c r="AY4" s="240">
        <v>3.2</v>
      </c>
      <c r="AZ4" s="240">
        <v>1.17</v>
      </c>
      <c r="BA4" s="241">
        <v>0.98060000000000003</v>
      </c>
      <c r="BB4" s="241">
        <v>6.4100000000000004E-2</v>
      </c>
      <c r="BC4" s="241">
        <v>2.2800000000000001E-2</v>
      </c>
      <c r="BD4" s="241">
        <v>-0.21099999999999999</v>
      </c>
      <c r="BE4" s="241">
        <v>3.7199999999999997E-2</v>
      </c>
      <c r="BF4" s="241">
        <v>-3.9800000000000002E-2</v>
      </c>
      <c r="BG4" s="241">
        <v>2.1899999999999999E-2</v>
      </c>
      <c r="BH4" s="241">
        <v>6.08E-2</v>
      </c>
      <c r="BI4" s="241">
        <v>-1.7600000000000001E-2</v>
      </c>
      <c r="BJ4" s="241">
        <v>0.32640000000000002</v>
      </c>
      <c r="BK4" s="241">
        <v>0.1933</v>
      </c>
      <c r="BL4" s="240">
        <v>2.73</v>
      </c>
      <c r="BM4" s="241">
        <v>6.1499999999999999E-2</v>
      </c>
      <c r="BN4" s="241">
        <v>8.8900000000000007E-2</v>
      </c>
      <c r="BO4" s="241">
        <v>0.21690000000000001</v>
      </c>
      <c r="BP4" s="241">
        <v>0.25</v>
      </c>
      <c r="BQ4" s="241">
        <v>0.20480000000000001</v>
      </c>
      <c r="BR4" s="241">
        <v>0.57609999999999995</v>
      </c>
      <c r="BS4" s="242">
        <v>5782</v>
      </c>
      <c r="BT4" s="242">
        <v>5502</v>
      </c>
      <c r="BU4" s="242">
        <v>7953</v>
      </c>
      <c r="BV4" s="242">
        <v>7956.57</v>
      </c>
      <c r="BW4" s="242">
        <v>19410</v>
      </c>
      <c r="BX4" s="242">
        <v>91070</v>
      </c>
      <c r="BY4" s="242">
        <v>89483</v>
      </c>
      <c r="BZ4" s="242">
        <v>11620</v>
      </c>
      <c r="CA4" s="242">
        <v>12448</v>
      </c>
      <c r="CB4" s="242">
        <v>6327.08</v>
      </c>
      <c r="CC4" s="242">
        <v>-2465</v>
      </c>
      <c r="CD4" s="242">
        <v>817</v>
      </c>
      <c r="CE4" s="242">
        <v>5020</v>
      </c>
      <c r="CF4" s="241">
        <v>5.6099999999999997E-2</v>
      </c>
      <c r="CG4" s="242">
        <v>858</v>
      </c>
      <c r="CH4" s="241">
        <v>0.26469999999999999</v>
      </c>
      <c r="CI4" s="242">
        <v>4652.08</v>
      </c>
      <c r="CJ4" s="242">
        <v>6292</v>
      </c>
      <c r="CK4" s="242">
        <v>3827</v>
      </c>
      <c r="CL4" s="242">
        <v>16857</v>
      </c>
      <c r="CM4" s="242">
        <v>32738.15</v>
      </c>
      <c r="CN4" s="242">
        <v>15848</v>
      </c>
      <c r="CO4" s="242">
        <v>33273.15</v>
      </c>
      <c r="CP4" s="242">
        <v>-5395</v>
      </c>
      <c r="CQ4" s="240">
        <v>0.76</v>
      </c>
      <c r="CR4" s="240">
        <v>1.0900000000000001</v>
      </c>
      <c r="CS4" s="240">
        <v>1.1200000000000001</v>
      </c>
      <c r="CT4" s="240">
        <v>0.28000000000000003</v>
      </c>
      <c r="CU4" s="240">
        <v>0.62</v>
      </c>
      <c r="CV4" s="242">
        <v>8983.6</v>
      </c>
      <c r="CW4" s="242">
        <v>6099</v>
      </c>
      <c r="CX4" s="242">
        <v>-6395</v>
      </c>
      <c r="CY4" s="242">
        <v>6919</v>
      </c>
      <c r="CZ4" s="242">
        <v>1417</v>
      </c>
      <c r="DA4" s="242">
        <v>5502</v>
      </c>
      <c r="DB4" s="242">
        <v>84151.4</v>
      </c>
      <c r="DC4" s="242">
        <v>12448</v>
      </c>
      <c r="DD4" s="242">
        <v>106386.55</v>
      </c>
      <c r="DE4" s="242">
        <v>6292</v>
      </c>
      <c r="DF4" s="242">
        <v>0</v>
      </c>
      <c r="DG4" s="242">
        <v>7956.57</v>
      </c>
      <c r="DH4" s="242">
        <v>33273.15</v>
      </c>
      <c r="DI4" s="242">
        <v>11620</v>
      </c>
      <c r="DJ4" s="241">
        <v>0.32640000000000002</v>
      </c>
      <c r="DK4" s="241">
        <v>0.1933</v>
      </c>
      <c r="DL4" s="240">
        <v>9.16</v>
      </c>
      <c r="DM4" s="240">
        <v>3693</v>
      </c>
      <c r="DN4" s="240">
        <v>8505</v>
      </c>
      <c r="DO4" s="240">
        <v>8983.6</v>
      </c>
      <c r="DP4" s="241">
        <v>0.43009999999999998</v>
      </c>
      <c r="DQ4" s="240" t="s">
        <v>364</v>
      </c>
      <c r="DR4" s="240" t="s">
        <v>365</v>
      </c>
      <c r="DS4" s="240" t="s">
        <v>366</v>
      </c>
      <c r="DT4" s="240" t="e">
        <v>#REF!</v>
      </c>
      <c r="DU4" s="240" t="s">
        <v>367</v>
      </c>
      <c r="DV4" s="240" t="s">
        <v>368</v>
      </c>
      <c r="DW4" s="240" t="s">
        <v>369</v>
      </c>
      <c r="DX4" s="240" t="s">
        <v>370</v>
      </c>
      <c r="DY4" s="240" t="s">
        <v>371</v>
      </c>
      <c r="DZ4" s="240">
        <v>113</v>
      </c>
      <c r="EA4" s="241">
        <v>-0.13370000000000001</v>
      </c>
      <c r="EB4" s="241">
        <v>-8.3099999999999993E-2</v>
      </c>
      <c r="EC4" s="241">
        <v>-0.17169999999999999</v>
      </c>
      <c r="ED4" s="241">
        <v>0.18859999999999999</v>
      </c>
      <c r="EE4" s="241">
        <v>-0.218</v>
      </c>
      <c r="EF4" s="241">
        <v>-9.1999999999999998E-3</v>
      </c>
      <c r="EG4" s="241">
        <v>8.6599999999999996E-2</v>
      </c>
      <c r="EH4" s="241">
        <v>8.8999999999999996E-2</v>
      </c>
      <c r="EI4" s="240" t="s">
        <v>364</v>
      </c>
      <c r="EJ4" s="235">
        <v>7953</v>
      </c>
      <c r="EK4" s="235">
        <v>7825</v>
      </c>
      <c r="EL4" s="235" t="s">
        <v>372</v>
      </c>
      <c r="EM4" s="235" t="s">
        <v>373</v>
      </c>
      <c r="EN4" s="235" t="s">
        <v>374</v>
      </c>
      <c r="EO4" s="235" t="s">
        <v>375</v>
      </c>
      <c r="EP4" s="235" t="s">
        <v>376</v>
      </c>
      <c r="EQ4" s="235" t="s">
        <v>377</v>
      </c>
      <c r="ER4" s="235">
        <v>1</v>
      </c>
      <c r="ES4" s="243">
        <v>1.12E-2</v>
      </c>
      <c r="ET4" s="243">
        <v>1.5100000000000001E-2</v>
      </c>
      <c r="EU4" s="244">
        <v>89483</v>
      </c>
      <c r="EV4" s="235" t="s">
        <v>378</v>
      </c>
      <c r="EW4" s="244">
        <v>100041.2</v>
      </c>
      <c r="EX4" s="244">
        <v>185909.5</v>
      </c>
      <c r="EY4" s="244">
        <v>150357.4</v>
      </c>
      <c r="EZ4" s="244">
        <v>133948.29999999999</v>
      </c>
      <c r="FA4" s="244">
        <v>107609.9</v>
      </c>
      <c r="FB4" s="244">
        <v>82278.399999999994</v>
      </c>
      <c r="FC4" s="244">
        <v>0</v>
      </c>
      <c r="FD4" s="243">
        <v>0.81200000000000006</v>
      </c>
      <c r="FE4" s="244">
        <v>2246</v>
      </c>
      <c r="FF4" s="244">
        <v>21975</v>
      </c>
    </row>
    <row r="5" spans="1:162">
      <c r="A5" s="261" t="s">
        <v>379</v>
      </c>
      <c r="B5" s="261" t="s">
        <v>380</v>
      </c>
      <c r="C5" s="262" t="s">
        <v>361</v>
      </c>
      <c r="D5" s="262" t="s">
        <v>362</v>
      </c>
      <c r="E5" s="265">
        <v>4210</v>
      </c>
      <c r="F5" s="262" t="s">
        <v>381</v>
      </c>
      <c r="G5" s="262" t="s">
        <v>382</v>
      </c>
      <c r="H5" s="262" t="s">
        <v>383</v>
      </c>
      <c r="I5" s="265">
        <v>0.74739999999999995</v>
      </c>
      <c r="J5" s="265">
        <v>1.0099</v>
      </c>
      <c r="K5" s="268">
        <v>4.2299999999999997E-2</v>
      </c>
      <c r="L5" s="268">
        <v>8.2199999999999995E-2</v>
      </c>
      <c r="M5" s="265" t="s">
        <v>384</v>
      </c>
      <c r="N5" s="268">
        <v>5.4999999999999997E-3</v>
      </c>
      <c r="O5" s="268">
        <v>4.4999999999999998E-2</v>
      </c>
      <c r="P5" s="268">
        <v>3.15E-2</v>
      </c>
      <c r="Q5" s="268">
        <v>6.5299999999999997E-2</v>
      </c>
      <c r="R5" s="268">
        <v>8.5000000000000006E-2</v>
      </c>
      <c r="S5" s="268">
        <v>3.0200000000000001E-2</v>
      </c>
      <c r="T5" s="269">
        <v>61526.6</v>
      </c>
      <c r="U5" s="269">
        <v>0</v>
      </c>
      <c r="V5" s="269">
        <v>30835.4</v>
      </c>
      <c r="W5" s="269">
        <v>30835.4</v>
      </c>
      <c r="X5" s="269">
        <v>92362</v>
      </c>
      <c r="Y5" s="269">
        <v>4165.2</v>
      </c>
      <c r="Z5" s="269">
        <v>88196.800000000003</v>
      </c>
      <c r="AA5" s="268">
        <v>4.5100000000000001E-2</v>
      </c>
      <c r="AB5" s="265">
        <v>0.49</v>
      </c>
      <c r="AC5" s="268">
        <v>0.54620000000000002</v>
      </c>
      <c r="AD5" s="268">
        <v>0.33389999999999997</v>
      </c>
      <c r="AE5" s="268">
        <v>1.2034</v>
      </c>
      <c r="AF5" s="268">
        <v>0.50119999999999998</v>
      </c>
      <c r="AG5" s="269">
        <v>54.97</v>
      </c>
      <c r="AH5" s="265">
        <v>50.04</v>
      </c>
      <c r="AI5" s="268">
        <v>-0.1489</v>
      </c>
      <c r="AJ5" s="265">
        <v>2.1</v>
      </c>
      <c r="AK5" s="268">
        <v>0.60329999999999995</v>
      </c>
      <c r="AL5" s="268">
        <v>0.23069999999999999</v>
      </c>
      <c r="AM5" s="265">
        <v>0.21</v>
      </c>
      <c r="AN5" s="270">
        <v>5.12</v>
      </c>
      <c r="AO5" s="265">
        <v>17.84</v>
      </c>
      <c r="AP5" s="265">
        <v>14.82</v>
      </c>
      <c r="AQ5" s="265">
        <v>12.88</v>
      </c>
      <c r="AR5" s="265">
        <v>14.47</v>
      </c>
      <c r="AS5" s="265">
        <v>1.88</v>
      </c>
      <c r="AT5" s="265">
        <v>2.4</v>
      </c>
      <c r="AU5" s="265">
        <v>1.77</v>
      </c>
      <c r="AV5" s="265">
        <v>0.7</v>
      </c>
      <c r="AW5" s="265">
        <v>13.58</v>
      </c>
      <c r="AX5" s="265">
        <v>9.49</v>
      </c>
      <c r="AY5" s="265">
        <v>1.69</v>
      </c>
      <c r="AZ5" s="265">
        <v>1</v>
      </c>
      <c r="BA5" s="268">
        <v>0.59989999999999999</v>
      </c>
      <c r="BB5" s="268">
        <v>4.0500000000000001E-2</v>
      </c>
      <c r="BC5" s="268">
        <v>0.38469999999999999</v>
      </c>
      <c r="BD5" s="268">
        <v>-0.13700000000000001</v>
      </c>
      <c r="BE5" s="268">
        <v>6.9000000000000006E-2</v>
      </c>
      <c r="BF5" s="268">
        <v>-3.78E-2</v>
      </c>
      <c r="BG5" s="268">
        <v>5.33E-2</v>
      </c>
      <c r="BH5" s="268">
        <v>9.5100000000000004E-2</v>
      </c>
      <c r="BI5" s="268">
        <v>7.4000000000000003E-3</v>
      </c>
      <c r="BJ5" s="268">
        <v>0.16719999999999999</v>
      </c>
      <c r="BK5" s="268">
        <v>9.5500000000000002E-2</v>
      </c>
      <c r="BL5" s="265">
        <v>2.06</v>
      </c>
      <c r="BM5" s="268">
        <v>4.2099999999999999E-2</v>
      </c>
      <c r="BN5" s="268">
        <v>6.59E-2</v>
      </c>
      <c r="BO5" s="268">
        <v>0.1716</v>
      </c>
      <c r="BP5" s="268">
        <v>0.29930000000000001</v>
      </c>
      <c r="BQ5" s="268">
        <v>0.29520000000000002</v>
      </c>
      <c r="BR5" s="268">
        <v>0.35410000000000003</v>
      </c>
      <c r="BS5" s="269">
        <v>3449.6</v>
      </c>
      <c r="BT5" s="269">
        <v>4152.3</v>
      </c>
      <c r="BU5" s="269">
        <v>6496.5</v>
      </c>
      <c r="BV5" s="269">
        <v>6496.5</v>
      </c>
      <c r="BW5" s="269">
        <v>16926</v>
      </c>
      <c r="BX5" s="269">
        <v>87764.800000000003</v>
      </c>
      <c r="BY5" s="269">
        <v>98619</v>
      </c>
      <c r="BZ5" s="269">
        <v>7838.3</v>
      </c>
      <c r="CA5" s="269">
        <v>9298.4</v>
      </c>
      <c r="CB5" s="269">
        <v>4578.8</v>
      </c>
      <c r="CC5" s="269">
        <v>583.1</v>
      </c>
      <c r="CD5" s="269">
        <v>768.5</v>
      </c>
      <c r="CE5" s="269">
        <v>-287.39999999999998</v>
      </c>
      <c r="CF5" s="268">
        <v>-2.8999999999999998E-3</v>
      </c>
      <c r="CG5" s="269">
        <v>-2012.2</v>
      </c>
      <c r="CH5" s="268">
        <v>-0.27160000000000001</v>
      </c>
      <c r="CI5" s="269">
        <v>5822.5</v>
      </c>
      <c r="CJ5" s="269">
        <v>4812.8999999999996</v>
      </c>
      <c r="CK5" s="269">
        <v>5396</v>
      </c>
      <c r="CL5" s="269">
        <v>24829.4</v>
      </c>
      <c r="CM5" s="269">
        <v>47936.7</v>
      </c>
      <c r="CN5" s="269">
        <v>25623.599999999999</v>
      </c>
      <c r="CO5" s="269">
        <v>52293.8</v>
      </c>
      <c r="CP5" s="269">
        <v>-2490.9</v>
      </c>
      <c r="CQ5" s="265">
        <v>1.1599999999999999</v>
      </c>
      <c r="CR5" s="265">
        <v>1.1499999999999999</v>
      </c>
      <c r="CS5" s="265">
        <v>0.55000000000000004</v>
      </c>
      <c r="CT5" s="265">
        <v>0.46</v>
      </c>
      <c r="CU5" s="265">
        <v>0.39</v>
      </c>
      <c r="CV5" s="269">
        <v>5088.5200000000004</v>
      </c>
      <c r="CW5" s="269">
        <v>3579.49</v>
      </c>
      <c r="CX5" s="269">
        <v>-4446.8</v>
      </c>
      <c r="CY5" s="269">
        <v>6212.6</v>
      </c>
      <c r="CZ5" s="269">
        <v>1833.9</v>
      </c>
      <c r="DA5" s="269">
        <v>4152.3</v>
      </c>
      <c r="DB5" s="269">
        <v>61526.6</v>
      </c>
      <c r="DC5" s="269">
        <v>9298.4</v>
      </c>
      <c r="DD5" s="269">
        <v>88196.800000000003</v>
      </c>
      <c r="DE5" s="269">
        <v>4812.8999999999996</v>
      </c>
      <c r="DF5" s="269">
        <v>310.32</v>
      </c>
      <c r="DG5" s="269">
        <v>6508</v>
      </c>
      <c r="DH5" s="269">
        <v>52604.12</v>
      </c>
      <c r="DI5" s="269">
        <v>7946.2</v>
      </c>
      <c r="DJ5" s="268">
        <v>0.1656</v>
      </c>
      <c r="DK5" s="268">
        <v>9.5100000000000004E-2</v>
      </c>
      <c r="DL5" s="265">
        <v>11.1</v>
      </c>
      <c r="DM5" s="265">
        <v>5697.5</v>
      </c>
      <c r="DN5" s="265">
        <v>801.3</v>
      </c>
      <c r="DO5" s="265">
        <v>5088.5200000000004</v>
      </c>
      <c r="DP5" s="268">
        <v>0.19170000000000001</v>
      </c>
      <c r="DQ5" s="265" t="s">
        <v>385</v>
      </c>
      <c r="DR5" s="265" t="s">
        <v>386</v>
      </c>
      <c r="DS5" s="265" t="s">
        <v>387</v>
      </c>
      <c r="DT5" s="265" t="e">
        <v>#REF!</v>
      </c>
      <c r="DU5" s="265" t="s">
        <v>388</v>
      </c>
      <c r="DV5" s="265" t="s">
        <v>389</v>
      </c>
      <c r="DW5" s="265" t="s">
        <v>390</v>
      </c>
      <c r="DX5" s="265" t="s">
        <v>391</v>
      </c>
      <c r="DY5" s="265" t="s">
        <v>392</v>
      </c>
      <c r="DZ5" s="265">
        <v>25</v>
      </c>
      <c r="EA5" s="268">
        <v>0.20899999999999999</v>
      </c>
      <c r="EB5" s="268">
        <v>6.5299999999999997E-2</v>
      </c>
      <c r="EC5" s="268">
        <v>-4.2500000000000003E-2</v>
      </c>
      <c r="ED5" s="268">
        <v>0.23</v>
      </c>
      <c r="EE5" s="268">
        <v>0.51670000000000005</v>
      </c>
      <c r="EF5" s="268">
        <v>-6.4000000000000003E-3</v>
      </c>
      <c r="EG5" s="268">
        <v>6.3700000000000007E-2</v>
      </c>
      <c r="EH5" s="268">
        <v>6.6000000000000003E-2</v>
      </c>
      <c r="EI5" s="265" t="s">
        <v>385</v>
      </c>
      <c r="EJ5" s="271">
        <v>6496.5</v>
      </c>
      <c r="EK5" s="271">
        <v>6323</v>
      </c>
      <c r="EL5" s="271" t="s">
        <v>393</v>
      </c>
      <c r="EM5" s="271" t="s">
        <v>394</v>
      </c>
      <c r="EN5" s="271" t="s">
        <v>395</v>
      </c>
      <c r="EO5" s="271" t="s">
        <v>396</v>
      </c>
      <c r="EP5" s="271" t="s">
        <v>397</v>
      </c>
      <c r="EQ5" s="271" t="s">
        <v>398</v>
      </c>
      <c r="ER5" s="271">
        <v>1</v>
      </c>
      <c r="ES5" s="272">
        <v>3.7400000000000003E-2</v>
      </c>
      <c r="ET5" s="272">
        <v>2.07E-2</v>
      </c>
      <c r="EU5" s="273">
        <v>98619</v>
      </c>
      <c r="EV5" s="271" t="s">
        <v>397</v>
      </c>
      <c r="EW5" s="273">
        <v>39376.300000000003</v>
      </c>
      <c r="EX5" s="273">
        <v>78398</v>
      </c>
      <c r="EY5" s="273">
        <v>45307.3</v>
      </c>
      <c r="EZ5" s="273">
        <v>58616.6</v>
      </c>
      <c r="FA5" s="273">
        <v>40566.199999999997</v>
      </c>
      <c r="FB5" s="273">
        <v>44432.800000000003</v>
      </c>
      <c r="FC5" s="273">
        <v>0</v>
      </c>
      <c r="FD5" s="272">
        <v>0.309</v>
      </c>
      <c r="FE5" s="273">
        <v>0</v>
      </c>
      <c r="FF5" s="273">
        <v>11296.5</v>
      </c>
    </row>
    <row r="6" spans="1:162">
      <c r="A6" s="261" t="s">
        <v>432</v>
      </c>
      <c r="B6" s="261" t="s">
        <v>433</v>
      </c>
      <c r="C6" s="262" t="s">
        <v>401</v>
      </c>
      <c r="D6" s="262" t="s">
        <v>362</v>
      </c>
      <c r="E6" s="265">
        <v>4210</v>
      </c>
      <c r="F6" s="262" t="s">
        <v>434</v>
      </c>
      <c r="G6" s="262" t="s">
        <v>435</v>
      </c>
      <c r="H6" s="262" t="s">
        <v>434</v>
      </c>
      <c r="I6" s="265">
        <v>0.66930000000000001</v>
      </c>
      <c r="J6" s="265">
        <v>0.84319999999999995</v>
      </c>
      <c r="K6" s="268">
        <v>4.2299999999999997E-2</v>
      </c>
      <c r="L6" s="268">
        <v>7.5200000000000003E-2</v>
      </c>
      <c r="M6" s="265" t="s">
        <v>384</v>
      </c>
      <c r="N6" s="268">
        <v>8.8999999999999999E-3</v>
      </c>
      <c r="O6" s="268">
        <v>4.8399999999999999E-2</v>
      </c>
      <c r="P6" s="268">
        <v>3.5700000000000003E-2</v>
      </c>
      <c r="Q6" s="268">
        <v>6.4899999999999999E-2</v>
      </c>
      <c r="R6" s="268">
        <v>4.3700000000000003E-2</v>
      </c>
      <c r="S6" s="268">
        <v>4.9599999999999998E-2</v>
      </c>
      <c r="T6" s="269">
        <v>8514.2999999999993</v>
      </c>
      <c r="U6" s="269">
        <v>0</v>
      </c>
      <c r="V6" s="269">
        <v>2994.2</v>
      </c>
      <c r="W6" s="269">
        <v>2994.2</v>
      </c>
      <c r="X6" s="269">
        <v>11508.5</v>
      </c>
      <c r="Y6" s="269">
        <v>31.6</v>
      </c>
      <c r="Z6" s="269">
        <v>11476.9</v>
      </c>
      <c r="AA6" s="268">
        <v>2.7000000000000001E-3</v>
      </c>
      <c r="AB6" s="265">
        <v>0.84</v>
      </c>
      <c r="AC6" s="268">
        <v>0.53159999999999996</v>
      </c>
      <c r="AD6" s="268">
        <v>0.26019999999999999</v>
      </c>
      <c r="AE6" s="268">
        <v>1.1348</v>
      </c>
      <c r="AF6" s="268">
        <v>0.35170000000000001</v>
      </c>
      <c r="AG6" s="269">
        <v>103.47</v>
      </c>
      <c r="AH6" s="265">
        <v>16.54</v>
      </c>
      <c r="AI6" s="268">
        <v>0.11990000000000001</v>
      </c>
      <c r="AJ6" s="265">
        <v>1.52</v>
      </c>
      <c r="AK6" s="268">
        <v>0.35210000000000002</v>
      </c>
      <c r="AL6" s="268">
        <v>0.38850000000000001</v>
      </c>
      <c r="AM6" s="265">
        <v>0.33</v>
      </c>
      <c r="AN6" s="270">
        <v>3.89</v>
      </c>
      <c r="AO6" s="265">
        <v>20.149999999999999</v>
      </c>
      <c r="AP6" s="265">
        <v>26.04</v>
      </c>
      <c r="AQ6" s="265">
        <v>16.170000000000002</v>
      </c>
      <c r="AR6" s="265">
        <v>22.16</v>
      </c>
      <c r="AS6" s="265">
        <v>2.48</v>
      </c>
      <c r="AT6" s="265">
        <v>3.23</v>
      </c>
      <c r="AU6" s="265">
        <v>2.56</v>
      </c>
      <c r="AV6" s="265">
        <v>1.01</v>
      </c>
      <c r="AW6" s="265">
        <v>19.7</v>
      </c>
      <c r="AX6" s="265">
        <v>11.36</v>
      </c>
      <c r="AY6" s="265">
        <v>3.17</v>
      </c>
      <c r="AZ6" s="265">
        <v>1.37</v>
      </c>
      <c r="BA6" s="268">
        <v>0.4511</v>
      </c>
      <c r="BB6" s="268">
        <v>1.7299999999999999E-2</v>
      </c>
      <c r="BC6" s="268">
        <v>0.246</v>
      </c>
      <c r="BD6" s="268">
        <v>-0.26200000000000001</v>
      </c>
      <c r="BE6" s="268">
        <v>5.8299999999999998E-2</v>
      </c>
      <c r="BF6" s="268">
        <v>-3.6499999999999998E-2</v>
      </c>
      <c r="BG6" s="268">
        <v>0.17100000000000001</v>
      </c>
      <c r="BH6" s="268">
        <v>8.14E-2</v>
      </c>
      <c r="BI6" s="268">
        <v>-1.7999999999999999E-2</v>
      </c>
      <c r="BJ6" s="268">
        <v>0.1188</v>
      </c>
      <c r="BK6" s="268">
        <v>0.1145</v>
      </c>
      <c r="BL6" s="265">
        <v>2.1</v>
      </c>
      <c r="BM6" s="268">
        <v>4.0599999999999997E-2</v>
      </c>
      <c r="BN6" s="268">
        <v>7.2400000000000006E-2</v>
      </c>
      <c r="BO6" s="268">
        <v>0.20169999999999999</v>
      </c>
      <c r="BP6" s="268">
        <v>0.26140000000000002</v>
      </c>
      <c r="BQ6" s="268">
        <v>0.24529999999999999</v>
      </c>
      <c r="BR6" s="268">
        <v>0.70350000000000001</v>
      </c>
      <c r="BS6" s="269">
        <v>422.5</v>
      </c>
      <c r="BT6" s="269">
        <v>327</v>
      </c>
      <c r="BU6" s="269">
        <v>582.5</v>
      </c>
      <c r="BV6" s="269">
        <v>582.5</v>
      </c>
      <c r="BW6" s="269">
        <v>1623</v>
      </c>
      <c r="BX6" s="269">
        <v>8396.7999999999993</v>
      </c>
      <c r="BY6" s="269">
        <v>8047.6</v>
      </c>
      <c r="BZ6" s="269">
        <v>1118.5999999999999</v>
      </c>
      <c r="CA6" s="269">
        <v>1010.7</v>
      </c>
      <c r="CB6" s="269">
        <v>439.6</v>
      </c>
      <c r="CC6" s="269">
        <v>329.6</v>
      </c>
      <c r="CD6" s="269">
        <v>-92.04</v>
      </c>
      <c r="CE6" s="269">
        <v>239</v>
      </c>
      <c r="CF6" s="268">
        <v>2.9700000000000001E-2</v>
      </c>
      <c r="CG6" s="269">
        <v>-303.10000000000002</v>
      </c>
      <c r="CH6" s="268">
        <v>-0.89890000000000003</v>
      </c>
      <c r="CI6" s="269">
        <v>834.74</v>
      </c>
      <c r="CJ6" s="269">
        <v>392.54</v>
      </c>
      <c r="CK6" s="269">
        <v>722.14</v>
      </c>
      <c r="CL6" s="269">
        <v>2751.9</v>
      </c>
      <c r="CM6" s="269">
        <v>3839.4</v>
      </c>
      <c r="CN6" s="269">
        <v>2638.6</v>
      </c>
      <c r="CO6" s="269">
        <v>3615.7</v>
      </c>
      <c r="CP6" s="269">
        <v>-147.5</v>
      </c>
      <c r="CQ6" s="265">
        <v>1.1399999999999999</v>
      </c>
      <c r="CR6" s="265">
        <v>1.32</v>
      </c>
      <c r="CS6" s="265">
        <v>0.79</v>
      </c>
      <c r="CT6" s="265">
        <v>0.6</v>
      </c>
      <c r="CU6" s="265">
        <v>0.67</v>
      </c>
      <c r="CV6" s="269">
        <v>456.95</v>
      </c>
      <c r="CW6" s="269">
        <v>391.77</v>
      </c>
      <c r="CX6" s="269">
        <v>-415.5</v>
      </c>
      <c r="CY6" s="269">
        <v>433.3</v>
      </c>
      <c r="CZ6" s="269">
        <v>106.3</v>
      </c>
      <c r="DA6" s="269">
        <v>327</v>
      </c>
      <c r="DB6" s="269">
        <v>8514.2999999999993</v>
      </c>
      <c r="DC6" s="269">
        <v>1010.7</v>
      </c>
      <c r="DD6" s="269">
        <v>11476.9</v>
      </c>
      <c r="DE6" s="269">
        <v>392.54</v>
      </c>
      <c r="DF6" s="269">
        <v>0</v>
      </c>
      <c r="DG6" s="269">
        <v>582.5</v>
      </c>
      <c r="DH6" s="269">
        <v>3615.7</v>
      </c>
      <c r="DI6" s="269">
        <v>1118.5999999999999</v>
      </c>
      <c r="DJ6" s="268">
        <v>0.1188</v>
      </c>
      <c r="DK6" s="268">
        <v>0.1145</v>
      </c>
      <c r="DL6" s="265">
        <v>10.26</v>
      </c>
      <c r="DM6" s="265">
        <v>615.29999999999995</v>
      </c>
      <c r="DN6" s="265">
        <v>1365.1</v>
      </c>
      <c r="DO6" s="265">
        <v>456.95</v>
      </c>
      <c r="DP6" s="268">
        <v>0.1835</v>
      </c>
      <c r="DQ6" s="269">
        <v>-175.2</v>
      </c>
      <c r="DR6" s="265" t="s">
        <v>436</v>
      </c>
      <c r="DS6" s="265" t="s">
        <v>437</v>
      </c>
      <c r="DT6" s="265" t="e">
        <v>#REF!</v>
      </c>
      <c r="DU6" s="265" t="s">
        <v>438</v>
      </c>
      <c r="DV6" s="265" t="s">
        <v>439</v>
      </c>
      <c r="DW6" s="265" t="s">
        <v>440</v>
      </c>
      <c r="DX6" s="265" t="s">
        <v>441</v>
      </c>
      <c r="DY6" s="265" t="s">
        <v>442</v>
      </c>
      <c r="DZ6" s="265">
        <v>63</v>
      </c>
      <c r="EA6" s="268">
        <v>-0.4284</v>
      </c>
      <c r="EB6" s="268">
        <v>0.15240000000000001</v>
      </c>
      <c r="EC6" s="268">
        <v>-0.03</v>
      </c>
      <c r="ED6" s="268">
        <v>0.1663</v>
      </c>
      <c r="EE6" s="268">
        <v>-0.25480000000000003</v>
      </c>
      <c r="EF6" s="268">
        <v>-2.6100000000000002E-2</v>
      </c>
      <c r="EG6" s="268">
        <v>7.6300000000000007E-2</v>
      </c>
      <c r="EH6" s="268">
        <v>7.1999999999999995E-2</v>
      </c>
      <c r="EI6" s="269">
        <v>-175.2</v>
      </c>
      <c r="EJ6" s="271">
        <v>582.5</v>
      </c>
      <c r="EK6" s="271">
        <v>630.1</v>
      </c>
      <c r="EL6" s="271" t="s">
        <v>443</v>
      </c>
      <c r="EM6" s="271" t="s">
        <v>444</v>
      </c>
      <c r="EN6" s="271" t="s">
        <v>445</v>
      </c>
      <c r="EO6" s="271" t="s">
        <v>446</v>
      </c>
      <c r="EP6" s="271" t="s">
        <v>447</v>
      </c>
      <c r="EQ6" s="271" t="s">
        <v>448</v>
      </c>
      <c r="ER6" s="271">
        <v>1</v>
      </c>
      <c r="ES6" s="272">
        <v>0.16309999999999999</v>
      </c>
      <c r="ET6" s="272">
        <v>3.1899999999999998E-2</v>
      </c>
      <c r="EU6" s="273">
        <v>8047.6</v>
      </c>
      <c r="EV6" s="271" t="s">
        <v>447</v>
      </c>
      <c r="EW6" s="273">
        <v>2371.1</v>
      </c>
      <c r="EX6" s="273">
        <v>10244.700000000001</v>
      </c>
      <c r="EY6" s="273">
        <v>8735.2000000000007</v>
      </c>
      <c r="EZ6" s="273">
        <v>11566.7</v>
      </c>
      <c r="FA6" s="273">
        <v>11425.7</v>
      </c>
      <c r="FB6" s="273">
        <v>6833.2</v>
      </c>
      <c r="FC6" s="273">
        <v>0</v>
      </c>
      <c r="FD6" s="272">
        <v>0.55400000000000005</v>
      </c>
      <c r="FE6" s="273">
        <v>275.10000000000002</v>
      </c>
      <c r="FF6" s="273">
        <v>1851.3</v>
      </c>
    </row>
    <row r="7" spans="1:162" ht="16" customHeight="1">
      <c r="A7" s="261" t="s">
        <v>399</v>
      </c>
      <c r="B7" s="261" t="s">
        <v>400</v>
      </c>
      <c r="C7" s="262" t="s">
        <v>401</v>
      </c>
      <c r="D7" s="262" t="s">
        <v>362</v>
      </c>
      <c r="E7" s="265">
        <v>4210</v>
      </c>
      <c r="F7" s="262" t="s">
        <v>363</v>
      </c>
      <c r="G7" s="262" t="s">
        <v>363</v>
      </c>
      <c r="H7" s="262" t="s">
        <v>363</v>
      </c>
      <c r="I7" s="265">
        <v>0.66930000000000001</v>
      </c>
      <c r="J7" s="265">
        <v>0.67220000000000002</v>
      </c>
      <c r="K7" s="268">
        <v>4.4600000000000001E-2</v>
      </c>
      <c r="L7" s="268">
        <v>6.9500000000000006E-2</v>
      </c>
      <c r="M7" s="265" t="s">
        <v>384</v>
      </c>
      <c r="N7" s="268">
        <v>1.12E-2</v>
      </c>
      <c r="O7" s="268">
        <v>5.0700000000000002E-2</v>
      </c>
      <c r="P7" s="268">
        <v>3.7999999999999999E-2</v>
      </c>
      <c r="Q7" s="268">
        <v>6.93E-2</v>
      </c>
      <c r="R7" s="268">
        <v>0.1837</v>
      </c>
      <c r="S7" s="268">
        <v>0.17829999999999999</v>
      </c>
      <c r="T7" s="269">
        <v>32786.6</v>
      </c>
      <c r="U7" s="269">
        <v>105.06</v>
      </c>
      <c r="V7" s="269">
        <v>85</v>
      </c>
      <c r="W7" s="269">
        <v>190.06</v>
      </c>
      <c r="X7" s="269">
        <v>32976.660000000003</v>
      </c>
      <c r="Y7" s="269">
        <v>46.6</v>
      </c>
      <c r="Z7" s="269">
        <v>32930.06</v>
      </c>
      <c r="AA7" s="268">
        <v>1.4E-3</v>
      </c>
      <c r="AB7" s="265">
        <v>2.34</v>
      </c>
      <c r="AC7" s="268">
        <v>4.2700000000000002E-2</v>
      </c>
      <c r="AD7" s="268">
        <v>5.7999999999999996E-3</v>
      </c>
      <c r="AE7" s="268">
        <v>4.4600000000000001E-2</v>
      </c>
      <c r="AF7" s="268">
        <v>5.7999999999999996E-3</v>
      </c>
      <c r="AG7" s="269">
        <v>156.80000000000001</v>
      </c>
      <c r="AH7" s="265">
        <v>31.61</v>
      </c>
      <c r="AI7" s="268">
        <v>4.2700000000000002E-2</v>
      </c>
      <c r="AJ7" s="265">
        <v>1.01</v>
      </c>
      <c r="AK7" s="268">
        <v>0.45279999999999998</v>
      </c>
      <c r="AL7" s="268">
        <v>0.27829999999999999</v>
      </c>
      <c r="AM7" s="265">
        <v>0.25</v>
      </c>
      <c r="AN7" s="270">
        <v>37589.19</v>
      </c>
      <c r="AO7" s="265">
        <v>27.64</v>
      </c>
      <c r="AP7" s="265">
        <v>31.01</v>
      </c>
      <c r="AQ7" s="265">
        <v>27.28</v>
      </c>
      <c r="AR7" s="265">
        <v>32.07</v>
      </c>
      <c r="AS7" s="265">
        <v>2.4900000000000002</v>
      </c>
      <c r="AT7" s="265">
        <v>7.69</v>
      </c>
      <c r="AU7" s="265">
        <v>7.62</v>
      </c>
      <c r="AV7" s="265">
        <v>5.64</v>
      </c>
      <c r="AW7" s="265">
        <v>23.69</v>
      </c>
      <c r="AX7" s="265">
        <v>18.579999999999998</v>
      </c>
      <c r="AY7" s="265">
        <v>7.47</v>
      </c>
      <c r="AZ7" s="265">
        <v>5.66</v>
      </c>
      <c r="BA7" s="268">
        <v>0.22</v>
      </c>
      <c r="BB7" s="268">
        <v>7.1000000000000004E-3</v>
      </c>
      <c r="BC7" s="268">
        <v>1.3299999999999999E-2</v>
      </c>
      <c r="BD7" s="268">
        <v>-7.4099999999999999E-2</v>
      </c>
      <c r="BE7" s="268">
        <v>0.11</v>
      </c>
      <c r="BF7" s="268">
        <v>-3.3700000000000001E-2</v>
      </c>
      <c r="BG7" s="268">
        <v>7.1300000000000002E-2</v>
      </c>
      <c r="BH7" s="268">
        <v>0.111</v>
      </c>
      <c r="BI7" s="268">
        <v>-1.38E-2</v>
      </c>
      <c r="BJ7" s="268">
        <v>0.25319999999999998</v>
      </c>
      <c r="BK7" s="268">
        <v>0.24759999999999999</v>
      </c>
      <c r="BL7" s="265">
        <v>1.31</v>
      </c>
      <c r="BM7" s="268">
        <v>0.18970000000000001</v>
      </c>
      <c r="BN7" s="268">
        <v>0.24940000000000001</v>
      </c>
      <c r="BO7" s="268">
        <v>0.39300000000000002</v>
      </c>
      <c r="BP7" s="268">
        <v>0.25</v>
      </c>
      <c r="BQ7" s="268">
        <v>0.24010000000000001</v>
      </c>
      <c r="BR7" s="268">
        <v>0.77980000000000005</v>
      </c>
      <c r="BS7" s="269">
        <v>1186.0999999999999</v>
      </c>
      <c r="BT7" s="269">
        <v>1057.4000000000001</v>
      </c>
      <c r="BU7" s="269">
        <v>1390.8</v>
      </c>
      <c r="BV7" s="269">
        <v>1390.29</v>
      </c>
      <c r="BW7" s="269">
        <v>2190.6999999999998</v>
      </c>
      <c r="BX7" s="269">
        <v>5814.8</v>
      </c>
      <c r="BY7" s="269">
        <v>5574.9</v>
      </c>
      <c r="BZ7" s="269">
        <v>1888.6</v>
      </c>
      <c r="CA7" s="269">
        <v>1772.1</v>
      </c>
      <c r="CB7" s="269">
        <v>1056.53</v>
      </c>
      <c r="CC7" s="269">
        <v>-25</v>
      </c>
      <c r="CD7" s="269">
        <v>-53.1</v>
      </c>
      <c r="CE7" s="269">
        <v>437.1</v>
      </c>
      <c r="CF7" s="268">
        <v>7.8399999999999997E-2</v>
      </c>
      <c r="CG7" s="269">
        <v>179.4</v>
      </c>
      <c r="CH7" s="268">
        <v>0.1195</v>
      </c>
      <c r="CI7" s="269">
        <v>930.23</v>
      </c>
      <c r="CJ7" s="269">
        <v>956.1</v>
      </c>
      <c r="CK7" s="269">
        <v>931.1</v>
      </c>
      <c r="CL7" s="269">
        <v>4175.7</v>
      </c>
      <c r="CM7" s="269">
        <v>4266.5600000000004</v>
      </c>
      <c r="CN7" s="269">
        <v>4263.2</v>
      </c>
      <c r="CO7" s="269">
        <v>4406.66</v>
      </c>
      <c r="CP7" s="269">
        <v>-232.6</v>
      </c>
      <c r="CQ7" s="265">
        <v>1.05</v>
      </c>
      <c r="CR7" s="265">
        <v>1.27</v>
      </c>
      <c r="CS7" s="265">
        <v>1.1200000000000001</v>
      </c>
      <c r="CT7" s="265">
        <v>0.48</v>
      </c>
      <c r="CU7" s="265">
        <v>0.51</v>
      </c>
      <c r="CV7" s="269">
        <v>1051.75</v>
      </c>
      <c r="CW7" s="269">
        <v>734.37</v>
      </c>
      <c r="CX7" s="269">
        <v>-1020.5</v>
      </c>
      <c r="CY7" s="269">
        <v>1391.3</v>
      </c>
      <c r="CZ7" s="269">
        <v>334</v>
      </c>
      <c r="DA7" s="269">
        <v>1057.4000000000001</v>
      </c>
      <c r="DB7" s="269">
        <v>32786.6</v>
      </c>
      <c r="DC7" s="269">
        <v>1772.1</v>
      </c>
      <c r="DD7" s="269">
        <v>32930.06</v>
      </c>
      <c r="DE7" s="269">
        <v>956.1</v>
      </c>
      <c r="DF7" s="269">
        <v>0</v>
      </c>
      <c r="DG7" s="269">
        <v>1390.29</v>
      </c>
      <c r="DH7" s="269">
        <v>4406.66</v>
      </c>
      <c r="DI7" s="269">
        <v>1888.6</v>
      </c>
      <c r="DJ7" s="268">
        <v>0.25319999999999998</v>
      </c>
      <c r="DK7" s="268">
        <v>0.24759999999999999</v>
      </c>
      <c r="DL7" s="265">
        <v>17.440000000000001</v>
      </c>
      <c r="DM7" s="265">
        <v>360.8</v>
      </c>
      <c r="DN7" s="265">
        <v>1595.5</v>
      </c>
      <c r="DO7" s="265">
        <v>1051.75</v>
      </c>
      <c r="DP7" s="268">
        <v>0.35049999999999998</v>
      </c>
      <c r="DQ7" s="265" t="s">
        <v>402</v>
      </c>
      <c r="DR7" s="265" t="s">
        <v>403</v>
      </c>
      <c r="DS7" s="265" t="s">
        <v>404</v>
      </c>
      <c r="DT7" s="265" t="e">
        <v>#REF!</v>
      </c>
      <c r="DU7" s="265" t="s">
        <v>388</v>
      </c>
      <c r="DV7" s="265" t="s">
        <v>405</v>
      </c>
      <c r="DW7" s="265" t="s">
        <v>406</v>
      </c>
      <c r="DX7" s="265" t="s">
        <v>407</v>
      </c>
      <c r="DY7" s="265" t="s">
        <v>408</v>
      </c>
      <c r="DZ7" s="265">
        <v>86</v>
      </c>
      <c r="EA7" s="268">
        <v>-6.6299999999999998E-2</v>
      </c>
      <c r="EB7" s="268">
        <v>-2.47E-2</v>
      </c>
      <c r="EC7" s="268">
        <v>-0.13730000000000001</v>
      </c>
      <c r="ED7" s="268">
        <v>0.1081</v>
      </c>
      <c r="EE7" s="268">
        <v>-0.12939999999999999</v>
      </c>
      <c r="EF7" s="268">
        <v>-1.1299999999999999E-2</v>
      </c>
      <c r="EG7" s="268">
        <v>0.25390000000000001</v>
      </c>
      <c r="EH7" s="268">
        <v>0.249</v>
      </c>
      <c r="EI7" s="265" t="s">
        <v>402</v>
      </c>
      <c r="EJ7" s="271">
        <v>1390.8</v>
      </c>
      <c r="EK7" s="271">
        <v>1431.8</v>
      </c>
      <c r="EL7" s="271" t="s">
        <v>409</v>
      </c>
      <c r="EM7" s="271" t="s">
        <v>410</v>
      </c>
      <c r="EN7" s="271" t="s">
        <v>411</v>
      </c>
      <c r="EO7" s="271" t="s">
        <v>412</v>
      </c>
      <c r="EP7" s="271" t="s">
        <v>376</v>
      </c>
      <c r="EQ7" s="271" t="s">
        <v>377</v>
      </c>
      <c r="ER7" s="271">
        <v>1</v>
      </c>
      <c r="ES7" s="272">
        <v>6.7799999999999999E-2</v>
      </c>
      <c r="ET7" s="272">
        <v>3.7100000000000001E-2</v>
      </c>
      <c r="EU7" s="273">
        <v>5574.9</v>
      </c>
      <c r="EV7" s="271" t="s">
        <v>413</v>
      </c>
      <c r="EW7" s="273">
        <v>7072.5</v>
      </c>
      <c r="EX7" s="273">
        <v>40975</v>
      </c>
      <c r="EY7" s="273">
        <v>31352.5</v>
      </c>
      <c r="EZ7" s="273">
        <v>44227</v>
      </c>
      <c r="FA7" s="273">
        <v>37661</v>
      </c>
      <c r="FB7" s="273">
        <v>32355.7</v>
      </c>
      <c r="FC7" s="273">
        <v>0</v>
      </c>
      <c r="FD7" s="272">
        <v>0.35599999999999998</v>
      </c>
      <c r="FE7" s="273">
        <v>45</v>
      </c>
      <c r="FF7" s="273">
        <v>40</v>
      </c>
    </row>
    <row r="8" spans="1:162" ht="18" customHeight="1">
      <c r="A8" s="260" t="s">
        <v>1774</v>
      </c>
      <c r="B8" s="260" t="s">
        <v>1775</v>
      </c>
      <c r="C8" s="263" t="s">
        <v>361</v>
      </c>
      <c r="D8" s="264" t="s">
        <v>362</v>
      </c>
      <c r="E8" s="266" t="s">
        <v>1776</v>
      </c>
      <c r="F8" s="264" t="s">
        <v>363</v>
      </c>
      <c r="G8" s="263" t="s">
        <v>363</v>
      </c>
      <c r="H8" s="263" t="s">
        <v>363</v>
      </c>
      <c r="I8" s="267">
        <v>0.74741880505109215</v>
      </c>
      <c r="J8" s="267">
        <v>1.0563405070888792</v>
      </c>
      <c r="K8" s="274">
        <v>4.4600000000000001E-2</v>
      </c>
      <c r="L8" s="274">
        <v>8.6612786616164006E-2</v>
      </c>
      <c r="M8" s="274">
        <v>1.1113E-2</v>
      </c>
      <c r="N8" s="274">
        <v>1.3413E-2</v>
      </c>
      <c r="O8" s="274">
        <v>5.2913000000000002E-2</v>
      </c>
      <c r="P8" s="274">
        <v>3.9684750000000005E-2</v>
      </c>
      <c r="Q8" s="274">
        <v>6.9939611680337244E-2</v>
      </c>
      <c r="R8" s="274">
        <v>7.729499872019277E-2</v>
      </c>
      <c r="S8" s="274">
        <v>2.9226376466360005E-2</v>
      </c>
      <c r="T8" s="275">
        <v>67917.600000000006</v>
      </c>
      <c r="U8" s="275">
        <v>16233.762292357838</v>
      </c>
      <c r="V8" s="275">
        <v>21195</v>
      </c>
      <c r="W8" s="275">
        <v>37428.762292357838</v>
      </c>
      <c r="X8" s="275">
        <v>105346.36229235784</v>
      </c>
      <c r="Y8" s="275">
        <v>6570</v>
      </c>
      <c r="Z8" s="275">
        <v>98776.362292357837</v>
      </c>
      <c r="AA8" s="276">
        <v>6.2365703542443147E-2</v>
      </c>
      <c r="AB8" s="277">
        <v>2.0416843896214378</v>
      </c>
      <c r="AC8" s="276">
        <v>0.57083222229314878</v>
      </c>
      <c r="AD8" s="276">
        <v>0.35529240381822885</v>
      </c>
      <c r="AE8" s="276">
        <v>1.3300910551655238</v>
      </c>
      <c r="AF8" s="276">
        <v>0.55109076722908101</v>
      </c>
      <c r="AG8" s="275">
        <v>288.86</v>
      </c>
      <c r="AH8" s="277">
        <v>31.609310953480822</v>
      </c>
      <c r="AI8" s="274">
        <v>-3.1040766068820863E-2</v>
      </c>
      <c r="AJ8" s="277">
        <v>0.93293977288865926</v>
      </c>
      <c r="AK8" s="276">
        <v>0.43243496620879307</v>
      </c>
      <c r="AL8" s="276">
        <v>0.24947103825991762</v>
      </c>
      <c r="AM8" s="277">
        <v>0.20903724811723995</v>
      </c>
      <c r="AN8" s="278">
        <v>8.27071178529755</v>
      </c>
      <c r="AO8" s="277">
        <v>16.597653958944282</v>
      </c>
      <c r="AP8" s="277">
        <v>15.660041503343326</v>
      </c>
      <c r="AQ8" s="277">
        <v>12.803883744855968</v>
      </c>
      <c r="AR8" s="277">
        <v>14.813333333333334</v>
      </c>
      <c r="AS8" s="277">
        <v>1.349402760889779</v>
      </c>
      <c r="AT8" s="277">
        <v>2.4135607675906185</v>
      </c>
      <c r="AU8" s="277">
        <v>1.8813869992441421</v>
      </c>
      <c r="AV8" s="277">
        <v>0.77244046129699984</v>
      </c>
      <c r="AW8" s="277">
        <v>14.423596941169031</v>
      </c>
      <c r="AX8" s="277">
        <v>6.8699653840838666</v>
      </c>
      <c r="AY8" s="277">
        <v>1.8860254446951552</v>
      </c>
      <c r="AZ8" s="277">
        <v>1.1234033424966203</v>
      </c>
      <c r="BA8" s="276">
        <v>0.31127507493659212</v>
      </c>
      <c r="BB8" s="276">
        <v>1.9877027456800592E-2</v>
      </c>
      <c r="BC8" s="276">
        <v>0.36431405240902759</v>
      </c>
      <c r="BD8" s="274">
        <v>9.1700000000000004E-2</v>
      </c>
      <c r="BE8" s="274">
        <v>0.121</v>
      </c>
      <c r="BF8" s="274">
        <v>-1.44E-2</v>
      </c>
      <c r="BG8" s="274">
        <v>3.8100000000000002E-2</v>
      </c>
      <c r="BH8" s="276">
        <v>0.12300000000000001</v>
      </c>
      <c r="BI8" s="276">
        <v>4.6300000000000001E-2</v>
      </c>
      <c r="BJ8" s="276">
        <v>0.16390778533635678</v>
      </c>
      <c r="BK8" s="276">
        <v>9.9165988146697248E-2</v>
      </c>
      <c r="BL8" s="277">
        <v>1.7527902072301045</v>
      </c>
      <c r="BM8" s="276">
        <v>4.8139145105613089E-2</v>
      </c>
      <c r="BN8" s="276">
        <v>7.6013092488078235E-2</v>
      </c>
      <c r="BO8" s="276">
        <v>0.27618127934467718</v>
      </c>
      <c r="BP8" s="276">
        <v>0.25</v>
      </c>
      <c r="BQ8" s="276">
        <v>0.25570619529775185</v>
      </c>
      <c r="BR8" s="276">
        <v>0.80569999999999997</v>
      </c>
      <c r="BS8" s="275">
        <v>4092</v>
      </c>
      <c r="BT8" s="275">
        <v>4337</v>
      </c>
      <c r="BU8" s="275">
        <v>7088</v>
      </c>
      <c r="BV8" s="275">
        <v>6848.2475415284325</v>
      </c>
      <c r="BW8" s="275">
        <v>24882</v>
      </c>
      <c r="BX8" s="275">
        <v>87926</v>
      </c>
      <c r="BY8" s="275">
        <v>90093</v>
      </c>
      <c r="BZ8" s="275">
        <v>11009</v>
      </c>
      <c r="CA8" s="275">
        <v>14378</v>
      </c>
      <c r="CB8" s="275">
        <v>5097.1082182270138</v>
      </c>
      <c r="CC8" s="275">
        <v>-240</v>
      </c>
      <c r="CD8" s="275">
        <v>3099</v>
      </c>
      <c r="CE8" s="275">
        <v>8139</v>
      </c>
      <c r="CF8" s="274">
        <v>9.0339982018580803E-2</v>
      </c>
      <c r="CG8" s="275">
        <v>-433</v>
      </c>
      <c r="CH8" s="276">
        <v>0.5230416710531105</v>
      </c>
      <c r="CI8" s="275">
        <v>2431.1082182270138</v>
      </c>
      <c r="CJ8" s="275">
        <v>1911</v>
      </c>
      <c r="CK8" s="275">
        <v>1671</v>
      </c>
      <c r="CL8" s="275">
        <v>26460</v>
      </c>
      <c r="CM8" s="275">
        <v>51399.762292357838</v>
      </c>
      <c r="CN8" s="275">
        <v>28140</v>
      </c>
      <c r="CO8" s="275">
        <v>52372.762292357831</v>
      </c>
      <c r="CP8" s="275">
        <v>-1350</v>
      </c>
      <c r="CQ8" s="277">
        <v>0.89900000000000002</v>
      </c>
      <c r="CR8" s="277">
        <v>1.33</v>
      </c>
      <c r="CS8" s="277">
        <v>1.1160741885577909</v>
      </c>
      <c r="CT8" s="277">
        <v>0.35623886792610299</v>
      </c>
      <c r="CU8" s="277">
        <v>0.56720638375231791</v>
      </c>
      <c r="CV8" s="275">
        <v>5217.1000000000004</v>
      </c>
      <c r="CW8" s="275">
        <v>2884</v>
      </c>
      <c r="CX8" s="275">
        <v>-3143</v>
      </c>
      <c r="CY8" s="275">
        <v>5827</v>
      </c>
      <c r="CZ8" s="275">
        <v>1490</v>
      </c>
      <c r="DA8" s="275">
        <v>4337</v>
      </c>
      <c r="DB8" s="275">
        <v>67917.600000000006</v>
      </c>
      <c r="DC8" s="275">
        <v>14378</v>
      </c>
      <c r="DD8" s="275">
        <v>98776.362292357837</v>
      </c>
      <c r="DE8" s="275">
        <v>1911</v>
      </c>
      <c r="DF8" s="275">
        <v>0</v>
      </c>
      <c r="DG8" s="275">
        <v>6848.2475415284325</v>
      </c>
      <c r="DH8" s="275">
        <v>52372.762292357831</v>
      </c>
      <c r="DI8" s="275">
        <v>11009</v>
      </c>
      <c r="DJ8" s="274">
        <v>0.16390778533635678</v>
      </c>
      <c r="DK8" s="274">
        <v>9.9165988146697248E-2</v>
      </c>
      <c r="DL8" s="277">
        <v>8.9723283034206407</v>
      </c>
      <c r="DM8" s="277">
        <v>4283</v>
      </c>
      <c r="DN8" s="277">
        <v>14688</v>
      </c>
      <c r="DO8" s="277">
        <v>5217.1000000000004</v>
      </c>
      <c r="DP8" s="274">
        <v>0.15559322088393662</v>
      </c>
      <c r="DQ8" s="279">
        <v>492</v>
      </c>
      <c r="DR8" s="280">
        <v>757</v>
      </c>
      <c r="DS8" s="280">
        <v>997</v>
      </c>
      <c r="DT8" s="279" t="e">
        <v>#REF!</v>
      </c>
      <c r="DU8" s="279">
        <v>134</v>
      </c>
      <c r="DV8" s="279">
        <v>7088</v>
      </c>
      <c r="DW8" s="279">
        <v>857</v>
      </c>
      <c r="DX8" s="279">
        <v>363</v>
      </c>
      <c r="DY8" s="279">
        <v>4664</v>
      </c>
      <c r="DZ8" s="281">
        <v>49</v>
      </c>
      <c r="EA8" s="274">
        <v>-0.1379767852003807</v>
      </c>
      <c r="EB8" s="274">
        <v>-6.7561043256736175E-2</v>
      </c>
      <c r="EC8" s="274">
        <v>2.1620103115498113E-2</v>
      </c>
      <c r="ED8" s="274">
        <v>0.22064603788234161</v>
      </c>
      <c r="EE8" s="274">
        <v>2.3480448947366117E-3</v>
      </c>
      <c r="EF8" s="274">
        <v>1.6954318158729498E-2</v>
      </c>
      <c r="EG8" s="274">
        <v>7.7231321466063138E-2</v>
      </c>
      <c r="EH8" s="282">
        <v>7.6013092488078235E-2</v>
      </c>
      <c r="EI8" s="279">
        <v>492</v>
      </c>
      <c r="EJ8" s="283">
        <v>7088</v>
      </c>
      <c r="EK8" s="283">
        <v>6842</v>
      </c>
      <c r="EL8" s="284">
        <v>67758.5</v>
      </c>
      <c r="EM8" s="284">
        <v>58409.4</v>
      </c>
      <c r="EN8" s="284">
        <v>54463.199999999997</v>
      </c>
      <c r="EO8" s="284">
        <v>55640.7</v>
      </c>
      <c r="EP8" s="284">
        <v>0</v>
      </c>
      <c r="EQ8" s="284">
        <v>0</v>
      </c>
      <c r="ER8" s="285">
        <v>1</v>
      </c>
      <c r="ES8" s="286">
        <v>3.810283146541793E-2</v>
      </c>
      <c r="ET8" s="286">
        <v>2.0300784117237125E-2</v>
      </c>
      <c r="EU8" s="287">
        <v>90093</v>
      </c>
      <c r="EV8" s="288">
        <v>90093</v>
      </c>
      <c r="EW8" s="287">
        <v>49624.2</v>
      </c>
      <c r="EX8" s="287">
        <v>68510.5</v>
      </c>
      <c r="EY8" s="287">
        <v>43715.199999999997</v>
      </c>
      <c r="EZ8" s="287">
        <v>63215.3</v>
      </c>
      <c r="FA8" s="287">
        <v>67758.5</v>
      </c>
      <c r="FB8" s="287">
        <v>49781.5</v>
      </c>
      <c r="FC8" s="287">
        <v>0</v>
      </c>
      <c r="FD8" s="286">
        <v>0.53299999999999992</v>
      </c>
      <c r="FE8" s="287">
        <v>0</v>
      </c>
      <c r="FF8" s="287">
        <v>20613.599999999999</v>
      </c>
    </row>
    <row r="9" spans="1:162" ht="28">
      <c r="A9" s="260" t="s">
        <v>1777</v>
      </c>
      <c r="B9" s="260" t="s">
        <v>1778</v>
      </c>
      <c r="C9" s="263" t="s">
        <v>361</v>
      </c>
      <c r="D9" s="264" t="s">
        <v>362</v>
      </c>
      <c r="E9" s="266" t="s">
        <v>1779</v>
      </c>
      <c r="F9" s="264" t="s">
        <v>363</v>
      </c>
      <c r="G9" s="263" t="s">
        <v>363</v>
      </c>
      <c r="H9" s="263" t="s">
        <v>363</v>
      </c>
      <c r="I9" s="267">
        <v>0.74741880505109215</v>
      </c>
      <c r="J9" s="267">
        <v>0.76330628181550941</v>
      </c>
      <c r="K9" s="274">
        <v>4.4600000000000001E-2</v>
      </c>
      <c r="L9" s="274">
        <v>7.354346016897173E-2</v>
      </c>
      <c r="M9" s="274" t="s">
        <v>384</v>
      </c>
      <c r="N9" s="274">
        <v>7.8060000000000004E-3</v>
      </c>
      <c r="O9" s="274">
        <v>4.7306000000000001E-2</v>
      </c>
      <c r="P9" s="274">
        <v>3.5479499999999997E-2</v>
      </c>
      <c r="Q9" s="274">
        <v>7.2494386312384543E-2</v>
      </c>
      <c r="R9" s="274">
        <v>0.28522091374370279</v>
      </c>
      <c r="S9" s="274">
        <v>0.43901291728261177</v>
      </c>
      <c r="T9" s="275">
        <v>19970.5</v>
      </c>
      <c r="U9" s="275">
        <v>566.00280428160568</v>
      </c>
      <c r="V9" s="275">
        <v>0</v>
      </c>
      <c r="W9" s="275">
        <v>566.00280428160568</v>
      </c>
      <c r="X9" s="275">
        <v>20536.502804281605</v>
      </c>
      <c r="Y9" s="275">
        <v>1190.2</v>
      </c>
      <c r="Z9" s="275">
        <v>19346.302804281604</v>
      </c>
      <c r="AA9" s="276">
        <v>5.795533988152346E-2</v>
      </c>
      <c r="AB9" s="277">
        <v>2.5</v>
      </c>
      <c r="AC9" s="276">
        <v>0.19869488418352765</v>
      </c>
      <c r="AD9" s="276">
        <v>2.7560817422312096E-2</v>
      </c>
      <c r="AE9" s="276">
        <v>0.24796407792938127</v>
      </c>
      <c r="AF9" s="276">
        <v>2.8341944582339233E-2</v>
      </c>
      <c r="AG9" s="275">
        <v>149.01</v>
      </c>
      <c r="AH9" s="277">
        <v>31.609310953480822</v>
      </c>
      <c r="AI9" s="274">
        <v>5.6209593672516663E-2</v>
      </c>
      <c r="AJ9" s="277">
        <v>0.66905050547303735</v>
      </c>
      <c r="AK9" s="276">
        <v>0.35355339059327379</v>
      </c>
      <c r="AL9" s="276">
        <v>0.18769442399815717</v>
      </c>
      <c r="AM9" s="277">
        <v>0.21357285429141715</v>
      </c>
      <c r="AN9" s="278" t="s">
        <v>384</v>
      </c>
      <c r="AO9" s="277">
        <v>24.651894827799037</v>
      </c>
      <c r="AP9" s="277">
        <v>23.619751626256654</v>
      </c>
      <c r="AQ9" s="277">
        <v>18.730897420071596</v>
      </c>
      <c r="AR9" s="277">
        <v>25.47179487179487</v>
      </c>
      <c r="AS9" s="277">
        <v>3.8578865145225412</v>
      </c>
      <c r="AT9" s="277">
        <v>8.7490142819591696</v>
      </c>
      <c r="AU9" s="277">
        <v>6.8172791805193631</v>
      </c>
      <c r="AV9" s="277">
        <v>1.8839205697844441</v>
      </c>
      <c r="AW9" s="277">
        <v>17.253466941048426</v>
      </c>
      <c r="AX9" s="277">
        <v>14.969284125875586</v>
      </c>
      <c r="AY9" s="277">
        <v>11.721673180008798</v>
      </c>
      <c r="AZ9" s="277">
        <v>1.8250368194218767</v>
      </c>
      <c r="BA9" s="276">
        <v>0.24316972205795387</v>
      </c>
      <c r="BB9" s="276">
        <v>1.0295185398462732E-2</v>
      </c>
      <c r="BC9" s="276">
        <v>0.31610858118216156</v>
      </c>
      <c r="BD9" s="274">
        <v>-0.19</v>
      </c>
      <c r="BE9" s="274">
        <v>5.9000000000000004E-2</v>
      </c>
      <c r="BF9" s="274">
        <v>-0.16300000000000001</v>
      </c>
      <c r="BG9" s="274">
        <v>5.2499999999999998E-2</v>
      </c>
      <c r="BH9" s="276">
        <v>6.3899999999999998E-2</v>
      </c>
      <c r="BI9" s="276">
        <v>1.7100000000000001E-2</v>
      </c>
      <c r="BJ9" s="276">
        <v>0.35876437391267452</v>
      </c>
      <c r="BK9" s="276">
        <v>0.5115073035949963</v>
      </c>
      <c r="BL9" s="277">
        <v>6.8870173269510371</v>
      </c>
      <c r="BM9" s="276">
        <v>7.570873403893337E-2</v>
      </c>
      <c r="BN9" s="276">
        <v>0.10040468482097449</v>
      </c>
      <c r="BO9" s="276">
        <v>0.13682193449023086</v>
      </c>
      <c r="BP9" s="276">
        <v>0.25</v>
      </c>
      <c r="BQ9" s="276">
        <v>0.26028114904391864</v>
      </c>
      <c r="BR9" s="276">
        <v>1.0205</v>
      </c>
      <c r="BS9" s="275">
        <v>810.1</v>
      </c>
      <c r="BT9" s="275">
        <v>845.5</v>
      </c>
      <c r="BU9" s="275">
        <v>1102.7</v>
      </c>
      <c r="BV9" s="275">
        <v>1121.2994391436789</v>
      </c>
      <c r="BW9" s="275">
        <v>1528</v>
      </c>
      <c r="BX9" s="275">
        <v>10600.5</v>
      </c>
      <c r="BY9" s="275">
        <v>11167.8</v>
      </c>
      <c r="BZ9" s="275">
        <v>1102.4000000000001</v>
      </c>
      <c r="CA9" s="275">
        <v>1292.3999999999999</v>
      </c>
      <c r="CB9" s="275">
        <v>829.44633270106067</v>
      </c>
      <c r="CC9" s="275">
        <v>12.22</v>
      </c>
      <c r="CD9" s="275">
        <v>-11.700000000000003</v>
      </c>
      <c r="CE9" s="275">
        <v>1338.3000000000002</v>
      </c>
      <c r="CF9" s="274">
        <v>0.11983559877504972</v>
      </c>
      <c r="CG9" s="275">
        <v>-7.6999999999999957</v>
      </c>
      <c r="CH9" s="276">
        <v>-2.3389096117677234E-2</v>
      </c>
      <c r="CI9" s="275">
        <v>848.84633270106076</v>
      </c>
      <c r="CJ9" s="275">
        <v>852.68000000000006</v>
      </c>
      <c r="CK9" s="275">
        <v>864.90000000000009</v>
      </c>
      <c r="CL9" s="275">
        <v>2356.6999999999998</v>
      </c>
      <c r="CM9" s="275">
        <v>1621.5728042816054</v>
      </c>
      <c r="CN9" s="275">
        <v>2282.6</v>
      </c>
      <c r="CO9" s="275">
        <v>1650.4728042816055</v>
      </c>
      <c r="CP9" s="275">
        <v>-205.6</v>
      </c>
      <c r="CQ9" s="277">
        <v>0.55300000000000005</v>
      </c>
      <c r="CR9" s="277">
        <v>1.1399999999999999</v>
      </c>
      <c r="CS9" s="277">
        <v>1.1160741885577909</v>
      </c>
      <c r="CT9" s="277">
        <v>0.45306760135583346</v>
      </c>
      <c r="CU9" s="277">
        <v>0.48958429410633797</v>
      </c>
      <c r="CV9" s="275">
        <v>1037.1599999999999</v>
      </c>
      <c r="CW9" s="275">
        <v>756.4222222222221</v>
      </c>
      <c r="CX9" s="275">
        <v>-1088.8999999999999</v>
      </c>
      <c r="CY9" s="275">
        <v>1145.3</v>
      </c>
      <c r="CZ9" s="275">
        <v>298.10000000000002</v>
      </c>
      <c r="DA9" s="275">
        <v>845.5</v>
      </c>
      <c r="DB9" s="275">
        <v>19970.5</v>
      </c>
      <c r="DC9" s="275">
        <v>1292.3999999999999</v>
      </c>
      <c r="DD9" s="275">
        <v>19346.302804281604</v>
      </c>
      <c r="DE9" s="275">
        <v>852.68000000000006</v>
      </c>
      <c r="DF9" s="275">
        <v>0</v>
      </c>
      <c r="DG9" s="275">
        <v>1121.2994391436789</v>
      </c>
      <c r="DH9" s="275">
        <v>1650.4728042816055</v>
      </c>
      <c r="DI9" s="275">
        <v>1102.4000000000001</v>
      </c>
      <c r="DJ9" s="274">
        <v>0.35876437391267452</v>
      </c>
      <c r="DK9" s="274">
        <v>0.5115073035949963</v>
      </c>
      <c r="DL9" s="277">
        <v>17.54925871215675</v>
      </c>
      <c r="DM9" s="277">
        <v>57.9</v>
      </c>
      <c r="DN9" s="277">
        <v>936.56999999999994</v>
      </c>
      <c r="DO9" s="277">
        <v>1037.1599999999999</v>
      </c>
      <c r="DP9" s="274">
        <v>0.80181124045066443</v>
      </c>
      <c r="DQ9" s="279">
        <v>17.600000000000023</v>
      </c>
      <c r="DR9" s="280">
        <v>17.8</v>
      </c>
      <c r="DS9" s="280">
        <v>5.58</v>
      </c>
      <c r="DT9" s="279" t="e">
        <v>#REF!</v>
      </c>
      <c r="DU9" s="279">
        <v>80.900000000000006</v>
      </c>
      <c r="DV9" s="279">
        <v>1102.7</v>
      </c>
      <c r="DW9" s="279">
        <v>0</v>
      </c>
      <c r="DX9" s="279">
        <v>36.9</v>
      </c>
      <c r="DY9" s="279">
        <v>1146.0999999999999</v>
      </c>
      <c r="DZ9" s="281">
        <v>41</v>
      </c>
      <c r="EA9" s="274">
        <v>6.837105210543637E-2</v>
      </c>
      <c r="EB9" s="274">
        <v>-5.5471711781324817E-2</v>
      </c>
      <c r="EC9" s="274">
        <v>6.3363223254060186E-2</v>
      </c>
      <c r="ED9" s="274">
        <v>0.20031614946777498</v>
      </c>
      <c r="EE9" s="274">
        <v>0.28799556275032079</v>
      </c>
      <c r="EF9" s="274">
        <v>-9.3408201825585513E-3</v>
      </c>
      <c r="EG9" s="274">
        <v>9.9014468070007369E-2</v>
      </c>
      <c r="EH9" s="282">
        <v>0.10040468482097449</v>
      </c>
      <c r="EI9" s="279">
        <v>17.600000000000023</v>
      </c>
      <c r="EJ9" s="283">
        <v>1102.7</v>
      </c>
      <c r="EK9" s="283">
        <v>1116.2</v>
      </c>
      <c r="EL9" s="284">
        <v>15505.1</v>
      </c>
      <c r="EM9" s="284">
        <v>16565.2</v>
      </c>
      <c r="EN9" s="284">
        <v>15646.3</v>
      </c>
      <c r="EO9" s="284">
        <v>16637.7</v>
      </c>
      <c r="EP9" s="284">
        <v>0</v>
      </c>
      <c r="EQ9" s="284">
        <v>0</v>
      </c>
      <c r="ER9" s="285">
        <v>1</v>
      </c>
      <c r="ES9" s="286">
        <v>3.1051929818154633E-2</v>
      </c>
      <c r="ET9" s="286">
        <v>9.4423012253941341E-3</v>
      </c>
      <c r="EU9" s="287">
        <v>11167.8</v>
      </c>
      <c r="EV9" s="288">
        <v>11167.8</v>
      </c>
      <c r="EW9" s="287">
        <v>9552.4</v>
      </c>
      <c r="EX9" s="287">
        <v>22598.5</v>
      </c>
      <c r="EY9" s="287">
        <v>16537.5</v>
      </c>
      <c r="EZ9" s="287">
        <v>18493.5</v>
      </c>
      <c r="FA9" s="287">
        <v>15505.1</v>
      </c>
      <c r="FB9" s="287">
        <v>15173.9</v>
      </c>
      <c r="FC9" s="287">
        <v>0</v>
      </c>
      <c r="FD9" s="286">
        <v>0</v>
      </c>
      <c r="FE9" s="287">
        <v>0</v>
      </c>
      <c r="FF9" s="287">
        <v>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180A7-54C7-FE42-9C7D-522E51AAA926}">
  <dimension ref="A2:N172"/>
  <sheetViews>
    <sheetView topLeftCell="A94" zoomScale="75" workbookViewId="0">
      <selection activeCell="B114" sqref="B114"/>
    </sheetView>
  </sheetViews>
  <sheetFormatPr baseColWidth="10" defaultColWidth="11" defaultRowHeight="16"/>
  <cols>
    <col min="1" max="1" width="38.33203125" bestFit="1" customWidth="1"/>
    <col min="4" max="4" width="14" customWidth="1"/>
  </cols>
  <sheetData>
    <row r="2" spans="1:14" ht="22">
      <c r="A2" s="676" t="s">
        <v>1715</v>
      </c>
      <c r="B2" s="676"/>
      <c r="C2" s="19"/>
      <c r="D2" s="19"/>
    </row>
    <row r="3" spans="1:14">
      <c r="A3" s="20" t="s">
        <v>1716</v>
      </c>
      <c r="B3" s="50">
        <v>2020</v>
      </c>
      <c r="C3" s="51">
        <v>2021</v>
      </c>
      <c r="D3" s="50">
        <v>2022</v>
      </c>
      <c r="E3" s="51">
        <v>2023</v>
      </c>
      <c r="F3" s="50">
        <v>2024</v>
      </c>
      <c r="G3">
        <v>2025</v>
      </c>
      <c r="H3">
        <v>2026</v>
      </c>
      <c r="I3">
        <v>2027</v>
      </c>
      <c r="J3">
        <v>2028</v>
      </c>
      <c r="K3">
        <v>2029</v>
      </c>
      <c r="L3" s="20"/>
      <c r="M3" s="20"/>
      <c r="N3" s="20"/>
    </row>
    <row r="4" spans="1:14">
      <c r="A4" s="22" t="s">
        <v>28</v>
      </c>
      <c r="B4" s="28">
        <v>84432</v>
      </c>
      <c r="C4" s="29">
        <v>97204</v>
      </c>
      <c r="D4" s="29">
        <v>100034</v>
      </c>
      <c r="E4" s="29">
        <v>90745</v>
      </c>
      <c r="F4" s="30">
        <v>90894</v>
      </c>
      <c r="G4" s="79">
        <f>'Workshop #5'!P25</f>
        <v>94529.760000000009</v>
      </c>
      <c r="H4" s="79">
        <f>'Workshop #5'!Q25</f>
        <v>98310.950400000016</v>
      </c>
      <c r="I4" s="79">
        <f>'Workshop #5'!R25</f>
        <v>102243.38841600002</v>
      </c>
      <c r="J4" s="79">
        <f>'Workshop #5'!S25</f>
        <v>106333.12395264002</v>
      </c>
      <c r="K4" s="79">
        <f>'Workshop #5'!T25</f>
        <v>110586.44891074562</v>
      </c>
      <c r="L4" s="32"/>
      <c r="M4" s="32"/>
      <c r="N4" s="32"/>
    </row>
    <row r="5" spans="1:14">
      <c r="A5" s="23" t="s">
        <v>29</v>
      </c>
      <c r="B5" s="31">
        <v>62649</v>
      </c>
      <c r="C5" s="32">
        <v>79772</v>
      </c>
      <c r="D5" s="32">
        <v>79954</v>
      </c>
      <c r="E5" s="32">
        <v>73039</v>
      </c>
      <c r="F5" s="33">
        <v>73836</v>
      </c>
      <c r="J5" s="32"/>
      <c r="K5" s="32"/>
      <c r="L5" s="32"/>
      <c r="M5" s="32"/>
      <c r="N5" s="32"/>
    </row>
    <row r="6" spans="1:14">
      <c r="A6" s="24" t="s">
        <v>30</v>
      </c>
      <c r="B6" s="34">
        <v>59951</v>
      </c>
      <c r="C6" s="35">
        <v>76819</v>
      </c>
      <c r="D6" s="35">
        <v>76766</v>
      </c>
      <c r="E6" s="35">
        <v>69673</v>
      </c>
      <c r="F6" s="36">
        <v>70227</v>
      </c>
      <c r="J6" s="35"/>
      <c r="K6" s="35"/>
      <c r="L6" s="35"/>
      <c r="M6" s="35"/>
      <c r="N6" s="35"/>
    </row>
    <row r="7" spans="1:14">
      <c r="A7" s="23" t="s">
        <v>31</v>
      </c>
      <c r="B7" s="31">
        <v>2698</v>
      </c>
      <c r="C7" s="32">
        <v>2953</v>
      </c>
      <c r="D7" s="32">
        <v>3188</v>
      </c>
      <c r="E7" s="32">
        <v>3366</v>
      </c>
      <c r="F7" s="33">
        <v>3609</v>
      </c>
      <c r="J7" s="32"/>
      <c r="K7" s="32"/>
      <c r="L7" s="32"/>
      <c r="M7" s="32"/>
      <c r="N7" s="32"/>
    </row>
    <row r="8" spans="1:14">
      <c r="A8" s="24" t="s">
        <v>32</v>
      </c>
      <c r="B8" s="34">
        <v>2282</v>
      </c>
      <c r="C8" s="35">
        <v>2478</v>
      </c>
      <c r="D8" s="35">
        <v>2663</v>
      </c>
      <c r="E8" s="35">
        <v>2769</v>
      </c>
      <c r="F8" s="36">
        <v>2961</v>
      </c>
      <c r="J8" s="35"/>
      <c r="K8" s="35"/>
      <c r="L8" s="35"/>
      <c r="M8" s="35"/>
      <c r="N8" s="35"/>
    </row>
    <row r="9" spans="1:14">
      <c r="A9" s="24" t="s">
        <v>33</v>
      </c>
      <c r="B9" s="34">
        <v>416</v>
      </c>
      <c r="C9" s="35">
        <v>475</v>
      </c>
      <c r="D9" s="35">
        <v>525</v>
      </c>
      <c r="E9" s="35">
        <v>597</v>
      </c>
      <c r="F9" s="36">
        <v>648</v>
      </c>
      <c r="J9" s="35"/>
      <c r="K9" s="35"/>
      <c r="L9" s="35"/>
      <c r="M9" s="35"/>
      <c r="N9" s="35"/>
    </row>
    <row r="10" spans="1:14">
      <c r="A10" s="23" t="s">
        <v>34</v>
      </c>
      <c r="B10" s="31">
        <v>21783</v>
      </c>
      <c r="C10" s="32">
        <v>17432</v>
      </c>
      <c r="D10" s="32">
        <v>20080</v>
      </c>
      <c r="E10" s="32">
        <v>17706</v>
      </c>
      <c r="F10" s="33">
        <v>17058</v>
      </c>
      <c r="J10" s="32"/>
      <c r="K10" s="32"/>
      <c r="L10" s="32"/>
      <c r="M10" s="32"/>
      <c r="N10" s="32"/>
    </row>
    <row r="11" spans="1:14">
      <c r="A11" s="23" t="s">
        <v>35</v>
      </c>
      <c r="B11" s="31">
        <v>13947</v>
      </c>
      <c r="C11" s="32">
        <v>4325</v>
      </c>
      <c r="D11" s="32">
        <v>7112</v>
      </c>
      <c r="E11" s="32">
        <v>8335</v>
      </c>
      <c r="F11" s="33">
        <v>8684</v>
      </c>
      <c r="J11" s="32"/>
      <c r="K11" s="32"/>
      <c r="L11" s="32"/>
      <c r="M11" s="32"/>
      <c r="N11" s="32"/>
    </row>
    <row r="12" spans="1:14">
      <c r="A12" s="24" t="s">
        <v>36</v>
      </c>
      <c r="B12" s="34">
        <v>13947</v>
      </c>
      <c r="C12" s="35">
        <v>4325</v>
      </c>
      <c r="D12" s="35">
        <v>7112</v>
      </c>
      <c r="E12" s="35">
        <v>8335</v>
      </c>
      <c r="F12" s="36">
        <v>8684</v>
      </c>
      <c r="J12" s="35"/>
      <c r="K12" s="35"/>
      <c r="L12" s="35"/>
      <c r="M12" s="35"/>
      <c r="N12" s="35"/>
    </row>
    <row r="13" spans="1:14">
      <c r="A13" s="24" t="s">
        <v>37</v>
      </c>
      <c r="B13" s="34">
        <v>0</v>
      </c>
      <c r="C13" s="35">
        <v>0</v>
      </c>
      <c r="D13" s="35">
        <v>0</v>
      </c>
      <c r="E13" s="35">
        <v>0</v>
      </c>
      <c r="F13" s="33">
        <v>-311</v>
      </c>
      <c r="J13" s="32"/>
      <c r="K13" s="35"/>
      <c r="L13" s="35"/>
      <c r="M13" s="35"/>
      <c r="N13" s="35"/>
    </row>
    <row r="14" spans="1:14">
      <c r="A14" s="23" t="s">
        <v>38</v>
      </c>
      <c r="B14" s="31">
        <v>7836</v>
      </c>
      <c r="C14" s="32">
        <v>13107</v>
      </c>
      <c r="D14" s="32">
        <v>12968</v>
      </c>
      <c r="E14" s="32">
        <v>9371</v>
      </c>
      <c r="F14" s="33">
        <v>8685</v>
      </c>
      <c r="J14" s="32"/>
      <c r="K14" s="32"/>
      <c r="L14" s="32"/>
      <c r="M14" s="32"/>
      <c r="N14" s="32"/>
    </row>
    <row r="15" spans="1:14">
      <c r="A15" s="23" t="s">
        <v>39</v>
      </c>
      <c r="B15" s="31">
        <v>-4978</v>
      </c>
      <c r="C15" s="32">
        <v>4590</v>
      </c>
      <c r="D15" s="32">
        <v>2729</v>
      </c>
      <c r="E15" s="32">
        <v>423</v>
      </c>
      <c r="F15" s="33">
        <v>17</v>
      </c>
      <c r="J15" s="32"/>
      <c r="K15" s="32"/>
      <c r="L15" s="32"/>
      <c r="M15" s="32"/>
      <c r="N15" s="32"/>
    </row>
    <row r="16" spans="1:14">
      <c r="A16" s="24" t="s">
        <v>40</v>
      </c>
      <c r="B16" s="34">
        <v>0</v>
      </c>
      <c r="C16" s="35">
        <v>0</v>
      </c>
      <c r="D16" s="35">
        <v>0</v>
      </c>
      <c r="E16" s="35">
        <v>0</v>
      </c>
      <c r="F16" s="36">
        <v>0</v>
      </c>
      <c r="J16" s="35"/>
      <c r="K16" s="35"/>
      <c r="L16" s="35"/>
      <c r="M16" s="35"/>
      <c r="N16" s="35"/>
    </row>
    <row r="17" spans="1:14">
      <c r="A17" s="24" t="s">
        <v>41</v>
      </c>
      <c r="B17" s="31">
        <v>-4978</v>
      </c>
      <c r="C17" s="35">
        <v>4590</v>
      </c>
      <c r="D17" s="35">
        <v>2729</v>
      </c>
      <c r="E17" s="35">
        <v>423</v>
      </c>
      <c r="F17" s="36">
        <v>17</v>
      </c>
      <c r="J17" s="35"/>
      <c r="K17" s="35"/>
      <c r="L17" s="35"/>
      <c r="M17" s="35"/>
      <c r="N17" s="32"/>
    </row>
    <row r="18" spans="1:14">
      <c r="A18" s="23" t="s">
        <v>42</v>
      </c>
      <c r="B18" s="31">
        <v>684</v>
      </c>
      <c r="C18" s="32">
        <v>683</v>
      </c>
      <c r="D18" s="32">
        <v>694</v>
      </c>
      <c r="E18" s="32">
        <v>775</v>
      </c>
      <c r="F18" s="33">
        <v>861</v>
      </c>
      <c r="J18" s="32"/>
      <c r="K18" s="32"/>
      <c r="L18" s="32"/>
      <c r="M18" s="32"/>
      <c r="N18" s="32"/>
    </row>
    <row r="19" spans="1:14">
      <c r="A19" s="24" t="s">
        <v>43</v>
      </c>
      <c r="B19" s="34">
        <v>771</v>
      </c>
      <c r="C19" s="35">
        <v>741</v>
      </c>
      <c r="D19" s="35">
        <v>754</v>
      </c>
      <c r="E19" s="35">
        <v>893</v>
      </c>
      <c r="F19" s="36">
        <v>982</v>
      </c>
      <c r="J19" s="35"/>
      <c r="K19" s="35"/>
      <c r="L19" s="35"/>
      <c r="M19" s="35"/>
      <c r="N19" s="35"/>
    </row>
    <row r="20" spans="1:14">
      <c r="A20" s="24" t="s">
        <v>44</v>
      </c>
      <c r="B20" s="34">
        <v>87</v>
      </c>
      <c r="C20" s="35">
        <v>58</v>
      </c>
      <c r="D20" s="35">
        <v>60</v>
      </c>
      <c r="E20" s="35">
        <v>118</v>
      </c>
      <c r="F20" s="36">
        <v>121</v>
      </c>
      <c r="J20" s="35"/>
      <c r="K20" s="35"/>
      <c r="L20" s="35"/>
      <c r="M20" s="35"/>
      <c r="N20" s="35"/>
    </row>
    <row r="21" spans="1:14">
      <c r="A21" s="23" t="s">
        <v>45</v>
      </c>
      <c r="B21" s="31">
        <v>330</v>
      </c>
      <c r="C21" s="32">
        <v>419</v>
      </c>
      <c r="D21" s="32">
        <v>178</v>
      </c>
      <c r="E21" s="32">
        <v>446</v>
      </c>
      <c r="F21" s="33">
        <v>399</v>
      </c>
      <c r="J21" s="32"/>
      <c r="K21" s="32"/>
      <c r="L21" s="32"/>
      <c r="M21" s="32"/>
      <c r="N21" s="32"/>
    </row>
    <row r="22" spans="1:14">
      <c r="A22" s="23" t="s">
        <v>46</v>
      </c>
      <c r="B22" s="44"/>
      <c r="C22" s="37"/>
      <c r="D22" s="37"/>
      <c r="E22" s="37"/>
      <c r="F22" s="33">
        <v>71</v>
      </c>
      <c r="J22" s="32"/>
      <c r="K22" s="37"/>
      <c r="L22" s="37"/>
      <c r="M22" s="37"/>
      <c r="N22" s="37"/>
    </row>
    <row r="23" spans="1:14">
      <c r="A23" s="24" t="s">
        <v>47</v>
      </c>
      <c r="B23" s="34">
        <v>0</v>
      </c>
      <c r="C23" s="35">
        <v>0</v>
      </c>
      <c r="D23" s="35">
        <v>0</v>
      </c>
      <c r="E23" s="35">
        <v>0</v>
      </c>
      <c r="F23" s="36">
        <v>71</v>
      </c>
      <c r="J23" s="35"/>
      <c r="K23" s="35"/>
      <c r="L23" s="35"/>
      <c r="M23" s="35"/>
      <c r="N23" s="35"/>
    </row>
    <row r="24" spans="1:14">
      <c r="A24" s="24" t="s">
        <v>48</v>
      </c>
      <c r="B24" s="34">
        <v>348</v>
      </c>
      <c r="C24" s="35">
        <v>380</v>
      </c>
      <c r="D24" s="35">
        <v>178</v>
      </c>
      <c r="E24" s="35">
        <v>435</v>
      </c>
      <c r="F24" s="36">
        <v>322</v>
      </c>
      <c r="J24" s="35"/>
      <c r="K24" s="35"/>
      <c r="L24" s="35"/>
      <c r="M24" s="35"/>
      <c r="N24" s="35"/>
    </row>
    <row r="25" spans="1:14">
      <c r="A25" s="23" t="s">
        <v>49</v>
      </c>
      <c r="B25" s="31">
        <v>18</v>
      </c>
      <c r="C25" s="32">
        <v>-39</v>
      </c>
      <c r="D25" s="37"/>
      <c r="E25" s="32">
        <v>-11</v>
      </c>
      <c r="F25" s="33">
        <v>-6</v>
      </c>
      <c r="J25" s="32"/>
      <c r="K25" s="32"/>
      <c r="L25" s="37"/>
      <c r="M25" s="32"/>
      <c r="N25" s="32"/>
    </row>
    <row r="26" spans="1:14">
      <c r="A26" s="24" t="s">
        <v>50</v>
      </c>
      <c r="B26" s="34">
        <v>18</v>
      </c>
      <c r="C26" s="32">
        <v>-39</v>
      </c>
      <c r="D26" s="39"/>
      <c r="E26" s="32">
        <v>-11</v>
      </c>
      <c r="F26" s="33">
        <v>-6</v>
      </c>
      <c r="J26" s="32"/>
      <c r="K26" s="32"/>
      <c r="L26" s="39"/>
      <c r="M26" s="32"/>
      <c r="N26" s="35"/>
    </row>
    <row r="27" spans="1:14">
      <c r="A27" s="23" t="s">
        <v>51</v>
      </c>
      <c r="B27" s="31">
        <v>1844</v>
      </c>
      <c r="C27" s="32">
        <v>16595</v>
      </c>
      <c r="D27" s="32">
        <v>14825</v>
      </c>
      <c r="E27" s="32">
        <v>8573</v>
      </c>
      <c r="F27" s="33">
        <v>7442</v>
      </c>
      <c r="J27" s="32"/>
      <c r="K27" s="32"/>
      <c r="L27" s="32"/>
      <c r="M27" s="32"/>
      <c r="N27" s="32"/>
    </row>
    <row r="28" spans="1:14">
      <c r="A28" s="23" t="s">
        <v>52</v>
      </c>
      <c r="B28" s="31">
        <f t="shared" ref="B28:E28" si="0">SUM(B29:B32)</f>
        <v>501</v>
      </c>
      <c r="C28" s="32">
        <f t="shared" si="0"/>
        <v>3705</v>
      </c>
      <c r="D28" s="32">
        <f t="shared" si="0"/>
        <v>3277</v>
      </c>
      <c r="E28" s="32">
        <f t="shared" si="0"/>
        <v>1865</v>
      </c>
      <c r="F28" s="33">
        <f>1660</f>
        <v>1660</v>
      </c>
      <c r="J28" s="32"/>
      <c r="K28" s="32"/>
      <c r="L28" s="32"/>
      <c r="M28" s="32"/>
      <c r="N28" s="32"/>
    </row>
    <row r="29" spans="1:14" hidden="1">
      <c r="A29" s="24" t="s">
        <v>53</v>
      </c>
      <c r="B29" s="34">
        <v>939</v>
      </c>
      <c r="C29" s="35">
        <v>1582</v>
      </c>
      <c r="D29" s="35">
        <v>2279</v>
      </c>
      <c r="E29" s="35">
        <v>1207</v>
      </c>
      <c r="F29" s="36">
        <v>1265</v>
      </c>
      <c r="J29" s="35"/>
      <c r="K29" s="35"/>
      <c r="L29" s="35"/>
      <c r="M29" s="35"/>
      <c r="N29" s="35"/>
    </row>
    <row r="30" spans="1:14" hidden="1">
      <c r="A30" s="24" t="s">
        <v>54</v>
      </c>
      <c r="B30" s="34">
        <v>420</v>
      </c>
      <c r="C30" s="35">
        <v>478</v>
      </c>
      <c r="D30" s="35">
        <v>467</v>
      </c>
      <c r="E30" s="35">
        <v>459</v>
      </c>
      <c r="F30" s="36">
        <v>410</v>
      </c>
      <c r="J30" s="35"/>
      <c r="K30" s="35"/>
      <c r="L30" s="35"/>
      <c r="M30" s="35"/>
      <c r="N30" s="35"/>
    </row>
    <row r="31" spans="1:14" hidden="1">
      <c r="A31" s="24" t="s">
        <v>55</v>
      </c>
      <c r="B31" s="31">
        <v>-884</v>
      </c>
      <c r="C31" s="35">
        <v>1584</v>
      </c>
      <c r="D31" s="35">
        <v>432</v>
      </c>
      <c r="E31" s="35">
        <v>170</v>
      </c>
      <c r="F31" s="36">
        <v>8</v>
      </c>
      <c r="J31" s="35"/>
      <c r="K31" s="35"/>
      <c r="L31" s="35"/>
      <c r="M31" s="35"/>
      <c r="N31" s="32"/>
    </row>
    <row r="32" spans="1:14">
      <c r="A32" s="24" t="s">
        <v>56</v>
      </c>
      <c r="B32" s="34">
        <v>26</v>
      </c>
      <c r="C32" s="35">
        <v>61</v>
      </c>
      <c r="D32" s="35">
        <v>99</v>
      </c>
      <c r="E32" s="35">
        <v>29</v>
      </c>
      <c r="F32" s="33">
        <v>-23</v>
      </c>
      <c r="J32" s="32"/>
      <c r="K32" s="35"/>
      <c r="L32" s="35"/>
      <c r="M32" s="35"/>
      <c r="N32" s="35"/>
    </row>
    <row r="33" spans="1:14">
      <c r="A33" s="24" t="s">
        <v>57</v>
      </c>
      <c r="B33" s="34">
        <v>1343</v>
      </c>
      <c r="C33" s="35">
        <v>12890</v>
      </c>
      <c r="D33" s="35">
        <v>11548</v>
      </c>
      <c r="E33" s="35">
        <v>6708</v>
      </c>
      <c r="F33" s="36">
        <v>5782</v>
      </c>
      <c r="J33" s="35"/>
      <c r="K33" s="35"/>
      <c r="L33" s="35"/>
      <c r="M33" s="35"/>
      <c r="N33" s="35"/>
    </row>
    <row r="34" spans="1:14">
      <c r="A34" s="57" t="s">
        <v>58</v>
      </c>
      <c r="B34" s="31">
        <v>1343</v>
      </c>
      <c r="C34" s="32">
        <v>12890</v>
      </c>
      <c r="D34" s="32">
        <v>11548</v>
      </c>
      <c r="E34" s="32">
        <v>6708</v>
      </c>
      <c r="F34" s="33">
        <v>5782</v>
      </c>
      <c r="J34" s="32"/>
      <c r="K34" s="32"/>
      <c r="L34" s="32"/>
      <c r="M34" s="32"/>
      <c r="N34" s="32"/>
    </row>
    <row r="35" spans="1:14">
      <c r="A35" s="24" t="s">
        <v>59</v>
      </c>
      <c r="B35" s="34">
        <v>1343</v>
      </c>
      <c r="C35" s="35">
        <v>12890</v>
      </c>
      <c r="D35" s="35">
        <v>11548</v>
      </c>
      <c r="E35" s="35">
        <v>6708</v>
      </c>
      <c r="F35" s="36">
        <v>5782</v>
      </c>
      <c r="G35" s="35"/>
      <c r="H35" s="35"/>
      <c r="I35" s="35"/>
      <c r="J35" s="35"/>
      <c r="K35" s="35"/>
      <c r="L35" s="32"/>
      <c r="M35" s="32"/>
      <c r="N35" s="32"/>
    </row>
    <row r="36" spans="1:14">
      <c r="A36" s="23" t="s">
        <v>60</v>
      </c>
      <c r="B36" s="44"/>
      <c r="C36" s="37"/>
      <c r="D36" s="37"/>
      <c r="E36" s="37"/>
      <c r="F36" s="38"/>
      <c r="G36" s="54"/>
      <c r="H36" s="54"/>
      <c r="I36" s="54"/>
      <c r="J36" s="54"/>
      <c r="K36" s="54"/>
      <c r="L36" s="32"/>
      <c r="M36" s="32"/>
      <c r="N36" s="32"/>
    </row>
    <row r="37" spans="1:14">
      <c r="A37" s="24" t="s">
        <v>61</v>
      </c>
      <c r="B37" s="58">
        <v>1.807118</v>
      </c>
      <c r="C37" s="18">
        <v>15.015148</v>
      </c>
      <c r="D37" s="18">
        <v>13.340114</v>
      </c>
      <c r="E37" s="18">
        <v>8.1630230000000008</v>
      </c>
      <c r="F37" s="59">
        <v>7.0809579999999999</v>
      </c>
      <c r="G37" s="18"/>
      <c r="H37" s="18"/>
      <c r="I37" s="18"/>
      <c r="J37" s="18"/>
      <c r="K37" s="18"/>
      <c r="L37" s="32"/>
      <c r="M37" s="32"/>
      <c r="N37" s="32"/>
    </row>
    <row r="38" spans="1:14">
      <c r="A38" s="23" t="s">
        <v>62</v>
      </c>
      <c r="B38" s="60">
        <v>1.5489999999999999</v>
      </c>
      <c r="C38" s="61">
        <v>14.7483</v>
      </c>
      <c r="D38" s="61">
        <v>13.2583</v>
      </c>
      <c r="E38" s="61">
        <v>7.8090999999999999</v>
      </c>
      <c r="F38" s="62">
        <v>6.7625999999999999</v>
      </c>
      <c r="G38" s="55"/>
      <c r="H38" s="55"/>
      <c r="I38" s="55"/>
      <c r="J38" s="55"/>
      <c r="K38" s="55"/>
      <c r="L38" s="32"/>
      <c r="M38" s="32"/>
      <c r="N38" s="32"/>
    </row>
    <row r="39" spans="1:14">
      <c r="A39" s="24" t="s">
        <v>63</v>
      </c>
      <c r="B39" s="58">
        <v>867</v>
      </c>
      <c r="C39" s="18">
        <v>874</v>
      </c>
      <c r="D39" s="18">
        <v>871</v>
      </c>
      <c r="E39" s="18">
        <v>859</v>
      </c>
      <c r="F39" s="59">
        <v>855</v>
      </c>
      <c r="G39" s="18"/>
      <c r="H39" s="18"/>
      <c r="I39" s="18"/>
      <c r="J39" s="18"/>
      <c r="K39" s="18"/>
      <c r="L39" s="32"/>
      <c r="M39" s="32"/>
      <c r="N39" s="32"/>
    </row>
    <row r="40" spans="1:14">
      <c r="A40" s="24" t="s">
        <v>64</v>
      </c>
      <c r="B40" s="58">
        <v>865</v>
      </c>
      <c r="C40" s="18">
        <v>870</v>
      </c>
      <c r="D40" s="18">
        <v>858.8</v>
      </c>
      <c r="E40" s="18">
        <v>852.8</v>
      </c>
      <c r="F40" s="59">
        <v>853.9</v>
      </c>
      <c r="G40" s="18"/>
      <c r="H40" s="18"/>
      <c r="I40" s="18"/>
      <c r="J40" s="18"/>
      <c r="K40" s="18"/>
      <c r="L40" s="32"/>
      <c r="M40" s="32"/>
      <c r="N40" s="32"/>
    </row>
    <row r="41" spans="1:14">
      <c r="A41" s="23" t="s">
        <v>65</v>
      </c>
      <c r="B41" s="60">
        <v>1.5419</v>
      </c>
      <c r="C41" s="61">
        <v>14.681100000000001</v>
      </c>
      <c r="D41" s="61">
        <v>13.197699999999999</v>
      </c>
      <c r="E41" s="61">
        <v>7.8</v>
      </c>
      <c r="F41" s="62">
        <v>6.7625999999999999</v>
      </c>
      <c r="G41" s="55"/>
      <c r="H41" s="55"/>
      <c r="I41" s="55"/>
      <c r="J41" s="55"/>
      <c r="K41" s="55"/>
      <c r="L41" s="32"/>
      <c r="M41" s="32"/>
      <c r="N41" s="32"/>
    </row>
    <row r="42" spans="1:14">
      <c r="A42" s="24" t="s">
        <v>66</v>
      </c>
      <c r="B42" s="58">
        <v>871</v>
      </c>
      <c r="C42" s="18">
        <v>878</v>
      </c>
      <c r="D42" s="18">
        <v>875</v>
      </c>
      <c r="E42" s="18">
        <v>860</v>
      </c>
      <c r="F42" s="59">
        <v>856</v>
      </c>
      <c r="G42" s="18"/>
      <c r="H42" s="18"/>
      <c r="I42" s="18"/>
      <c r="J42" s="18"/>
      <c r="K42" s="18"/>
      <c r="L42" s="32"/>
      <c r="M42" s="32"/>
      <c r="N42" s="32"/>
    </row>
    <row r="43" spans="1:14">
      <c r="A43" s="24" t="s">
        <v>64</v>
      </c>
      <c r="B43" s="58">
        <v>865</v>
      </c>
      <c r="C43" s="18">
        <v>870</v>
      </c>
      <c r="D43" s="18">
        <v>858.8</v>
      </c>
      <c r="E43" s="18">
        <v>852.8</v>
      </c>
      <c r="F43" s="59">
        <v>853.9</v>
      </c>
      <c r="G43" s="18"/>
      <c r="H43" s="18"/>
      <c r="I43" s="18"/>
      <c r="J43" s="18"/>
      <c r="K43" s="18"/>
      <c r="L43" s="32"/>
      <c r="M43" s="32"/>
      <c r="N43" s="32"/>
    </row>
    <row r="44" spans="1:14">
      <c r="A44" s="24" t="s">
        <v>67</v>
      </c>
      <c r="B44" s="58">
        <v>80.313000000000002</v>
      </c>
      <c r="C44" s="18">
        <v>79.328000000000003</v>
      </c>
      <c r="D44" s="18">
        <v>79.045000000000002</v>
      </c>
      <c r="E44" s="18">
        <v>85.935000000000002</v>
      </c>
      <c r="F44" s="59">
        <v>85.763000000000005</v>
      </c>
      <c r="G44" s="18"/>
      <c r="H44" s="18"/>
      <c r="I44" s="18"/>
      <c r="J44" s="18"/>
      <c r="K44" s="18"/>
      <c r="L44" s="32"/>
      <c r="M44" s="32"/>
      <c r="N44" s="32"/>
    </row>
    <row r="45" spans="1:14">
      <c r="A45" s="23" t="s">
        <v>68</v>
      </c>
      <c r="B45" s="60">
        <v>4.04</v>
      </c>
      <c r="C45" s="61">
        <v>4.08</v>
      </c>
      <c r="D45" s="61">
        <v>6.08</v>
      </c>
      <c r="E45" s="61">
        <v>6.48</v>
      </c>
      <c r="F45" s="62">
        <v>6.52</v>
      </c>
      <c r="G45" s="55"/>
      <c r="H45" s="55"/>
      <c r="I45" s="55"/>
      <c r="J45" s="55"/>
      <c r="K45" s="55"/>
      <c r="L45" s="32"/>
      <c r="M45" s="32"/>
      <c r="N45" s="32"/>
    </row>
    <row r="46" spans="1:14">
      <c r="A46" s="24" t="s">
        <v>69</v>
      </c>
      <c r="B46" s="58">
        <v>262.01439800000003</v>
      </c>
      <c r="C46" s="18">
        <v>27.790832999999999</v>
      </c>
      <c r="D46" s="18">
        <v>46.068632999999998</v>
      </c>
      <c r="E46" s="18">
        <v>83.076922999999994</v>
      </c>
      <c r="F46" s="59">
        <v>96.412621999999999</v>
      </c>
      <c r="G46" s="18"/>
      <c r="H46" s="18"/>
      <c r="I46" s="18"/>
      <c r="J46" s="18"/>
      <c r="K46" s="18"/>
      <c r="L46" s="32"/>
      <c r="M46" s="32"/>
      <c r="N46" s="32"/>
    </row>
    <row r="47" spans="1:14">
      <c r="A47" s="23" t="s">
        <v>70</v>
      </c>
      <c r="B47" s="44"/>
      <c r="C47" s="37"/>
      <c r="D47" s="37"/>
      <c r="E47" s="37"/>
      <c r="F47" s="38"/>
      <c r="G47" s="54"/>
      <c r="H47" s="54"/>
      <c r="I47" s="54"/>
      <c r="J47" s="54"/>
      <c r="K47" s="54"/>
      <c r="L47" s="32"/>
      <c r="M47" s="32"/>
      <c r="N47" s="32"/>
    </row>
    <row r="48" spans="1:14">
      <c r="A48" s="23" t="s">
        <v>70</v>
      </c>
      <c r="B48" s="31">
        <v>10534</v>
      </c>
      <c r="C48" s="32">
        <v>16060</v>
      </c>
      <c r="D48" s="32">
        <v>16156</v>
      </c>
      <c r="E48" s="32">
        <v>12737</v>
      </c>
      <c r="F48" s="33">
        <v>12294</v>
      </c>
      <c r="G48" s="56"/>
      <c r="H48" s="56"/>
      <c r="I48" s="56"/>
      <c r="J48" s="56"/>
      <c r="K48" s="56"/>
      <c r="L48" s="32"/>
      <c r="M48" s="32"/>
      <c r="N48" s="32"/>
    </row>
    <row r="49" spans="1:14">
      <c r="A49" s="24" t="s">
        <v>71</v>
      </c>
      <c r="B49" s="34">
        <v>7836</v>
      </c>
      <c r="C49" s="35">
        <v>13107</v>
      </c>
      <c r="D49" s="35">
        <v>12968</v>
      </c>
      <c r="E49" s="35">
        <v>9371</v>
      </c>
      <c r="F49" s="36">
        <v>8685</v>
      </c>
      <c r="G49" s="35"/>
      <c r="H49" s="35"/>
      <c r="I49" s="35"/>
      <c r="J49" s="35"/>
      <c r="K49" s="35"/>
      <c r="L49" s="32"/>
      <c r="M49" s="32"/>
      <c r="N49" s="32"/>
    </row>
    <row r="50" spans="1:14">
      <c r="A50" s="41" t="s">
        <v>31</v>
      </c>
      <c r="B50" s="45">
        <v>2698</v>
      </c>
      <c r="C50" s="46">
        <v>2953</v>
      </c>
      <c r="D50" s="46">
        <v>3188</v>
      </c>
      <c r="E50" s="46">
        <v>3366</v>
      </c>
      <c r="F50" s="47">
        <v>3609</v>
      </c>
      <c r="G50" s="35"/>
      <c r="H50" s="35"/>
      <c r="I50" s="35"/>
      <c r="J50" s="35"/>
      <c r="K50" s="35"/>
      <c r="L50" s="32"/>
      <c r="M50" s="32"/>
      <c r="N50" s="32"/>
    </row>
    <row r="51" spans="1:14">
      <c r="A51" s="21"/>
      <c r="B51" s="32"/>
      <c r="C51" s="32"/>
      <c r="D51" s="32"/>
      <c r="E51" s="32"/>
      <c r="F51" s="32"/>
      <c r="J51" s="32"/>
      <c r="K51" s="32"/>
      <c r="L51" s="32"/>
      <c r="M51" s="32"/>
      <c r="N51" s="32"/>
    </row>
    <row r="53" spans="1:14" ht="22">
      <c r="A53" s="676" t="s">
        <v>1722</v>
      </c>
      <c r="B53" s="676"/>
    </row>
    <row r="54" spans="1:14">
      <c r="A54" s="21" t="s">
        <v>1723</v>
      </c>
      <c r="B54" s="25" t="s">
        <v>1717</v>
      </c>
      <c r="C54" s="26" t="s">
        <v>1718</v>
      </c>
      <c r="D54" s="26" t="s">
        <v>1719</v>
      </c>
      <c r="E54" s="26" t="s">
        <v>1720</v>
      </c>
      <c r="F54" s="27" t="s">
        <v>1721</v>
      </c>
      <c r="G54">
        <v>2025</v>
      </c>
      <c r="H54">
        <v>2026</v>
      </c>
      <c r="I54">
        <v>2027</v>
      </c>
      <c r="J54">
        <v>2028</v>
      </c>
      <c r="K54">
        <v>2029</v>
      </c>
      <c r="L54" s="20"/>
      <c r="M54" s="20"/>
      <c r="N54" s="20"/>
    </row>
    <row r="55" spans="1:14">
      <c r="A55" s="23" t="s">
        <v>73</v>
      </c>
      <c r="B55" s="31">
        <v>6316</v>
      </c>
      <c r="C55" s="32">
        <v>10593</v>
      </c>
      <c r="D55" s="32">
        <v>7595</v>
      </c>
      <c r="E55" s="32">
        <v>6072</v>
      </c>
      <c r="F55" s="33">
        <v>6318</v>
      </c>
      <c r="G55" s="2" cm="1">
        <f t="array" ref="G55:K55">'Workshop #5'!P45:T45</f>
        <v>6570.7200000000012</v>
      </c>
      <c r="H55" s="2">
        <v>6833.5488000000014</v>
      </c>
      <c r="I55" s="2">
        <v>7106.8907520000012</v>
      </c>
      <c r="J55" s="32">
        <v>7391.1663820800013</v>
      </c>
      <c r="K55" s="32">
        <v>7686.8130373632011</v>
      </c>
      <c r="L55" s="32"/>
      <c r="M55" s="32"/>
      <c r="N55" s="32"/>
    </row>
    <row r="56" spans="1:14">
      <c r="A56" s="24" t="s">
        <v>75</v>
      </c>
      <c r="B56" s="34">
        <v>5910</v>
      </c>
      <c r="C56" s="35">
        <v>10255</v>
      </c>
      <c r="D56" s="35">
        <v>5602</v>
      </c>
      <c r="E56" s="35">
        <v>3206</v>
      </c>
      <c r="F56" s="36">
        <v>6112</v>
      </c>
      <c r="J56" s="35"/>
      <c r="K56" s="35"/>
      <c r="L56" s="35"/>
      <c r="M56" s="35"/>
      <c r="N56" s="35"/>
    </row>
    <row r="57" spans="1:14">
      <c r="A57" s="24" t="s">
        <v>76</v>
      </c>
      <c r="B57" s="34">
        <v>406</v>
      </c>
      <c r="C57" s="35">
        <v>338</v>
      </c>
      <c r="D57" s="35">
        <v>1993</v>
      </c>
      <c r="E57" s="35">
        <v>2866</v>
      </c>
      <c r="F57" s="36">
        <v>206</v>
      </c>
      <c r="J57" s="35"/>
      <c r="K57" s="35"/>
      <c r="L57" s="35"/>
      <c r="M57" s="35"/>
      <c r="N57" s="35"/>
    </row>
    <row r="58" spans="1:14">
      <c r="A58" s="23" t="s">
        <v>77</v>
      </c>
      <c r="B58" s="31">
        <v>11029</v>
      </c>
      <c r="C58" s="32">
        <v>12845</v>
      </c>
      <c r="D58" s="32">
        <v>12891</v>
      </c>
      <c r="E58" s="32">
        <v>11453</v>
      </c>
      <c r="F58" s="33">
        <v>11178</v>
      </c>
      <c r="J58" s="32"/>
      <c r="K58" s="32"/>
      <c r="L58" s="32"/>
      <c r="M58" s="32"/>
      <c r="N58" s="32"/>
    </row>
    <row r="59" spans="1:14">
      <c r="A59" s="23" t="s">
        <v>78</v>
      </c>
      <c r="B59" s="31">
        <v>11029</v>
      </c>
      <c r="C59" s="32">
        <v>12845</v>
      </c>
      <c r="D59" s="32">
        <v>12891</v>
      </c>
      <c r="E59" s="32">
        <v>11453</v>
      </c>
      <c r="F59" s="33">
        <v>11178</v>
      </c>
      <c r="J59" s="32"/>
      <c r="K59" s="32"/>
      <c r="L59" s="32"/>
      <c r="M59" s="32"/>
      <c r="N59" s="32"/>
    </row>
    <row r="60" spans="1:14">
      <c r="A60" s="24" t="s">
        <v>79</v>
      </c>
      <c r="B60" s="34">
        <v>11167</v>
      </c>
      <c r="C60" s="35">
        <v>12973</v>
      </c>
      <c r="D60" s="35">
        <v>13037</v>
      </c>
      <c r="E60" s="35">
        <v>11579</v>
      </c>
      <c r="F60" s="36">
        <v>11314</v>
      </c>
      <c r="J60" s="35"/>
      <c r="K60" s="35"/>
      <c r="L60" s="35"/>
      <c r="M60" s="35"/>
      <c r="N60" s="35"/>
    </row>
    <row r="61" spans="1:14">
      <c r="A61" s="24" t="s">
        <v>80</v>
      </c>
      <c r="B61" s="31">
        <v>-138</v>
      </c>
      <c r="C61" s="32">
        <v>-128</v>
      </c>
      <c r="D61" s="32">
        <v>-146</v>
      </c>
      <c r="E61" s="32">
        <v>-126</v>
      </c>
      <c r="F61" s="33">
        <v>-136</v>
      </c>
      <c r="J61" s="32"/>
      <c r="K61" s="32"/>
      <c r="L61" s="32"/>
      <c r="M61" s="32"/>
      <c r="N61" s="32"/>
    </row>
    <row r="62" spans="1:14">
      <c r="A62" s="24" t="s">
        <v>81</v>
      </c>
      <c r="B62" s="34">
        <v>0</v>
      </c>
      <c r="C62" s="35">
        <v>0</v>
      </c>
      <c r="D62" s="35">
        <v>0</v>
      </c>
      <c r="E62" s="35">
        <v>0</v>
      </c>
      <c r="F62" s="36">
        <v>0</v>
      </c>
      <c r="J62" s="35"/>
      <c r="K62" s="35"/>
      <c r="L62" s="35"/>
      <c r="M62" s="35"/>
      <c r="N62" s="35"/>
    </row>
    <row r="63" spans="1:14">
      <c r="A63" s="23" t="s">
        <v>82</v>
      </c>
      <c r="B63" s="31">
        <v>620</v>
      </c>
      <c r="C63" s="32">
        <v>717</v>
      </c>
      <c r="D63" s="32">
        <v>889</v>
      </c>
      <c r="E63" s="32">
        <v>935</v>
      </c>
      <c r="F63" s="33">
        <v>826</v>
      </c>
      <c r="J63" s="32"/>
      <c r="K63" s="32"/>
      <c r="L63" s="32"/>
      <c r="M63" s="32"/>
      <c r="N63" s="32"/>
    </row>
    <row r="64" spans="1:14">
      <c r="A64" s="24" t="s">
        <v>83</v>
      </c>
      <c r="B64" s="34">
        <v>620</v>
      </c>
      <c r="C64" s="35">
        <v>717</v>
      </c>
      <c r="D64" s="39"/>
      <c r="E64" s="39"/>
      <c r="F64" s="43"/>
      <c r="J64" s="39"/>
      <c r="K64" s="39"/>
      <c r="L64" s="39"/>
      <c r="M64" s="35"/>
      <c r="N64" s="35"/>
    </row>
    <row r="65" spans="1:14">
      <c r="A65" s="23" t="s">
        <v>84</v>
      </c>
      <c r="B65" s="31">
        <v>2251</v>
      </c>
      <c r="C65" s="32">
        <v>779</v>
      </c>
      <c r="D65" s="32">
        <v>842</v>
      </c>
      <c r="E65" s="32">
        <v>953</v>
      </c>
      <c r="F65" s="33">
        <v>988</v>
      </c>
      <c r="J65" s="32"/>
      <c r="K65" s="32"/>
      <c r="L65" s="32"/>
      <c r="M65" s="32"/>
      <c r="N65" s="32"/>
    </row>
    <row r="66" spans="1:14">
      <c r="A66" s="24" t="s">
        <v>85</v>
      </c>
      <c r="B66" s="34">
        <v>2251</v>
      </c>
      <c r="C66" s="35">
        <v>779</v>
      </c>
      <c r="D66" s="35">
        <v>842</v>
      </c>
      <c r="E66" s="35">
        <v>953</v>
      </c>
      <c r="F66" s="36">
        <v>988</v>
      </c>
      <c r="J66" s="35"/>
      <c r="K66" s="35"/>
      <c r="L66" s="35"/>
      <c r="M66" s="35"/>
      <c r="N66" s="35"/>
    </row>
    <row r="67" spans="1:14">
      <c r="A67" s="24" t="s">
        <v>86</v>
      </c>
      <c r="B67" s="34">
        <v>20216</v>
      </c>
      <c r="C67" s="35">
        <v>24934</v>
      </c>
      <c r="D67" s="35">
        <v>22217</v>
      </c>
      <c r="E67" s="35">
        <v>19413</v>
      </c>
      <c r="F67" s="36">
        <v>19310</v>
      </c>
      <c r="J67" s="35"/>
      <c r="K67" s="35"/>
      <c r="L67" s="35"/>
      <c r="M67" s="35"/>
      <c r="N67" s="35"/>
    </row>
    <row r="68" spans="1:14">
      <c r="A68" s="23" t="s">
        <v>87</v>
      </c>
      <c r="B68" s="31">
        <v>35327</v>
      </c>
      <c r="C68" s="32">
        <v>37037</v>
      </c>
      <c r="D68" s="32">
        <v>38474</v>
      </c>
      <c r="E68" s="32">
        <v>41253</v>
      </c>
      <c r="F68" s="33">
        <v>41328</v>
      </c>
      <c r="J68" s="32"/>
      <c r="K68" s="32"/>
      <c r="L68" s="32"/>
      <c r="M68" s="32"/>
      <c r="N68" s="32"/>
    </row>
    <row r="69" spans="1:14">
      <c r="A69" s="23" t="s">
        <v>88</v>
      </c>
      <c r="B69" s="31">
        <v>65164</v>
      </c>
      <c r="C69" s="32">
        <v>68371</v>
      </c>
      <c r="D69" s="32">
        <v>71185</v>
      </c>
      <c r="E69" s="32">
        <v>75823</v>
      </c>
      <c r="F69" s="33">
        <v>77445</v>
      </c>
      <c r="J69" s="32"/>
      <c r="K69" s="32"/>
      <c r="L69" s="32"/>
      <c r="M69" s="32"/>
      <c r="N69" s="32"/>
    </row>
    <row r="70" spans="1:14">
      <c r="A70" s="24" t="s">
        <v>89</v>
      </c>
      <c r="B70" s="34">
        <v>10346</v>
      </c>
      <c r="C70" s="35">
        <v>10812</v>
      </c>
      <c r="D70" s="35">
        <v>11099</v>
      </c>
      <c r="E70" s="35">
        <v>11496</v>
      </c>
      <c r="F70" s="36">
        <v>12315</v>
      </c>
      <c r="J70" s="35"/>
      <c r="K70" s="35"/>
      <c r="L70" s="35"/>
      <c r="M70" s="35"/>
      <c r="N70" s="35"/>
    </row>
    <row r="71" spans="1:14">
      <c r="A71" s="24" t="s">
        <v>90</v>
      </c>
      <c r="B71" s="34">
        <v>2052</v>
      </c>
      <c r="C71" s="35">
        <v>2140</v>
      </c>
      <c r="D71" s="35">
        <v>2140</v>
      </c>
      <c r="E71" s="35">
        <v>2138</v>
      </c>
      <c r="F71" s="36">
        <v>2104</v>
      </c>
      <c r="J71" s="35"/>
      <c r="K71" s="35"/>
      <c r="L71" s="35"/>
      <c r="M71" s="35"/>
      <c r="N71" s="35"/>
    </row>
    <row r="72" spans="1:14">
      <c r="A72" s="24" t="s">
        <v>91</v>
      </c>
      <c r="B72" s="34">
        <v>17310</v>
      </c>
      <c r="C72" s="35">
        <v>18448</v>
      </c>
      <c r="D72" s="35">
        <v>16145</v>
      </c>
      <c r="E72" s="35">
        <v>17322</v>
      </c>
      <c r="F72" s="36">
        <v>18495</v>
      </c>
      <c r="J72" s="35"/>
      <c r="K72" s="35"/>
      <c r="L72" s="35"/>
      <c r="M72" s="35"/>
      <c r="N72" s="35"/>
    </row>
    <row r="73" spans="1:14">
      <c r="A73" s="24" t="s">
        <v>92</v>
      </c>
      <c r="B73" s="34">
        <v>2048</v>
      </c>
      <c r="C73" s="35">
        <v>1418</v>
      </c>
      <c r="D73" s="35">
        <v>2409</v>
      </c>
      <c r="E73" s="35">
        <v>3247</v>
      </c>
      <c r="F73" s="36">
        <v>1967</v>
      </c>
      <c r="J73" s="35"/>
      <c r="K73" s="35"/>
      <c r="L73" s="35"/>
      <c r="M73" s="35"/>
      <c r="N73" s="35"/>
    </row>
    <row r="74" spans="1:14">
      <c r="A74" s="24" t="s">
        <v>93</v>
      </c>
      <c r="B74" s="42"/>
      <c r="C74" s="39"/>
      <c r="D74" s="35">
        <v>2411</v>
      </c>
      <c r="E74" s="35">
        <v>2656</v>
      </c>
      <c r="F74" s="36">
        <v>2735</v>
      </c>
      <c r="J74" s="35"/>
      <c r="K74" s="35"/>
      <c r="L74" s="35"/>
      <c r="M74" s="39"/>
      <c r="N74" s="39"/>
    </row>
    <row r="75" spans="1:14">
      <c r="A75" s="24" t="s">
        <v>94</v>
      </c>
      <c r="B75" s="34">
        <v>30335</v>
      </c>
      <c r="C75" s="35">
        <v>31991</v>
      </c>
      <c r="D75" s="35">
        <v>33226</v>
      </c>
      <c r="E75" s="35">
        <v>34656</v>
      </c>
      <c r="F75" s="36">
        <v>35680</v>
      </c>
      <c r="J75" s="35"/>
      <c r="K75" s="35"/>
      <c r="L75" s="35"/>
      <c r="M75" s="35"/>
      <c r="N75" s="35"/>
    </row>
    <row r="76" spans="1:14">
      <c r="A76" s="24" t="s">
        <v>95</v>
      </c>
      <c r="B76" s="34">
        <v>3073</v>
      </c>
      <c r="C76" s="35">
        <v>3562</v>
      </c>
      <c r="D76" s="35">
        <v>3755</v>
      </c>
      <c r="E76" s="35">
        <v>4308</v>
      </c>
      <c r="F76" s="36">
        <v>4149</v>
      </c>
      <c r="J76" s="35"/>
      <c r="K76" s="35"/>
      <c r="L76" s="35"/>
      <c r="M76" s="35"/>
      <c r="N76" s="35"/>
    </row>
    <row r="77" spans="1:14">
      <c r="A77" s="24" t="s">
        <v>96</v>
      </c>
      <c r="B77" s="34">
        <v>29837</v>
      </c>
      <c r="C77" s="35">
        <v>31334</v>
      </c>
      <c r="D77" s="35">
        <v>32711</v>
      </c>
      <c r="E77" s="35">
        <v>34570</v>
      </c>
      <c r="F77" s="36">
        <v>36117</v>
      </c>
      <c r="J77" s="35"/>
      <c r="K77" s="35"/>
      <c r="L77" s="35"/>
      <c r="M77" s="35"/>
      <c r="N77" s="35"/>
    </row>
    <row r="78" spans="1:14">
      <c r="A78" s="23" t="s">
        <v>97</v>
      </c>
      <c r="B78" s="31">
        <v>25</v>
      </c>
      <c r="C78" s="32">
        <v>26</v>
      </c>
      <c r="D78" s="32">
        <v>555</v>
      </c>
      <c r="E78" s="32">
        <v>424</v>
      </c>
      <c r="F78" s="33">
        <v>499</v>
      </c>
      <c r="J78" s="32"/>
      <c r="K78" s="32"/>
      <c r="L78" s="32"/>
      <c r="M78" s="32"/>
      <c r="N78" s="32"/>
    </row>
    <row r="79" spans="1:14">
      <c r="A79" s="24" t="s">
        <v>98</v>
      </c>
      <c r="B79" s="34">
        <v>0</v>
      </c>
      <c r="C79" s="35">
        <v>0</v>
      </c>
      <c r="D79" s="35">
        <v>256</v>
      </c>
      <c r="E79" s="35">
        <v>295</v>
      </c>
      <c r="F79" s="36">
        <v>304</v>
      </c>
      <c r="J79" s="35"/>
      <c r="K79" s="35"/>
      <c r="L79" s="35"/>
      <c r="M79" s="35"/>
      <c r="N79" s="35"/>
    </row>
    <row r="80" spans="1:14">
      <c r="A80" s="24" t="s">
        <v>99</v>
      </c>
      <c r="B80" s="34">
        <v>25</v>
      </c>
      <c r="C80" s="35">
        <v>26</v>
      </c>
      <c r="D80" s="35">
        <v>299</v>
      </c>
      <c r="E80" s="35">
        <v>129</v>
      </c>
      <c r="F80" s="36">
        <v>195</v>
      </c>
      <c r="J80" s="35"/>
      <c r="K80" s="35"/>
      <c r="L80" s="35"/>
      <c r="M80" s="35"/>
      <c r="N80" s="35"/>
    </row>
    <row r="81" spans="1:14">
      <c r="A81" s="23" t="s">
        <v>100</v>
      </c>
      <c r="B81" s="31">
        <v>5641</v>
      </c>
      <c r="C81" s="32">
        <v>6178</v>
      </c>
      <c r="D81" s="32">
        <v>7019</v>
      </c>
      <c r="E81" s="32">
        <v>8177</v>
      </c>
      <c r="F81" s="33">
        <v>7364</v>
      </c>
      <c r="J81" s="32"/>
      <c r="K81" s="32"/>
      <c r="L81" s="32"/>
      <c r="M81" s="32"/>
      <c r="N81" s="32"/>
    </row>
    <row r="82" spans="1:14">
      <c r="A82" s="24" t="s">
        <v>101</v>
      </c>
      <c r="B82" s="34">
        <v>3367</v>
      </c>
      <c r="C82" s="35">
        <v>3692</v>
      </c>
      <c r="D82" s="35">
        <v>4223</v>
      </c>
      <c r="E82" s="35">
        <v>4872</v>
      </c>
      <c r="F82" s="36">
        <v>4300</v>
      </c>
      <c r="J82" s="35"/>
      <c r="K82" s="35"/>
      <c r="L82" s="35"/>
      <c r="M82" s="35"/>
      <c r="N82" s="35"/>
    </row>
    <row r="83" spans="1:14">
      <c r="A83" s="24" t="s">
        <v>102</v>
      </c>
      <c r="B83" s="34">
        <v>2274</v>
      </c>
      <c r="C83" s="35">
        <v>2486</v>
      </c>
      <c r="D83" s="35">
        <v>2796</v>
      </c>
      <c r="E83" s="35">
        <v>3305</v>
      </c>
      <c r="F83" s="36">
        <v>3064</v>
      </c>
      <c r="J83" s="35"/>
      <c r="K83" s="35"/>
      <c r="L83" s="35"/>
      <c r="M83" s="35"/>
      <c r="N83" s="35"/>
    </row>
    <row r="84" spans="1:14">
      <c r="A84" s="24" t="s">
        <v>103</v>
      </c>
      <c r="B84" s="34">
        <v>527</v>
      </c>
      <c r="C84" s="35">
        <v>176</v>
      </c>
      <c r="D84" s="35">
        <v>139</v>
      </c>
      <c r="E84" s="35">
        <v>126</v>
      </c>
      <c r="F84" s="36">
        <v>112</v>
      </c>
      <c r="J84" s="35"/>
      <c r="K84" s="35"/>
      <c r="L84" s="35"/>
      <c r="M84" s="35"/>
      <c r="N84" s="35"/>
    </row>
    <row r="85" spans="1:14">
      <c r="A85" s="23" t="s">
        <v>104</v>
      </c>
      <c r="B85" s="31">
        <v>672</v>
      </c>
      <c r="C85" s="32">
        <v>1054</v>
      </c>
      <c r="D85" s="32">
        <v>2720</v>
      </c>
      <c r="E85" s="32">
        <v>1464</v>
      </c>
      <c r="F85" s="33">
        <v>1457</v>
      </c>
      <c r="J85" s="32"/>
      <c r="K85" s="32"/>
      <c r="L85" s="32"/>
      <c r="M85" s="32"/>
      <c r="N85" s="32"/>
    </row>
    <row r="86" spans="1:14">
      <c r="A86" s="24" t="s">
        <v>105</v>
      </c>
      <c r="B86" s="42"/>
      <c r="C86" s="39"/>
      <c r="D86" s="35">
        <v>1824</v>
      </c>
      <c r="E86" s="35">
        <v>510</v>
      </c>
      <c r="F86" s="36">
        <v>480</v>
      </c>
      <c r="J86" s="35"/>
      <c r="K86" s="35"/>
      <c r="L86" s="35"/>
      <c r="M86" s="39"/>
      <c r="N86" s="39"/>
    </row>
    <row r="87" spans="1:14">
      <c r="A87" s="24" t="s">
        <v>106</v>
      </c>
      <c r="B87" s="34">
        <v>672</v>
      </c>
      <c r="C87" s="35">
        <v>1054</v>
      </c>
      <c r="D87" s="35">
        <v>896</v>
      </c>
      <c r="E87" s="35">
        <v>954</v>
      </c>
      <c r="F87" s="36">
        <v>977</v>
      </c>
      <c r="J87" s="35"/>
      <c r="K87" s="35"/>
      <c r="L87" s="35"/>
      <c r="M87" s="35"/>
      <c r="N87" s="35"/>
    </row>
    <row r="88" spans="1:14">
      <c r="A88" s="40" t="s">
        <v>107</v>
      </c>
      <c r="B88" s="34">
        <v>62408</v>
      </c>
      <c r="C88" s="35">
        <v>69405</v>
      </c>
      <c r="D88" s="35">
        <v>71124</v>
      </c>
      <c r="E88" s="35">
        <v>70857</v>
      </c>
      <c r="F88" s="36">
        <v>70070</v>
      </c>
      <c r="J88" s="35"/>
      <c r="K88" s="35"/>
      <c r="L88" s="35"/>
      <c r="M88" s="35"/>
      <c r="N88" s="35"/>
    </row>
    <row r="89" spans="1:14">
      <c r="A89" s="24" t="s">
        <v>108</v>
      </c>
      <c r="B89" s="34">
        <v>3183</v>
      </c>
      <c r="C89" s="35">
        <v>2711</v>
      </c>
      <c r="D89" s="35">
        <v>2962</v>
      </c>
      <c r="E89" s="35">
        <v>4057</v>
      </c>
      <c r="F89" s="36">
        <v>2571</v>
      </c>
      <c r="G89" s="2">
        <f>'Workshop #5'!P60</f>
        <v>2571</v>
      </c>
      <c r="H89" s="2">
        <f>'Workshop #5'!Q60</f>
        <v>2571</v>
      </c>
      <c r="I89" s="2">
        <f>'Workshop #5'!R60</f>
        <v>2571</v>
      </c>
      <c r="J89" s="2">
        <f>'Workshop #5'!S60</f>
        <v>2571</v>
      </c>
      <c r="K89" s="2">
        <f>'Workshop #5'!T60</f>
        <v>2571</v>
      </c>
      <c r="L89" s="35"/>
      <c r="M89" s="35"/>
      <c r="N89" s="35"/>
    </row>
    <row r="90" spans="1:14">
      <c r="A90" s="24" t="s">
        <v>109</v>
      </c>
      <c r="B90" s="34">
        <v>6455</v>
      </c>
      <c r="C90" s="35">
        <v>7523</v>
      </c>
      <c r="D90" s="35">
        <v>7512</v>
      </c>
      <c r="E90" s="35">
        <v>6340</v>
      </c>
      <c r="F90" s="36">
        <v>6302</v>
      </c>
      <c r="J90" s="35"/>
      <c r="K90" s="35"/>
      <c r="L90" s="35"/>
      <c r="M90" s="35"/>
      <c r="N90" s="35"/>
    </row>
    <row r="91" spans="1:14">
      <c r="A91" s="23" t="s">
        <v>110</v>
      </c>
      <c r="B91" s="31">
        <v>7378</v>
      </c>
      <c r="C91" s="32">
        <v>7335</v>
      </c>
      <c r="D91" s="32">
        <v>7666</v>
      </c>
      <c r="E91" s="32">
        <v>7279</v>
      </c>
      <c r="F91" s="33">
        <v>7568</v>
      </c>
      <c r="J91" s="32"/>
      <c r="K91" s="32"/>
      <c r="L91" s="32"/>
      <c r="M91" s="32"/>
      <c r="N91" s="32"/>
    </row>
    <row r="92" spans="1:14">
      <c r="A92" s="24" t="s">
        <v>111</v>
      </c>
      <c r="B92" s="34">
        <v>4496</v>
      </c>
      <c r="C92" s="35">
        <v>4857</v>
      </c>
      <c r="D92" s="35">
        <v>5170</v>
      </c>
      <c r="E92" s="35">
        <v>4703</v>
      </c>
      <c r="F92" s="36">
        <v>5045</v>
      </c>
      <c r="J92" s="35"/>
      <c r="K92" s="35"/>
      <c r="L92" s="35"/>
      <c r="M92" s="35"/>
      <c r="N92" s="35"/>
    </row>
    <row r="93" spans="1:14">
      <c r="A93" s="24" t="s">
        <v>112</v>
      </c>
      <c r="B93" s="34">
        <v>2882</v>
      </c>
      <c r="C93" s="35">
        <v>2478</v>
      </c>
      <c r="D93" s="35">
        <v>2496</v>
      </c>
      <c r="E93" s="35">
        <v>2576</v>
      </c>
      <c r="F93" s="36">
        <v>2523</v>
      </c>
      <c r="J93" s="35"/>
      <c r="K93" s="35"/>
      <c r="L93" s="35"/>
      <c r="M93" s="35"/>
      <c r="N93" s="35"/>
    </row>
    <row r="94" spans="1:14">
      <c r="A94" s="24" t="s">
        <v>113</v>
      </c>
      <c r="B94" s="34">
        <v>17016</v>
      </c>
      <c r="C94" s="35">
        <v>17569</v>
      </c>
      <c r="D94" s="35">
        <v>18140</v>
      </c>
      <c r="E94" s="35">
        <v>17676</v>
      </c>
      <c r="F94" s="36">
        <v>16441</v>
      </c>
      <c r="G94" s="2"/>
      <c r="H94" s="2"/>
      <c r="I94" s="2"/>
      <c r="J94" s="2"/>
      <c r="K94" s="2"/>
      <c r="L94" s="35"/>
      <c r="M94" s="35"/>
      <c r="N94" s="35"/>
    </row>
    <row r="95" spans="1:14">
      <c r="A95" s="23" t="s">
        <v>114</v>
      </c>
      <c r="B95" s="31">
        <v>24571</v>
      </c>
      <c r="C95" s="32">
        <v>22817</v>
      </c>
      <c r="D95" s="32">
        <v>20559</v>
      </c>
      <c r="E95" s="32">
        <v>22672</v>
      </c>
      <c r="F95" s="33">
        <v>23081</v>
      </c>
      <c r="G95" s="2">
        <f>'Workshop #5'!P63</f>
        <v>9544</v>
      </c>
      <c r="H95" s="2">
        <f>'Workshop #5'!Q63</f>
        <v>11206.888000000021</v>
      </c>
      <c r="I95" s="2">
        <f>'Workshop #5'!R63</f>
        <v>13085.843520000024</v>
      </c>
      <c r="J95" s="2">
        <f>'Workshop #5'!S63</f>
        <v>15039.957260800031</v>
      </c>
      <c r="K95" s="2">
        <f>'Workshop #5'!T63</f>
        <v>17072.235551232021</v>
      </c>
      <c r="L95" s="32"/>
      <c r="M95" s="32"/>
      <c r="N95" s="32"/>
    </row>
    <row r="96" spans="1:14">
      <c r="A96" s="24" t="s">
        <v>115</v>
      </c>
      <c r="B96" s="34">
        <v>21745</v>
      </c>
      <c r="C96" s="35">
        <v>19505</v>
      </c>
      <c r="D96" s="35">
        <v>17023</v>
      </c>
      <c r="E96" s="35">
        <v>18548</v>
      </c>
      <c r="F96" s="36">
        <v>19095</v>
      </c>
      <c r="J96" s="35"/>
      <c r="K96" s="35"/>
      <c r="L96" s="35"/>
      <c r="M96" s="35"/>
      <c r="N96" s="35"/>
    </row>
    <row r="97" spans="1:14">
      <c r="A97" s="24" t="s">
        <v>116</v>
      </c>
      <c r="B97" s="34">
        <v>2826</v>
      </c>
      <c r="C97" s="35">
        <v>3312</v>
      </c>
      <c r="D97" s="35">
        <v>3536</v>
      </c>
      <c r="E97" s="35">
        <v>4124</v>
      </c>
      <c r="F97" s="36">
        <v>3986</v>
      </c>
      <c r="J97" s="35"/>
      <c r="K97" s="35"/>
      <c r="L97" s="35"/>
      <c r="M97" s="35"/>
      <c r="N97" s="35"/>
    </row>
    <row r="98" spans="1:14">
      <c r="A98" s="24" t="s">
        <v>117</v>
      </c>
      <c r="B98" s="34">
        <v>16654</v>
      </c>
      <c r="C98" s="35">
        <v>8877</v>
      </c>
      <c r="D98" s="35">
        <v>5628</v>
      </c>
      <c r="E98" s="35">
        <v>6972</v>
      </c>
      <c r="F98" s="36">
        <v>7663</v>
      </c>
      <c r="J98" s="35"/>
      <c r="K98" s="35"/>
      <c r="L98" s="35"/>
      <c r="M98" s="35"/>
      <c r="N98" s="35"/>
    </row>
    <row r="99" spans="1:14">
      <c r="A99" s="24" t="s">
        <v>118</v>
      </c>
      <c r="B99" s="34">
        <v>488</v>
      </c>
      <c r="C99" s="35">
        <v>3125</v>
      </c>
      <c r="D99" s="35">
        <v>4302</v>
      </c>
      <c r="E99" s="35">
        <v>3772</v>
      </c>
      <c r="F99" s="36">
        <v>3595</v>
      </c>
      <c r="J99" s="35"/>
      <c r="K99" s="35"/>
      <c r="L99" s="35"/>
      <c r="M99" s="35"/>
      <c r="N99" s="35"/>
    </row>
    <row r="100" spans="1:14">
      <c r="A100" s="23" t="s">
        <v>119</v>
      </c>
      <c r="B100" s="31">
        <v>3010</v>
      </c>
      <c r="C100" s="32">
        <v>2748</v>
      </c>
      <c r="D100" s="32">
        <v>2692</v>
      </c>
      <c r="E100" s="32">
        <v>2451</v>
      </c>
      <c r="F100" s="33">
        <v>2547</v>
      </c>
      <c r="J100" s="32"/>
      <c r="K100" s="32"/>
      <c r="L100" s="32"/>
      <c r="M100" s="32"/>
      <c r="N100" s="32"/>
    </row>
    <row r="101" spans="1:14">
      <c r="A101" s="24" t="s">
        <v>120</v>
      </c>
      <c r="B101" s="34">
        <v>2984</v>
      </c>
      <c r="C101" s="35">
        <v>2723</v>
      </c>
      <c r="D101" s="35">
        <v>2666</v>
      </c>
      <c r="E101" s="35">
        <v>2426</v>
      </c>
      <c r="F101" s="36">
        <v>2520</v>
      </c>
      <c r="J101" s="35"/>
      <c r="K101" s="35"/>
      <c r="L101" s="35"/>
      <c r="M101" s="35"/>
      <c r="N101" s="35"/>
    </row>
    <row r="102" spans="1:14">
      <c r="A102" s="24" t="s">
        <v>121</v>
      </c>
      <c r="B102" s="34">
        <v>26</v>
      </c>
      <c r="C102" s="35">
        <v>25</v>
      </c>
      <c r="D102" s="35">
        <v>26</v>
      </c>
      <c r="E102" s="35">
        <v>25</v>
      </c>
      <c r="F102" s="36">
        <v>27</v>
      </c>
      <c r="J102" s="35"/>
      <c r="K102" s="35"/>
      <c r="L102" s="35"/>
      <c r="M102" s="35"/>
      <c r="N102" s="35"/>
    </row>
    <row r="103" spans="1:14">
      <c r="A103" s="24" t="s">
        <v>122</v>
      </c>
      <c r="B103" s="34">
        <v>61739</v>
      </c>
      <c r="C103" s="35">
        <v>55136</v>
      </c>
      <c r="D103" s="35">
        <v>51321</v>
      </c>
      <c r="E103" s="35">
        <v>53543</v>
      </c>
      <c r="F103" s="36">
        <v>53327</v>
      </c>
      <c r="J103" s="35"/>
      <c r="K103" s="35"/>
      <c r="L103" s="35"/>
      <c r="M103" s="35"/>
      <c r="N103" s="35"/>
    </row>
    <row r="104" spans="1:14">
      <c r="A104" s="23" t="s">
        <v>123</v>
      </c>
      <c r="B104" s="31">
        <v>657</v>
      </c>
      <c r="C104" s="32">
        <v>14253</v>
      </c>
      <c r="D104" s="32">
        <v>19786</v>
      </c>
      <c r="E104" s="32">
        <v>17306</v>
      </c>
      <c r="F104" s="33">
        <v>16718</v>
      </c>
      <c r="J104" s="32"/>
      <c r="K104" s="32"/>
      <c r="L104" s="32"/>
      <c r="M104" s="32"/>
      <c r="N104" s="32"/>
    </row>
    <row r="105" spans="1:14">
      <c r="A105" s="24" t="s">
        <v>124</v>
      </c>
      <c r="B105" s="34">
        <v>9</v>
      </c>
      <c r="C105" s="35">
        <v>9</v>
      </c>
      <c r="D105" s="35">
        <v>9</v>
      </c>
      <c r="E105" s="35">
        <v>9</v>
      </c>
      <c r="F105" s="36">
        <v>9</v>
      </c>
      <c r="J105" s="35"/>
      <c r="K105" s="35"/>
      <c r="L105" s="35"/>
      <c r="M105" s="35"/>
      <c r="N105" s="35"/>
    </row>
    <row r="106" spans="1:14">
      <c r="A106" s="24" t="s">
        <v>125</v>
      </c>
      <c r="B106" s="34">
        <v>865</v>
      </c>
      <c r="C106" s="35">
        <v>1343</v>
      </c>
      <c r="D106" s="35">
        <v>0</v>
      </c>
      <c r="E106" s="35">
        <v>0</v>
      </c>
      <c r="F106" s="36">
        <v>136</v>
      </c>
      <c r="J106" s="35"/>
      <c r="K106" s="35"/>
      <c r="L106" s="35"/>
      <c r="M106" s="35"/>
      <c r="N106" s="35"/>
    </row>
    <row r="107" spans="1:14">
      <c r="A107" s="24" t="s">
        <v>126</v>
      </c>
      <c r="B107" s="34">
        <v>6896</v>
      </c>
      <c r="C107" s="35">
        <v>16179</v>
      </c>
      <c r="D107" s="35">
        <v>21326</v>
      </c>
      <c r="E107" s="35">
        <v>21055</v>
      </c>
      <c r="F107" s="36">
        <v>20882</v>
      </c>
      <c r="J107" s="35"/>
      <c r="K107" s="35"/>
      <c r="L107" s="35"/>
      <c r="M107" s="35"/>
      <c r="N107" s="35"/>
    </row>
    <row r="108" spans="1:14">
      <c r="A108" s="24" t="s">
        <v>127</v>
      </c>
      <c r="B108" s="31">
        <v>-981</v>
      </c>
      <c r="C108" s="32">
        <v>-1162</v>
      </c>
      <c r="D108" s="32">
        <v>-1446</v>
      </c>
      <c r="E108" s="32">
        <v>-1248</v>
      </c>
      <c r="F108" s="33">
        <v>-1586</v>
      </c>
      <c r="J108" s="32"/>
      <c r="K108" s="32"/>
      <c r="L108" s="32"/>
      <c r="M108" s="32"/>
      <c r="N108" s="32"/>
    </row>
    <row r="109" spans="1:14">
      <c r="A109" s="24" t="s">
        <v>128</v>
      </c>
      <c r="B109" s="34">
        <v>6</v>
      </c>
      <c r="C109" s="32">
        <v>-1</v>
      </c>
      <c r="D109" s="32">
        <v>-11</v>
      </c>
      <c r="E109" s="32">
        <v>-2</v>
      </c>
      <c r="F109" s="33">
        <v>-1</v>
      </c>
      <c r="J109" s="32"/>
      <c r="K109" s="32"/>
      <c r="L109" s="32"/>
      <c r="M109" s="32"/>
      <c r="N109" s="35"/>
    </row>
    <row r="110" spans="1:14">
      <c r="A110" s="24" t="s">
        <v>129</v>
      </c>
      <c r="B110" s="31">
        <v>-6118</v>
      </c>
      <c r="C110" s="32">
        <v>-2099</v>
      </c>
      <c r="D110" s="32">
        <v>-79</v>
      </c>
      <c r="E110" s="32">
        <v>-2499</v>
      </c>
      <c r="F110" s="33">
        <v>-2715</v>
      </c>
      <c r="J110" s="32"/>
      <c r="K110" s="32"/>
      <c r="L110" s="32"/>
      <c r="M110" s="32"/>
      <c r="N110" s="32"/>
    </row>
    <row r="111" spans="1:14">
      <c r="A111" s="24" t="s">
        <v>130</v>
      </c>
      <c r="B111" s="31">
        <v>-20</v>
      </c>
      <c r="C111" s="32">
        <v>-16</v>
      </c>
      <c r="D111" s="32">
        <v>-13</v>
      </c>
      <c r="E111" s="32">
        <v>-9</v>
      </c>
      <c r="F111" s="33">
        <v>-7</v>
      </c>
      <c r="J111" s="32"/>
      <c r="K111" s="32"/>
      <c r="L111" s="32"/>
      <c r="M111" s="32"/>
      <c r="N111" s="32"/>
    </row>
    <row r="112" spans="1:14">
      <c r="A112" s="24" t="s">
        <v>131</v>
      </c>
      <c r="B112" s="34">
        <v>657</v>
      </c>
      <c r="C112" s="35">
        <v>14253</v>
      </c>
      <c r="D112" s="35">
        <v>19786</v>
      </c>
      <c r="E112" s="35">
        <v>17306</v>
      </c>
      <c r="F112" s="36">
        <v>16718</v>
      </c>
      <c r="J112" s="35"/>
      <c r="K112" s="35"/>
      <c r="L112" s="35"/>
      <c r="M112" s="35"/>
      <c r="N112" s="35"/>
    </row>
    <row r="113" spans="1:14">
      <c r="A113" s="24" t="s">
        <v>132</v>
      </c>
      <c r="B113" s="34">
        <v>12</v>
      </c>
      <c r="C113" s="35">
        <v>16</v>
      </c>
      <c r="D113" s="35">
        <v>17</v>
      </c>
      <c r="E113" s="35">
        <v>8</v>
      </c>
      <c r="F113" s="36">
        <v>25</v>
      </c>
      <c r="J113" s="35"/>
      <c r="K113" s="35"/>
      <c r="L113" s="35"/>
      <c r="M113" s="35"/>
      <c r="N113" s="35"/>
    </row>
    <row r="114" spans="1:14">
      <c r="A114" s="24" t="s">
        <v>133</v>
      </c>
      <c r="B114" s="34">
        <v>669</v>
      </c>
      <c r="C114" s="35">
        <v>14269</v>
      </c>
      <c r="D114" s="35">
        <v>19803</v>
      </c>
      <c r="E114" s="35">
        <v>17314</v>
      </c>
      <c r="F114" s="36">
        <v>16743</v>
      </c>
      <c r="G114" s="2">
        <f>'Workshop #5'!F68</f>
        <v>17412.72</v>
      </c>
      <c r="H114" s="2">
        <f>'Workshop #5'!G68</f>
        <v>18109.228800000004</v>
      </c>
      <c r="I114" s="2">
        <f>'Workshop #5'!H68</f>
        <v>18833.597952000004</v>
      </c>
      <c r="J114" s="2">
        <f>'Workshop #5'!I68</f>
        <v>19586.941870080005</v>
      </c>
      <c r="K114" s="2">
        <f>'Workshop #5'!J68</f>
        <v>20370.419544883203</v>
      </c>
      <c r="L114" s="35"/>
      <c r="M114" s="35"/>
      <c r="N114" s="35"/>
    </row>
    <row r="115" spans="1:14">
      <c r="A115" s="41" t="s">
        <v>134</v>
      </c>
      <c r="B115" s="45">
        <v>62408</v>
      </c>
      <c r="C115" s="46">
        <v>69405</v>
      </c>
      <c r="D115" s="46">
        <v>71124</v>
      </c>
      <c r="E115" s="46">
        <v>70857</v>
      </c>
      <c r="F115" s="47">
        <v>70070</v>
      </c>
      <c r="J115" s="35"/>
      <c r="K115" s="35"/>
      <c r="L115" s="35"/>
      <c r="M115" s="35"/>
      <c r="N115" s="35"/>
    </row>
    <row r="116" spans="1:14">
      <c r="A116" s="24" t="s">
        <v>2152</v>
      </c>
      <c r="B116" s="2">
        <f>B89+B95</f>
        <v>27754</v>
      </c>
      <c r="C116" s="2">
        <f t="shared" ref="C116:K116" si="1">C89+C95</f>
        <v>25528</v>
      </c>
      <c r="D116" s="2">
        <f t="shared" si="1"/>
        <v>23521</v>
      </c>
      <c r="E116" s="2">
        <f t="shared" si="1"/>
        <v>26729</v>
      </c>
      <c r="F116" s="2">
        <f t="shared" si="1"/>
        <v>25652</v>
      </c>
      <c r="G116" s="2">
        <f t="shared" si="1"/>
        <v>12115</v>
      </c>
      <c r="H116" s="2">
        <f t="shared" si="1"/>
        <v>13777.888000000021</v>
      </c>
      <c r="I116" s="2">
        <f t="shared" si="1"/>
        <v>15656.843520000024</v>
      </c>
      <c r="J116" s="2">
        <f t="shared" si="1"/>
        <v>17610.957260800031</v>
      </c>
      <c r="K116" s="2">
        <f t="shared" si="1"/>
        <v>19643.235551232021</v>
      </c>
    </row>
    <row r="117" spans="1:14">
      <c r="B117" s="35"/>
      <c r="C117" s="35"/>
      <c r="D117" s="35"/>
      <c r="E117" s="35"/>
      <c r="F117" s="35"/>
      <c r="J117" s="35"/>
      <c r="K117" s="35"/>
      <c r="L117" s="35"/>
      <c r="M117" s="35"/>
      <c r="N117" s="35"/>
    </row>
    <row r="118" spans="1:14">
      <c r="B118" s="35"/>
      <c r="C118" s="35"/>
      <c r="D118" s="35"/>
      <c r="E118" s="35"/>
      <c r="F118" s="35"/>
      <c r="J118" s="35"/>
      <c r="K118" s="35"/>
      <c r="L118" s="35"/>
      <c r="M118" s="35"/>
      <c r="N118" s="35"/>
    </row>
    <row r="120" spans="1:14" ht="22">
      <c r="A120" s="676" t="s">
        <v>1724</v>
      </c>
      <c r="B120" s="676"/>
    </row>
    <row r="121" spans="1:14">
      <c r="A121" s="5" t="s">
        <v>1723</v>
      </c>
      <c r="B121" s="81" t="s">
        <v>1717</v>
      </c>
      <c r="C121" s="82" t="s">
        <v>1718</v>
      </c>
      <c r="D121" s="82" t="s">
        <v>1719</v>
      </c>
      <c r="E121" s="82" t="s">
        <v>1720</v>
      </c>
      <c r="F121" s="83" t="s">
        <v>1721</v>
      </c>
      <c r="I121" s="63"/>
      <c r="J121" s="63"/>
      <c r="K121" s="63"/>
      <c r="L121" s="63"/>
      <c r="M121" s="63"/>
    </row>
    <row r="122" spans="1:14">
      <c r="A122" s="84" t="s">
        <v>1725</v>
      </c>
      <c r="B122" s="87"/>
      <c r="C122" s="88"/>
      <c r="D122" s="88"/>
      <c r="E122" s="88"/>
      <c r="F122" s="89"/>
      <c r="I122" s="63"/>
      <c r="J122" s="63"/>
      <c r="K122" s="63"/>
      <c r="L122" s="63"/>
      <c r="M122" s="63"/>
    </row>
    <row r="123" spans="1:14">
      <c r="A123" s="85" t="s">
        <v>1726</v>
      </c>
      <c r="B123" s="90">
        <v>1343</v>
      </c>
      <c r="C123" s="79">
        <v>12890</v>
      </c>
      <c r="D123" s="79">
        <v>11548</v>
      </c>
      <c r="E123" s="79">
        <v>6708</v>
      </c>
      <c r="F123" s="91">
        <v>5782</v>
      </c>
      <c r="I123" s="79"/>
      <c r="J123" s="79"/>
      <c r="K123" s="79"/>
      <c r="L123" s="79"/>
      <c r="M123" s="79"/>
    </row>
    <row r="124" spans="1:14">
      <c r="A124" s="85" t="s">
        <v>1727</v>
      </c>
      <c r="B124" s="90">
        <v>2698</v>
      </c>
      <c r="C124" s="79">
        <v>2953</v>
      </c>
      <c r="D124" s="79">
        <v>3188</v>
      </c>
      <c r="E124" s="79">
        <v>3366</v>
      </c>
      <c r="F124" s="91">
        <v>3609</v>
      </c>
      <c r="I124" s="79"/>
      <c r="J124" s="79"/>
      <c r="K124" s="79"/>
      <c r="L124" s="79"/>
      <c r="M124" s="79"/>
    </row>
    <row r="125" spans="1:14">
      <c r="A125" s="85" t="s">
        <v>1728</v>
      </c>
      <c r="B125" s="90">
        <v>2282</v>
      </c>
      <c r="C125" s="79">
        <v>2478</v>
      </c>
      <c r="D125" s="79">
        <v>2663</v>
      </c>
      <c r="E125" s="79">
        <v>2769</v>
      </c>
      <c r="F125" s="91">
        <v>2961</v>
      </c>
      <c r="I125" s="79"/>
      <c r="J125" s="79"/>
      <c r="K125" s="79"/>
      <c r="L125" s="79"/>
      <c r="M125" s="79"/>
    </row>
    <row r="126" spans="1:14">
      <c r="A126" s="85" t="s">
        <v>1729</v>
      </c>
      <c r="B126" s="90">
        <v>416</v>
      </c>
      <c r="C126" s="79">
        <v>475</v>
      </c>
      <c r="D126" s="79">
        <v>525</v>
      </c>
      <c r="E126" s="79">
        <v>597</v>
      </c>
      <c r="F126" s="91">
        <v>648</v>
      </c>
      <c r="I126" s="79"/>
      <c r="J126" s="79"/>
      <c r="K126" s="79"/>
      <c r="L126" s="79"/>
      <c r="M126" s="79"/>
    </row>
    <row r="127" spans="1:14">
      <c r="A127" s="85" t="s">
        <v>1730</v>
      </c>
      <c r="B127" s="90">
        <v>-858</v>
      </c>
      <c r="C127" s="79">
        <v>1645</v>
      </c>
      <c r="D127" s="79">
        <v>531</v>
      </c>
      <c r="E127" s="79">
        <v>199</v>
      </c>
      <c r="F127" s="91">
        <v>-15</v>
      </c>
      <c r="I127" s="79"/>
      <c r="J127" s="79"/>
      <c r="K127" s="79"/>
      <c r="L127" s="79"/>
      <c r="M127" s="79"/>
    </row>
    <row r="128" spans="1:14">
      <c r="A128" s="85" t="s">
        <v>1731</v>
      </c>
      <c r="B128" s="90">
        <v>-858</v>
      </c>
      <c r="C128" s="79">
        <v>1645</v>
      </c>
      <c r="D128" s="79">
        <v>531</v>
      </c>
      <c r="E128" s="79">
        <v>199</v>
      </c>
      <c r="F128" s="91">
        <v>-15</v>
      </c>
      <c r="I128" s="79"/>
      <c r="J128" s="79"/>
      <c r="K128" s="79"/>
      <c r="L128" s="79"/>
      <c r="M128" s="79"/>
    </row>
    <row r="129" spans="1:13">
      <c r="A129" s="85" t="s">
        <v>1732</v>
      </c>
      <c r="B129" s="90">
        <v>6216</v>
      </c>
      <c r="C129" s="79">
        <v>-1839</v>
      </c>
      <c r="D129" s="79">
        <v>-800</v>
      </c>
      <c r="E129" s="79">
        <v>479</v>
      </c>
      <c r="F129" s="91">
        <v>504</v>
      </c>
      <c r="I129" s="79"/>
      <c r="J129" s="79"/>
      <c r="K129" s="79"/>
      <c r="L129" s="79"/>
      <c r="M129" s="79"/>
    </row>
    <row r="130" spans="1:13">
      <c r="A130" s="85" t="s">
        <v>1733</v>
      </c>
      <c r="B130" s="90">
        <v>9399</v>
      </c>
      <c r="C130" s="79">
        <v>15649</v>
      </c>
      <c r="D130" s="79">
        <v>14467</v>
      </c>
      <c r="E130" s="79">
        <v>10752</v>
      </c>
      <c r="F130" s="91">
        <v>9880</v>
      </c>
      <c r="I130" s="79"/>
      <c r="J130" s="79"/>
      <c r="K130" s="79"/>
      <c r="L130" s="79"/>
      <c r="M130" s="79"/>
    </row>
    <row r="131" spans="1:13">
      <c r="A131" s="85" t="s">
        <v>1734</v>
      </c>
      <c r="B131" s="90">
        <v>1060</v>
      </c>
      <c r="C131" s="79">
        <v>-642</v>
      </c>
      <c r="D131" s="79">
        <v>-363</v>
      </c>
      <c r="E131" s="79">
        <v>-514</v>
      </c>
      <c r="F131" s="91">
        <v>242</v>
      </c>
      <c r="I131" s="79"/>
      <c r="J131" s="79"/>
      <c r="K131" s="79"/>
      <c r="L131" s="79"/>
      <c r="M131" s="79"/>
    </row>
    <row r="132" spans="1:13">
      <c r="A132" s="85" t="s">
        <v>1735</v>
      </c>
      <c r="B132" s="90">
        <v>-1562</v>
      </c>
      <c r="C132" s="79">
        <v>-2147</v>
      </c>
      <c r="D132" s="79">
        <v>-322</v>
      </c>
      <c r="E132" s="79">
        <v>1256</v>
      </c>
      <c r="F132" s="91">
        <v>-566</v>
      </c>
      <c r="I132" s="79"/>
      <c r="J132" s="79"/>
      <c r="K132" s="79"/>
      <c r="L132" s="79"/>
      <c r="M132" s="79"/>
    </row>
    <row r="133" spans="1:13">
      <c r="A133" s="85" t="s">
        <v>109</v>
      </c>
      <c r="B133" s="90">
        <v>904</v>
      </c>
      <c r="C133" s="79">
        <v>1265</v>
      </c>
      <c r="D133" s="79">
        <v>34</v>
      </c>
      <c r="E133" s="79">
        <v>-1377</v>
      </c>
      <c r="F133" s="91">
        <v>262</v>
      </c>
      <c r="I133" s="79"/>
      <c r="J133" s="79"/>
      <c r="K133" s="79"/>
      <c r="L133" s="79"/>
      <c r="M133" s="79"/>
    </row>
    <row r="134" spans="1:13">
      <c r="A134" s="85" t="s">
        <v>1736</v>
      </c>
      <c r="B134" s="90">
        <v>1631</v>
      </c>
      <c r="C134" s="79">
        <v>-245</v>
      </c>
      <c r="D134" s="79">
        <v>-189</v>
      </c>
      <c r="E134" s="79">
        <v>-296</v>
      </c>
      <c r="F134" s="91">
        <v>501</v>
      </c>
      <c r="I134" s="79"/>
      <c r="J134" s="79"/>
      <c r="K134" s="79"/>
      <c r="L134" s="79"/>
      <c r="M134" s="79"/>
    </row>
    <row r="135" spans="1:13">
      <c r="A135" s="85" t="s">
        <v>1737</v>
      </c>
      <c r="B135" s="90">
        <v>87</v>
      </c>
      <c r="C135" s="79">
        <v>485</v>
      </c>
      <c r="D135" s="79">
        <v>114</v>
      </c>
      <c r="E135" s="79">
        <v>-97</v>
      </c>
      <c r="F135" s="91">
        <v>45</v>
      </c>
      <c r="I135" s="79"/>
      <c r="J135" s="79"/>
      <c r="K135" s="79"/>
      <c r="L135" s="79"/>
      <c r="M135" s="79"/>
    </row>
    <row r="136" spans="1:13">
      <c r="A136" s="40" t="s">
        <v>1738</v>
      </c>
      <c r="B136" s="100">
        <v>10459</v>
      </c>
      <c r="C136" s="10">
        <v>15007</v>
      </c>
      <c r="D136" s="10">
        <v>14104</v>
      </c>
      <c r="E136" s="10">
        <v>10238</v>
      </c>
      <c r="F136" s="101">
        <v>10122</v>
      </c>
      <c r="I136" s="79"/>
      <c r="J136" s="79"/>
      <c r="K136" s="79"/>
      <c r="L136" s="79"/>
      <c r="M136" s="79"/>
    </row>
    <row r="137" spans="1:13">
      <c r="A137" s="85" t="s">
        <v>1739</v>
      </c>
      <c r="B137" s="92"/>
      <c r="C137" s="63"/>
      <c r="D137" s="63"/>
      <c r="E137" s="63"/>
      <c r="F137" s="65"/>
      <c r="I137" s="63"/>
      <c r="J137" s="63"/>
      <c r="K137" s="63"/>
      <c r="L137" s="63"/>
      <c r="M137" s="63"/>
    </row>
    <row r="138" spans="1:13">
      <c r="A138" s="85" t="s">
        <v>1740</v>
      </c>
      <c r="B138" s="90">
        <v>-5412</v>
      </c>
      <c r="C138" s="79">
        <v>-4194</v>
      </c>
      <c r="D138" s="79">
        <v>-4769</v>
      </c>
      <c r="E138" s="79">
        <v>-5158</v>
      </c>
      <c r="F138" s="91">
        <v>-3909</v>
      </c>
      <c r="I138" s="79"/>
      <c r="J138" s="79"/>
      <c r="K138" s="79"/>
      <c r="L138" s="79"/>
      <c r="M138" s="79"/>
    </row>
    <row r="139" spans="1:13">
      <c r="A139" s="85" t="s">
        <v>1741</v>
      </c>
      <c r="B139" s="90">
        <v>-5412</v>
      </c>
      <c r="C139" s="79">
        <v>-4194</v>
      </c>
      <c r="D139" s="79">
        <v>-4769</v>
      </c>
      <c r="E139" s="79">
        <v>-5158</v>
      </c>
      <c r="F139" s="91">
        <v>-3909</v>
      </c>
      <c r="I139" s="79"/>
      <c r="J139" s="79"/>
      <c r="K139" s="79"/>
      <c r="L139" s="79"/>
      <c r="M139" s="79"/>
    </row>
    <row r="140" spans="1:13">
      <c r="A140" s="85" t="s">
        <v>1742</v>
      </c>
      <c r="B140" s="90">
        <v>-20</v>
      </c>
      <c r="C140" s="79">
        <v>-602</v>
      </c>
      <c r="D140" s="79">
        <v>-755</v>
      </c>
      <c r="E140" s="79">
        <v>-1329</v>
      </c>
      <c r="F140" s="91">
        <v>-71</v>
      </c>
      <c r="I140" s="79"/>
      <c r="J140" s="79"/>
      <c r="K140" s="79"/>
      <c r="L140" s="79"/>
      <c r="M140" s="79"/>
    </row>
    <row r="141" spans="1:13">
      <c r="A141" s="85" t="s">
        <v>1743</v>
      </c>
      <c r="B141" s="90">
        <v>40</v>
      </c>
      <c r="C141" s="79">
        <v>872</v>
      </c>
      <c r="D141" s="79">
        <v>12</v>
      </c>
      <c r="E141" s="79">
        <v>193</v>
      </c>
      <c r="F141" s="91">
        <v>1115</v>
      </c>
      <c r="I141" s="79"/>
      <c r="J141" s="79"/>
      <c r="K141" s="79"/>
      <c r="L141" s="79"/>
      <c r="M141" s="79"/>
    </row>
    <row r="142" spans="1:13">
      <c r="A142" s="85" t="s">
        <v>1744</v>
      </c>
      <c r="B142" s="90">
        <v>106</v>
      </c>
      <c r="C142" s="79">
        <v>54</v>
      </c>
      <c r="D142" s="79">
        <v>-1651</v>
      </c>
      <c r="E142" s="79">
        <v>-820</v>
      </c>
      <c r="F142" s="91">
        <v>2672</v>
      </c>
      <c r="I142" s="79"/>
      <c r="J142" s="79"/>
      <c r="K142" s="79"/>
      <c r="L142" s="79"/>
      <c r="M142" s="79"/>
    </row>
    <row r="143" spans="1:13">
      <c r="A143" s="85" t="s">
        <v>1745</v>
      </c>
      <c r="B143" s="90">
        <v>254</v>
      </c>
      <c r="C143" s="79">
        <v>312</v>
      </c>
      <c r="D143" s="79">
        <v>1906</v>
      </c>
      <c r="E143" s="79">
        <v>3521</v>
      </c>
      <c r="F143" s="91">
        <v>76</v>
      </c>
      <c r="I143" s="79"/>
      <c r="J143" s="79"/>
      <c r="K143" s="79"/>
      <c r="L143" s="79"/>
      <c r="M143" s="79"/>
    </row>
    <row r="144" spans="1:13">
      <c r="A144" s="85" t="s">
        <v>1746</v>
      </c>
      <c r="B144" s="90">
        <v>360</v>
      </c>
      <c r="C144" s="79">
        <v>366</v>
      </c>
      <c r="D144" s="79">
        <v>255</v>
      </c>
      <c r="E144" s="79">
        <v>2701</v>
      </c>
      <c r="F144" s="91">
        <v>2748</v>
      </c>
      <c r="I144" s="79"/>
      <c r="J144" s="79"/>
      <c r="K144" s="79"/>
      <c r="L144" s="79"/>
      <c r="M144" s="79"/>
    </row>
    <row r="145" spans="1:13">
      <c r="A145" s="85" t="s">
        <v>1732</v>
      </c>
      <c r="B145" s="90">
        <v>3</v>
      </c>
      <c r="C145" s="79">
        <v>52</v>
      </c>
      <c r="D145" s="79">
        <v>-309</v>
      </c>
      <c r="E145" s="79">
        <v>-19</v>
      </c>
      <c r="F145" s="91">
        <v>-24</v>
      </c>
      <c r="I145" s="79"/>
      <c r="J145" s="79"/>
      <c r="K145" s="79"/>
      <c r="L145" s="79"/>
      <c r="M145" s="79"/>
    </row>
    <row r="146" spans="1:13">
      <c r="A146" s="85" t="s">
        <v>1747</v>
      </c>
      <c r="B146" s="90">
        <v>-41</v>
      </c>
      <c r="C146" s="79">
        <v>0</v>
      </c>
      <c r="D146" s="79">
        <v>-333</v>
      </c>
      <c r="E146" s="79">
        <v>-19</v>
      </c>
      <c r="F146" s="91">
        <v>-24</v>
      </c>
      <c r="I146" s="79"/>
      <c r="J146" s="79"/>
      <c r="K146" s="79"/>
      <c r="L146" s="79"/>
      <c r="M146" s="79"/>
    </row>
    <row r="147" spans="1:13">
      <c r="A147" s="85" t="s">
        <v>1748</v>
      </c>
      <c r="B147" s="90">
        <v>44</v>
      </c>
      <c r="C147" s="79">
        <v>52</v>
      </c>
      <c r="D147" s="79">
        <v>24</v>
      </c>
      <c r="E147" s="79">
        <v>0</v>
      </c>
      <c r="F147" s="91">
        <v>0</v>
      </c>
      <c r="I147" s="79"/>
      <c r="J147" s="79"/>
      <c r="K147" s="79"/>
      <c r="L147" s="79"/>
      <c r="M147" s="79"/>
    </row>
    <row r="148" spans="1:13">
      <c r="A148" s="40" t="s">
        <v>1749</v>
      </c>
      <c r="B148" s="100">
        <v>-5283</v>
      </c>
      <c r="C148" s="10">
        <v>-3818</v>
      </c>
      <c r="D148" s="10">
        <v>-7472</v>
      </c>
      <c r="E148" s="10">
        <v>-7133</v>
      </c>
      <c r="F148" s="101">
        <v>-217</v>
      </c>
      <c r="I148" s="79"/>
      <c r="J148" s="79"/>
      <c r="K148" s="79"/>
      <c r="L148" s="79"/>
      <c r="M148" s="79"/>
    </row>
    <row r="149" spans="1:13">
      <c r="A149" s="85" t="s">
        <v>1750</v>
      </c>
      <c r="B149" s="92"/>
      <c r="C149" s="63"/>
      <c r="D149" s="63"/>
      <c r="E149" s="63"/>
      <c r="F149" s="65"/>
      <c r="I149" s="63"/>
      <c r="J149" s="63"/>
      <c r="K149" s="63"/>
      <c r="L149" s="63"/>
      <c r="M149" s="63"/>
    </row>
    <row r="150" spans="1:13">
      <c r="A150" s="85" t="s">
        <v>1751</v>
      </c>
      <c r="B150" s="90">
        <v>-3374</v>
      </c>
      <c r="C150" s="79">
        <v>-3437</v>
      </c>
      <c r="D150" s="79">
        <v>-5114</v>
      </c>
      <c r="E150" s="79">
        <v>-5372</v>
      </c>
      <c r="F150" s="91">
        <v>-5399</v>
      </c>
      <c r="I150" s="79"/>
      <c r="J150" s="79"/>
      <c r="K150" s="79"/>
      <c r="L150" s="79"/>
      <c r="M150" s="79"/>
    </row>
    <row r="151" spans="1:13">
      <c r="A151" s="85" t="s">
        <v>1752</v>
      </c>
      <c r="B151" s="90">
        <v>-3374</v>
      </c>
      <c r="C151" s="79">
        <v>-3437</v>
      </c>
      <c r="D151" s="79">
        <v>-5114</v>
      </c>
      <c r="E151" s="79">
        <v>-5372</v>
      </c>
      <c r="F151" s="91">
        <v>-5399</v>
      </c>
      <c r="I151" s="79"/>
      <c r="J151" s="79"/>
      <c r="K151" s="79"/>
      <c r="L151" s="79"/>
      <c r="M151" s="79"/>
    </row>
    <row r="152" spans="1:13">
      <c r="A152" s="85" t="s">
        <v>1753</v>
      </c>
      <c r="B152" s="90">
        <v>61</v>
      </c>
      <c r="C152" s="79">
        <v>-249</v>
      </c>
      <c r="D152" s="79">
        <v>-3238</v>
      </c>
      <c r="E152" s="79">
        <v>-2002</v>
      </c>
      <c r="F152" s="91">
        <v>-268</v>
      </c>
      <c r="I152" s="79"/>
      <c r="J152" s="79"/>
      <c r="K152" s="79"/>
      <c r="L152" s="79"/>
      <c r="M152" s="79"/>
    </row>
    <row r="153" spans="1:13">
      <c r="A153" s="85" t="s">
        <v>1754</v>
      </c>
      <c r="B153" s="90">
        <v>-224</v>
      </c>
      <c r="C153" s="79">
        <v>-500</v>
      </c>
      <c r="D153" s="79">
        <v>-3500</v>
      </c>
      <c r="E153" s="79">
        <v>-2250</v>
      </c>
      <c r="F153" s="91">
        <v>-500</v>
      </c>
      <c r="I153" s="79"/>
      <c r="J153" s="79"/>
      <c r="K153" s="79"/>
      <c r="L153" s="79"/>
      <c r="M153" s="79"/>
    </row>
    <row r="154" spans="1:13">
      <c r="A154" s="85" t="s">
        <v>1755</v>
      </c>
      <c r="B154" s="90">
        <v>285</v>
      </c>
      <c r="C154" s="79">
        <v>251</v>
      </c>
      <c r="D154" s="79">
        <v>262</v>
      </c>
      <c r="E154" s="79">
        <v>248</v>
      </c>
      <c r="F154" s="91">
        <v>232</v>
      </c>
      <c r="I154" s="79"/>
      <c r="J154" s="79"/>
      <c r="K154" s="79"/>
      <c r="L154" s="79"/>
      <c r="M154" s="79"/>
    </row>
    <row r="155" spans="1:13">
      <c r="A155" s="85" t="s">
        <v>1756</v>
      </c>
      <c r="B155" s="90">
        <v>285</v>
      </c>
      <c r="C155" s="79">
        <v>251</v>
      </c>
      <c r="D155" s="79">
        <v>262</v>
      </c>
      <c r="E155" s="79">
        <v>248</v>
      </c>
      <c r="F155" s="91">
        <v>232</v>
      </c>
      <c r="I155" s="79"/>
      <c r="J155" s="79"/>
      <c r="K155" s="79"/>
      <c r="L155" s="79"/>
      <c r="M155" s="79"/>
    </row>
    <row r="156" spans="1:13">
      <c r="A156" s="85" t="s">
        <v>1757</v>
      </c>
      <c r="B156" s="90">
        <v>-851</v>
      </c>
      <c r="C156" s="79">
        <v>-2773</v>
      </c>
      <c r="D156" s="79">
        <v>-2304</v>
      </c>
      <c r="E156" s="79">
        <v>2272</v>
      </c>
      <c r="F156" s="91">
        <v>-974</v>
      </c>
      <c r="I156" s="79"/>
      <c r="J156" s="79"/>
      <c r="K156" s="79"/>
      <c r="L156" s="79"/>
      <c r="M156" s="79"/>
    </row>
    <row r="157" spans="1:13">
      <c r="A157" s="85" t="s">
        <v>1758</v>
      </c>
      <c r="B157" s="90">
        <v>-2462</v>
      </c>
      <c r="C157" s="79">
        <v>0</v>
      </c>
      <c r="D157" s="79">
        <v>0</v>
      </c>
      <c r="E157" s="79">
        <v>1272</v>
      </c>
      <c r="F157" s="91">
        <v>-1272</v>
      </c>
      <c r="I157" s="79"/>
      <c r="J157" s="79"/>
      <c r="K157" s="79"/>
      <c r="L157" s="79"/>
      <c r="M157" s="79"/>
    </row>
    <row r="158" spans="1:13">
      <c r="A158" s="85" t="s">
        <v>1759</v>
      </c>
      <c r="B158" s="90">
        <v>1611</v>
      </c>
      <c r="C158" s="79">
        <v>-2773</v>
      </c>
      <c r="D158" s="79">
        <v>-2304</v>
      </c>
      <c r="E158" s="79">
        <v>1000</v>
      </c>
      <c r="F158" s="91">
        <v>298</v>
      </c>
      <c r="I158" s="79"/>
      <c r="J158" s="79"/>
      <c r="K158" s="79"/>
      <c r="L158" s="79"/>
      <c r="M158" s="79"/>
    </row>
    <row r="159" spans="1:13">
      <c r="A159" s="85" t="s">
        <v>1760</v>
      </c>
      <c r="B159" s="90">
        <v>5003</v>
      </c>
      <c r="C159" s="79">
        <v>0</v>
      </c>
      <c r="D159" s="79">
        <v>0</v>
      </c>
      <c r="E159" s="79">
        <v>3429</v>
      </c>
      <c r="F159" s="91">
        <v>2785</v>
      </c>
      <c r="I159" s="79"/>
      <c r="J159" s="79"/>
      <c r="K159" s="79"/>
      <c r="L159" s="79"/>
      <c r="M159" s="79"/>
    </row>
    <row r="160" spans="1:13">
      <c r="A160" s="85" t="s">
        <v>1761</v>
      </c>
      <c r="B160" s="90">
        <v>-3392</v>
      </c>
      <c r="C160" s="79">
        <v>-2773</v>
      </c>
      <c r="D160" s="79">
        <v>-2304</v>
      </c>
      <c r="E160" s="79">
        <v>-2429</v>
      </c>
      <c r="F160" s="91">
        <v>-2487</v>
      </c>
      <c r="I160" s="79"/>
      <c r="J160" s="79"/>
      <c r="K160" s="79"/>
      <c r="L160" s="79"/>
      <c r="M160" s="79"/>
    </row>
    <row r="161" spans="1:13">
      <c r="A161" s="85" t="s">
        <v>1732</v>
      </c>
      <c r="B161" s="90">
        <v>-353</v>
      </c>
      <c r="C161" s="79">
        <v>-364</v>
      </c>
      <c r="D161" s="79">
        <v>-529</v>
      </c>
      <c r="E161" s="79">
        <v>-432</v>
      </c>
      <c r="F161" s="91">
        <v>-209</v>
      </c>
      <c r="I161" s="79"/>
      <c r="J161" s="79"/>
      <c r="K161" s="79"/>
      <c r="L161" s="79"/>
      <c r="M161" s="79"/>
    </row>
    <row r="162" spans="1:13">
      <c r="A162" s="85" t="s">
        <v>1747</v>
      </c>
      <c r="B162" s="90">
        <v>-353</v>
      </c>
      <c r="C162" s="79">
        <v>-364</v>
      </c>
      <c r="D162" s="79">
        <v>-529</v>
      </c>
      <c r="E162" s="79">
        <v>-432</v>
      </c>
      <c r="F162" s="91">
        <v>-209</v>
      </c>
      <c r="I162" s="79"/>
      <c r="J162" s="79"/>
      <c r="K162" s="79"/>
      <c r="L162" s="79"/>
      <c r="M162" s="79"/>
    </row>
    <row r="163" spans="1:13">
      <c r="A163" s="40" t="s">
        <v>1762</v>
      </c>
      <c r="B163" s="100">
        <v>-4517</v>
      </c>
      <c r="C163" s="10">
        <v>-6823</v>
      </c>
      <c r="D163" s="10">
        <v>-11185</v>
      </c>
      <c r="E163" s="10">
        <v>-5534</v>
      </c>
      <c r="F163" s="101">
        <v>-6850</v>
      </c>
      <c r="I163" s="79"/>
      <c r="J163" s="79"/>
      <c r="K163" s="79"/>
      <c r="L163" s="79"/>
      <c r="M163" s="79"/>
    </row>
    <row r="164" spans="1:13">
      <c r="A164" s="85" t="s">
        <v>1763</v>
      </c>
      <c r="B164" s="92"/>
      <c r="C164" s="63"/>
      <c r="D164" s="63"/>
      <c r="E164" s="63"/>
      <c r="F164" s="65"/>
      <c r="I164" s="63"/>
      <c r="J164" s="63"/>
      <c r="K164" s="63"/>
      <c r="L164" s="63"/>
      <c r="M164" s="63"/>
    </row>
    <row r="165" spans="1:13">
      <c r="A165" s="85" t="s">
        <v>1764</v>
      </c>
      <c r="B165" s="90">
        <v>13</v>
      </c>
      <c r="C165" s="79">
        <v>-21</v>
      </c>
      <c r="D165" s="79">
        <v>-100</v>
      </c>
      <c r="E165" s="79">
        <v>33</v>
      </c>
      <c r="F165" s="91">
        <v>-149</v>
      </c>
      <c r="I165" s="79"/>
      <c r="J165" s="79"/>
      <c r="K165" s="79"/>
      <c r="L165" s="79"/>
      <c r="M165" s="79"/>
    </row>
    <row r="166" spans="1:13">
      <c r="A166" s="85" t="s">
        <v>1765</v>
      </c>
      <c r="B166" s="90">
        <v>672</v>
      </c>
      <c r="C166" s="79">
        <v>4345</v>
      </c>
      <c r="D166" s="79">
        <v>-4653</v>
      </c>
      <c r="E166" s="79">
        <v>-2396</v>
      </c>
      <c r="F166" s="91">
        <v>2906</v>
      </c>
      <c r="I166" s="79"/>
      <c r="J166" s="79"/>
      <c r="K166" s="79"/>
      <c r="L166" s="79"/>
      <c r="M166" s="79"/>
    </row>
    <row r="167" spans="1:13">
      <c r="A167" s="85" t="s">
        <v>1766</v>
      </c>
      <c r="B167" s="90">
        <v>5047</v>
      </c>
      <c r="C167" s="79">
        <v>10813</v>
      </c>
      <c r="D167" s="79">
        <v>9335</v>
      </c>
      <c r="E167" s="79">
        <v>5080</v>
      </c>
      <c r="F167" s="91">
        <v>6213</v>
      </c>
      <c r="I167" s="79"/>
      <c r="J167" s="79"/>
      <c r="K167" s="79"/>
      <c r="L167" s="79"/>
      <c r="M167" s="79"/>
    </row>
    <row r="168" spans="1:13">
      <c r="A168" s="85" t="s">
        <v>1767</v>
      </c>
      <c r="B168" s="90">
        <v>5.7944890000000004</v>
      </c>
      <c r="C168" s="79">
        <v>12.31549</v>
      </c>
      <c r="D168" s="79">
        <v>10.668571</v>
      </c>
      <c r="E168" s="79">
        <v>5.9069770000000004</v>
      </c>
      <c r="F168" s="91">
        <v>7.258178</v>
      </c>
      <c r="I168" s="79"/>
      <c r="J168" s="79"/>
      <c r="K168" s="79"/>
      <c r="L168" s="79"/>
      <c r="M168" s="79"/>
    </row>
    <row r="169" spans="1:13">
      <c r="A169" s="86" t="s">
        <v>1768</v>
      </c>
      <c r="B169" s="93">
        <v>3.4409079999999999</v>
      </c>
      <c r="C169" s="94">
        <v>5.7457729999999998</v>
      </c>
      <c r="D169" s="94">
        <v>6.1370060000000004</v>
      </c>
      <c r="E169" s="94">
        <v>3.7569020000000002</v>
      </c>
      <c r="F169" s="95">
        <v>5.75589</v>
      </c>
      <c r="I169" s="80"/>
      <c r="J169" s="80"/>
      <c r="K169" s="80"/>
      <c r="L169" s="80"/>
      <c r="M169" s="80"/>
    </row>
    <row r="172" spans="1:13">
      <c r="A172" t="s">
        <v>2151</v>
      </c>
      <c r="B172" s="2">
        <f>B94+B95</f>
        <v>41587</v>
      </c>
    </row>
  </sheetData>
  <mergeCells count="3">
    <mergeCell ref="A2:B2"/>
    <mergeCell ref="A53:B53"/>
    <mergeCell ref="A120:B12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36BF0-F065-8A4D-A159-BB18E38CE6BF}">
  <dimension ref="A1:B122"/>
  <sheetViews>
    <sheetView topLeftCell="A19" workbookViewId="0">
      <selection activeCell="D6" sqref="D6"/>
    </sheetView>
  </sheetViews>
  <sheetFormatPr baseColWidth="10" defaultColWidth="11" defaultRowHeight="16"/>
  <sheetData>
    <row r="1" spans="1:2">
      <c r="A1" s="14" t="s">
        <v>1769</v>
      </c>
      <c r="B1" s="14" t="s">
        <v>1770</v>
      </c>
    </row>
    <row r="2" spans="1:2">
      <c r="A2" s="15">
        <v>46035</v>
      </c>
      <c r="B2" s="16">
        <v>106.58</v>
      </c>
    </row>
    <row r="3" spans="1:2">
      <c r="A3" s="17">
        <v>46022</v>
      </c>
      <c r="B3" s="18">
        <v>99.19</v>
      </c>
    </row>
    <row r="4" spans="1:2">
      <c r="A4" s="15">
        <v>45989</v>
      </c>
      <c r="B4" s="16">
        <v>95.79</v>
      </c>
    </row>
    <row r="5" spans="1:2">
      <c r="A5" s="17">
        <v>45961</v>
      </c>
      <c r="B5" s="18">
        <v>96.42</v>
      </c>
    </row>
    <row r="6" spans="1:2">
      <c r="A6" s="15">
        <v>45930</v>
      </c>
      <c r="B6" s="16">
        <v>83.53</v>
      </c>
    </row>
    <row r="7" spans="1:2">
      <c r="A7" s="17">
        <v>45898</v>
      </c>
      <c r="B7" s="18">
        <v>87.44</v>
      </c>
    </row>
    <row r="8" spans="1:2">
      <c r="A8" s="15">
        <v>45869</v>
      </c>
      <c r="B8" s="16">
        <v>86.16</v>
      </c>
    </row>
    <row r="9" spans="1:2">
      <c r="A9" s="17">
        <v>45838</v>
      </c>
      <c r="B9" s="18">
        <v>100.94</v>
      </c>
    </row>
    <row r="10" spans="1:2">
      <c r="A10" s="15">
        <v>45807</v>
      </c>
      <c r="B10" s="16">
        <v>97.54</v>
      </c>
    </row>
    <row r="11" spans="1:2">
      <c r="A11" s="17">
        <v>45777</v>
      </c>
      <c r="B11" s="18">
        <v>95.3</v>
      </c>
    </row>
    <row r="12" spans="1:2">
      <c r="A12" s="15">
        <v>45747</v>
      </c>
      <c r="B12" s="16">
        <v>109.99</v>
      </c>
    </row>
    <row r="13" spans="1:2">
      <c r="A13" s="17">
        <v>45716</v>
      </c>
      <c r="B13" s="18">
        <v>119.03</v>
      </c>
    </row>
    <row r="14" spans="1:2">
      <c r="A14" s="15">
        <v>45688</v>
      </c>
      <c r="B14" s="16">
        <v>114.23</v>
      </c>
    </row>
    <row r="15" spans="1:2">
      <c r="A15" s="17">
        <v>45657</v>
      </c>
      <c r="B15" s="18">
        <v>126.1</v>
      </c>
    </row>
    <row r="16" spans="1:2">
      <c r="A16" s="15">
        <v>45625</v>
      </c>
      <c r="B16" s="16">
        <v>135.72</v>
      </c>
    </row>
    <row r="17" spans="1:2">
      <c r="A17" s="17">
        <v>45596</v>
      </c>
      <c r="B17" s="18">
        <v>134.06</v>
      </c>
    </row>
    <row r="18" spans="1:2">
      <c r="A18" s="15">
        <v>45565</v>
      </c>
      <c r="B18" s="16">
        <v>136.34</v>
      </c>
    </row>
    <row r="19" spans="1:2">
      <c r="A19" s="17">
        <v>45534</v>
      </c>
      <c r="B19" s="18">
        <v>128.55000000000001</v>
      </c>
    </row>
    <row r="20" spans="1:2">
      <c r="A20" s="15">
        <v>45504</v>
      </c>
      <c r="B20" s="16">
        <v>130.37</v>
      </c>
    </row>
    <row r="21" spans="1:2">
      <c r="A21" s="17">
        <v>45471</v>
      </c>
      <c r="B21" s="18">
        <v>136.85</v>
      </c>
    </row>
    <row r="22" spans="1:2">
      <c r="A22" s="15">
        <v>45443</v>
      </c>
      <c r="B22" s="16">
        <v>138.93</v>
      </c>
    </row>
    <row r="23" spans="1:2">
      <c r="A23" s="17">
        <v>45412</v>
      </c>
      <c r="B23" s="18">
        <v>147.47999999999999</v>
      </c>
    </row>
    <row r="24" spans="1:2">
      <c r="A24" s="15">
        <v>45379</v>
      </c>
      <c r="B24" s="16">
        <v>148.63</v>
      </c>
    </row>
    <row r="25" spans="1:2">
      <c r="A25" s="17">
        <v>45351</v>
      </c>
      <c r="B25" s="18">
        <v>148.26</v>
      </c>
    </row>
    <row r="26" spans="1:2">
      <c r="A26" s="15">
        <v>45322</v>
      </c>
      <c r="B26" s="16">
        <v>141.9</v>
      </c>
    </row>
    <row r="27" spans="1:2">
      <c r="A27" s="17">
        <v>45289</v>
      </c>
      <c r="B27" s="18">
        <v>157.22999999999999</v>
      </c>
    </row>
    <row r="28" spans="1:2">
      <c r="A28" s="15">
        <v>45260</v>
      </c>
      <c r="B28" s="16">
        <v>151.61000000000001</v>
      </c>
    </row>
    <row r="29" spans="1:2">
      <c r="A29" s="17">
        <v>45230</v>
      </c>
      <c r="B29" s="18">
        <v>141.25</v>
      </c>
    </row>
    <row r="30" spans="1:2">
      <c r="A30" s="15">
        <v>45198</v>
      </c>
      <c r="B30" s="16">
        <v>155.87</v>
      </c>
    </row>
    <row r="31" spans="1:2">
      <c r="A31" s="17">
        <v>45169</v>
      </c>
      <c r="B31" s="18">
        <v>169.4</v>
      </c>
    </row>
    <row r="32" spans="1:2">
      <c r="A32" s="15">
        <v>45138</v>
      </c>
      <c r="B32" s="16">
        <v>187.13</v>
      </c>
    </row>
    <row r="33" spans="1:2">
      <c r="A33" s="17">
        <v>45107</v>
      </c>
      <c r="B33" s="18">
        <v>179.25</v>
      </c>
    </row>
    <row r="34" spans="1:2">
      <c r="A34" s="15">
        <v>45077</v>
      </c>
      <c r="B34" s="16">
        <v>167</v>
      </c>
    </row>
    <row r="35" spans="1:2">
      <c r="A35" s="17">
        <v>45044</v>
      </c>
      <c r="B35" s="18">
        <v>179.81</v>
      </c>
    </row>
    <row r="36" spans="1:2">
      <c r="A36" s="15">
        <v>45016</v>
      </c>
      <c r="B36" s="16">
        <v>193.99</v>
      </c>
    </row>
    <row r="37" spans="1:2">
      <c r="A37" s="17">
        <v>44985</v>
      </c>
      <c r="B37" s="18">
        <v>182.49</v>
      </c>
    </row>
    <row r="38" spans="1:2">
      <c r="A38" s="15">
        <v>44957</v>
      </c>
      <c r="B38" s="16">
        <v>185.23</v>
      </c>
    </row>
    <row r="39" spans="1:2">
      <c r="A39" s="17">
        <v>44925</v>
      </c>
      <c r="B39" s="18">
        <v>173.84</v>
      </c>
    </row>
    <row r="40" spans="1:2">
      <c r="A40" s="15">
        <v>44895</v>
      </c>
      <c r="B40" s="16">
        <v>189.73</v>
      </c>
    </row>
    <row r="41" spans="1:2">
      <c r="A41" s="17">
        <v>44865</v>
      </c>
      <c r="B41" s="18">
        <v>167.77</v>
      </c>
    </row>
    <row r="42" spans="1:2">
      <c r="A42" s="15">
        <v>44834</v>
      </c>
      <c r="B42" s="16">
        <v>161.54</v>
      </c>
    </row>
    <row r="43" spans="1:2">
      <c r="A43" s="17">
        <v>44804</v>
      </c>
      <c r="B43" s="18">
        <v>194.51</v>
      </c>
    </row>
    <row r="44" spans="1:2">
      <c r="A44" s="15">
        <v>44771</v>
      </c>
      <c r="B44" s="16">
        <v>194.89</v>
      </c>
    </row>
    <row r="45" spans="1:2">
      <c r="A45" s="17">
        <v>44742</v>
      </c>
      <c r="B45" s="18">
        <v>182.54</v>
      </c>
    </row>
    <row r="46" spans="1:2">
      <c r="A46" s="15">
        <v>44712</v>
      </c>
      <c r="B46" s="16">
        <v>182.25</v>
      </c>
    </row>
    <row r="47" spans="1:2">
      <c r="A47" s="17">
        <v>44680</v>
      </c>
      <c r="B47" s="18">
        <v>179.98</v>
      </c>
    </row>
    <row r="48" spans="1:2">
      <c r="A48" s="15">
        <v>44651</v>
      </c>
      <c r="B48" s="16">
        <v>214.46</v>
      </c>
    </row>
    <row r="49" spans="1:2">
      <c r="A49" s="17">
        <v>44620</v>
      </c>
      <c r="B49" s="18">
        <v>210.42</v>
      </c>
    </row>
    <row r="50" spans="1:2">
      <c r="A50" s="15">
        <v>44592</v>
      </c>
      <c r="B50" s="16">
        <v>202.21</v>
      </c>
    </row>
    <row r="51" spans="1:2">
      <c r="A51" s="17">
        <v>44561</v>
      </c>
      <c r="B51" s="18">
        <v>214.34</v>
      </c>
    </row>
    <row r="52" spans="1:2">
      <c r="A52" s="15">
        <v>44530</v>
      </c>
      <c r="B52" s="16">
        <v>198.37</v>
      </c>
    </row>
    <row r="53" spans="1:2">
      <c r="A53" s="17">
        <v>44498</v>
      </c>
      <c r="B53" s="18">
        <v>213.47</v>
      </c>
    </row>
    <row r="54" spans="1:2">
      <c r="A54" s="15">
        <v>44469</v>
      </c>
      <c r="B54" s="16">
        <v>182.1</v>
      </c>
    </row>
    <row r="55" spans="1:2">
      <c r="A55" s="17">
        <v>44439</v>
      </c>
      <c r="B55" s="18">
        <v>195.63</v>
      </c>
    </row>
    <row r="56" spans="1:2">
      <c r="A56" s="15">
        <v>44407</v>
      </c>
      <c r="B56" s="16">
        <v>191.36</v>
      </c>
    </row>
    <row r="57" spans="1:2">
      <c r="A57" s="17">
        <v>44377</v>
      </c>
      <c r="B57" s="18">
        <v>207.97</v>
      </c>
    </row>
    <row r="58" spans="1:2">
      <c r="A58" s="15">
        <v>44344</v>
      </c>
      <c r="B58" s="16">
        <v>214.6</v>
      </c>
    </row>
    <row r="59" spans="1:2">
      <c r="A59" s="17">
        <v>44316</v>
      </c>
      <c r="B59" s="18">
        <v>203.86</v>
      </c>
    </row>
    <row r="60" spans="1:2">
      <c r="A60" s="15">
        <v>44286</v>
      </c>
      <c r="B60" s="16">
        <v>169.99</v>
      </c>
    </row>
    <row r="61" spans="1:2">
      <c r="A61" s="17">
        <v>44253</v>
      </c>
      <c r="B61" s="18">
        <v>157.83000000000001</v>
      </c>
    </row>
    <row r="62" spans="1:2">
      <c r="A62" s="15">
        <v>44225</v>
      </c>
      <c r="B62" s="16">
        <v>155</v>
      </c>
    </row>
    <row r="63" spans="1:2">
      <c r="A63" s="17">
        <v>44196</v>
      </c>
      <c r="B63" s="18">
        <v>168.4</v>
      </c>
    </row>
    <row r="64" spans="1:2">
      <c r="A64" s="15">
        <v>44165</v>
      </c>
      <c r="B64" s="16">
        <v>171.07</v>
      </c>
    </row>
    <row r="65" spans="1:2">
      <c r="A65" s="17">
        <v>44134</v>
      </c>
      <c r="B65" s="18">
        <v>157.11000000000001</v>
      </c>
    </row>
    <row r="66" spans="1:2">
      <c r="A66" s="15">
        <v>44104</v>
      </c>
      <c r="B66" s="16">
        <v>166.63</v>
      </c>
    </row>
    <row r="67" spans="1:2">
      <c r="A67" s="17">
        <v>44074</v>
      </c>
      <c r="B67" s="18">
        <v>163.62</v>
      </c>
    </row>
    <row r="68" spans="1:2">
      <c r="A68" s="15">
        <v>44043</v>
      </c>
      <c r="B68" s="16">
        <v>142.76</v>
      </c>
    </row>
    <row r="69" spans="1:2">
      <c r="A69" s="17">
        <v>44012</v>
      </c>
      <c r="B69" s="18">
        <v>111.18</v>
      </c>
    </row>
    <row r="70" spans="1:2">
      <c r="A70" s="15">
        <v>43980</v>
      </c>
      <c r="B70" s="16">
        <v>99.71</v>
      </c>
    </row>
    <row r="71" spans="1:2">
      <c r="A71" s="17">
        <v>43951</v>
      </c>
      <c r="B71" s="18">
        <v>94.66</v>
      </c>
    </row>
    <row r="72" spans="1:2">
      <c r="A72" s="15">
        <v>43921</v>
      </c>
      <c r="B72" s="16">
        <v>93.42</v>
      </c>
    </row>
    <row r="73" spans="1:2">
      <c r="A73" s="17">
        <v>43889</v>
      </c>
      <c r="B73" s="18">
        <v>90.49</v>
      </c>
    </row>
    <row r="74" spans="1:2">
      <c r="A74" s="15">
        <v>43861</v>
      </c>
      <c r="B74" s="16">
        <v>103.52</v>
      </c>
    </row>
    <row r="75" spans="1:2">
      <c r="A75" s="17">
        <v>43830</v>
      </c>
      <c r="B75" s="18">
        <v>117.06</v>
      </c>
    </row>
    <row r="76" spans="1:2">
      <c r="A76" s="15">
        <v>43798</v>
      </c>
      <c r="B76" s="16">
        <v>119.73</v>
      </c>
    </row>
    <row r="77" spans="1:2">
      <c r="A77" s="17">
        <v>43769</v>
      </c>
      <c r="B77" s="18">
        <v>115.17</v>
      </c>
    </row>
    <row r="78" spans="1:2">
      <c r="A78" s="15">
        <v>43738</v>
      </c>
      <c r="B78" s="16">
        <v>119.82</v>
      </c>
    </row>
    <row r="79" spans="1:2">
      <c r="A79" s="17">
        <v>43707</v>
      </c>
      <c r="B79" s="18">
        <v>118.66</v>
      </c>
    </row>
    <row r="80" spans="1:2">
      <c r="A80" s="15">
        <v>43677</v>
      </c>
      <c r="B80" s="16">
        <v>119.47</v>
      </c>
    </row>
    <row r="81" spans="1:2">
      <c r="A81" s="17">
        <v>43644</v>
      </c>
      <c r="B81" s="18">
        <v>103.27</v>
      </c>
    </row>
    <row r="82" spans="1:2">
      <c r="A82" s="15">
        <v>43616</v>
      </c>
      <c r="B82" s="16">
        <v>92.92</v>
      </c>
    </row>
    <row r="83" spans="1:2">
      <c r="A83" s="17">
        <v>43585</v>
      </c>
      <c r="B83" s="18">
        <v>106.22</v>
      </c>
    </row>
    <row r="84" spans="1:2">
      <c r="A84" s="15">
        <v>43553</v>
      </c>
      <c r="B84" s="16">
        <v>111.74</v>
      </c>
    </row>
    <row r="85" spans="1:2">
      <c r="A85" s="17">
        <v>43524</v>
      </c>
      <c r="B85" s="18">
        <v>110.2</v>
      </c>
    </row>
    <row r="86" spans="1:2">
      <c r="A86" s="15">
        <v>43496</v>
      </c>
      <c r="B86" s="16">
        <v>105.4</v>
      </c>
    </row>
    <row r="87" spans="1:2">
      <c r="A87" s="17">
        <v>43465</v>
      </c>
      <c r="B87" s="18">
        <v>97.53</v>
      </c>
    </row>
    <row r="88" spans="1:2">
      <c r="A88" s="15">
        <v>43434</v>
      </c>
      <c r="B88" s="16">
        <v>115.29</v>
      </c>
    </row>
    <row r="89" spans="1:2">
      <c r="A89" s="17">
        <v>43404</v>
      </c>
      <c r="B89" s="18">
        <v>106.54</v>
      </c>
    </row>
    <row r="90" spans="1:2">
      <c r="A90" s="15">
        <v>43371</v>
      </c>
      <c r="B90" s="16">
        <v>116.75</v>
      </c>
    </row>
    <row r="91" spans="1:2">
      <c r="A91" s="17">
        <v>43343</v>
      </c>
      <c r="B91" s="18">
        <v>122.88</v>
      </c>
    </row>
    <row r="92" spans="1:2">
      <c r="A92" s="15">
        <v>43312</v>
      </c>
      <c r="B92" s="16">
        <v>119.89</v>
      </c>
    </row>
    <row r="93" spans="1:2">
      <c r="A93" s="17">
        <v>43280</v>
      </c>
      <c r="B93" s="18">
        <v>106.23</v>
      </c>
    </row>
    <row r="94" spans="1:2">
      <c r="A94" s="15">
        <v>43251</v>
      </c>
      <c r="B94" s="16">
        <v>116.12</v>
      </c>
    </row>
    <row r="95" spans="1:2">
      <c r="A95" s="17">
        <v>43220</v>
      </c>
      <c r="B95" s="18">
        <v>113.5</v>
      </c>
    </row>
    <row r="96" spans="1:2">
      <c r="A96" s="15">
        <v>43188</v>
      </c>
      <c r="B96" s="16">
        <v>104.66</v>
      </c>
    </row>
    <row r="97" spans="1:2">
      <c r="A97" s="17">
        <v>43159</v>
      </c>
      <c r="B97" s="18">
        <v>104.41</v>
      </c>
    </row>
    <row r="98" spans="1:2">
      <c r="A98" s="15">
        <v>43131</v>
      </c>
      <c r="B98" s="16">
        <v>127.32</v>
      </c>
    </row>
    <row r="99" spans="1:2">
      <c r="A99" s="17">
        <v>43098</v>
      </c>
      <c r="B99" s="18">
        <v>119.15</v>
      </c>
    </row>
    <row r="100" spans="1:2">
      <c r="A100" s="15">
        <v>43069</v>
      </c>
      <c r="B100" s="16">
        <v>121.45</v>
      </c>
    </row>
    <row r="101" spans="1:2">
      <c r="A101" s="17">
        <v>43039</v>
      </c>
      <c r="B101" s="18">
        <v>117.53</v>
      </c>
    </row>
    <row r="102" spans="1:2">
      <c r="A102" s="15">
        <v>43007</v>
      </c>
      <c r="B102" s="16">
        <v>120.09</v>
      </c>
    </row>
    <row r="103" spans="1:2">
      <c r="A103" s="17">
        <v>42978</v>
      </c>
      <c r="B103" s="18">
        <v>114.36</v>
      </c>
    </row>
    <row r="104" spans="1:2">
      <c r="A104" s="15">
        <v>42947</v>
      </c>
      <c r="B104" s="16">
        <v>110.29</v>
      </c>
    </row>
    <row r="105" spans="1:2">
      <c r="A105" s="17">
        <v>42916</v>
      </c>
      <c r="B105" s="18">
        <v>110.59</v>
      </c>
    </row>
    <row r="106" spans="1:2">
      <c r="A106" s="15">
        <v>42886</v>
      </c>
      <c r="B106" s="16">
        <v>105.97</v>
      </c>
    </row>
    <row r="107" spans="1:2">
      <c r="A107" s="17">
        <v>42853</v>
      </c>
      <c r="B107" s="18">
        <v>107.46</v>
      </c>
    </row>
    <row r="108" spans="1:2">
      <c r="A108" s="15">
        <v>42825</v>
      </c>
      <c r="B108" s="16">
        <v>107.3</v>
      </c>
    </row>
    <row r="109" spans="1:2">
      <c r="A109" s="17">
        <v>42794</v>
      </c>
      <c r="B109" s="18">
        <v>105.76</v>
      </c>
    </row>
    <row r="110" spans="1:2">
      <c r="A110" s="15">
        <v>42766</v>
      </c>
      <c r="B110" s="16">
        <v>109.13</v>
      </c>
    </row>
    <row r="111" spans="1:2">
      <c r="A111" s="17">
        <v>42734</v>
      </c>
      <c r="B111" s="18">
        <v>114.64</v>
      </c>
    </row>
    <row r="112" spans="1:2">
      <c r="A112" s="15">
        <v>42704</v>
      </c>
      <c r="B112" s="16">
        <v>115.92</v>
      </c>
    </row>
    <row r="113" spans="1:2">
      <c r="A113" s="17">
        <v>42674</v>
      </c>
      <c r="B113" s="18">
        <v>107.76</v>
      </c>
    </row>
    <row r="114" spans="1:2">
      <c r="A114" s="15">
        <v>42643</v>
      </c>
      <c r="B114" s="16">
        <v>109.36</v>
      </c>
    </row>
    <row r="115" spans="1:2">
      <c r="A115" s="17">
        <v>42613</v>
      </c>
      <c r="B115" s="18">
        <v>109.22</v>
      </c>
    </row>
    <row r="116" spans="1:2">
      <c r="A116" s="15">
        <v>42580</v>
      </c>
      <c r="B116" s="16">
        <v>108.1</v>
      </c>
    </row>
    <row r="117" spans="1:2">
      <c r="A117" s="17">
        <v>42551</v>
      </c>
      <c r="B117" s="18">
        <v>107.72</v>
      </c>
    </row>
    <row r="118" spans="1:2">
      <c r="A118" s="15">
        <v>42521</v>
      </c>
      <c r="B118" s="16">
        <v>103.09</v>
      </c>
    </row>
    <row r="119" spans="1:2">
      <c r="A119" s="17">
        <v>42489</v>
      </c>
      <c r="B119" s="18">
        <v>105.07</v>
      </c>
    </row>
    <row r="120" spans="1:2">
      <c r="A120" s="15">
        <v>42460</v>
      </c>
      <c r="B120" s="16">
        <v>105.47</v>
      </c>
    </row>
    <row r="121" spans="1:2">
      <c r="A121" s="17">
        <v>42429</v>
      </c>
      <c r="B121" s="18">
        <v>96.55</v>
      </c>
    </row>
    <row r="122" spans="1:2">
      <c r="A122" s="15">
        <v>42398</v>
      </c>
      <c r="B122" s="16">
        <v>93.2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9E324-CEF6-B440-B3C0-9A7878097CD7}">
  <dimension ref="A1:Q50"/>
  <sheetViews>
    <sheetView topLeftCell="A4" workbookViewId="0">
      <selection activeCell="A10" sqref="A10"/>
    </sheetView>
  </sheetViews>
  <sheetFormatPr baseColWidth="10" defaultColWidth="8.83203125" defaultRowHeight="16"/>
  <cols>
    <col min="1" max="1" width="58.1640625" bestFit="1" customWidth="1"/>
    <col min="2" max="2" width="10.1640625" bestFit="1" customWidth="1"/>
    <col min="3" max="3" width="38.1640625" bestFit="1" customWidth="1"/>
    <col min="4" max="4" width="5.6640625" bestFit="1" customWidth="1"/>
    <col min="5" max="5" width="11" bestFit="1" customWidth="1"/>
    <col min="7" max="7" width="42.83203125" bestFit="1" customWidth="1"/>
    <col min="8" max="10" width="22.83203125" bestFit="1" customWidth="1"/>
    <col min="11" max="13" width="23" bestFit="1" customWidth="1"/>
    <col min="14" max="14" width="13.83203125" bestFit="1" customWidth="1"/>
    <col min="15" max="15" width="17.1640625" bestFit="1" customWidth="1"/>
    <col min="16" max="16" width="16.5" bestFit="1" customWidth="1"/>
    <col min="17" max="17" width="13" bestFit="1" customWidth="1"/>
  </cols>
  <sheetData>
    <row r="1" spans="1:17" s="245" customFormat="1">
      <c r="A1" s="235" t="s">
        <v>359</v>
      </c>
      <c r="B1" s="240">
        <v>8.5500000000000007</v>
      </c>
      <c r="C1" s="241">
        <v>-3.9800000000000002E-2</v>
      </c>
      <c r="D1" s="240">
        <v>0.78</v>
      </c>
      <c r="E1" s="241">
        <v>0.98060000000000003</v>
      </c>
      <c r="G1" s="235"/>
      <c r="H1" s="244"/>
      <c r="I1" s="244"/>
      <c r="J1" s="244"/>
      <c r="K1" s="244"/>
      <c r="L1" s="244"/>
      <c r="M1" s="244"/>
      <c r="N1" s="244"/>
      <c r="O1" s="243"/>
      <c r="P1" s="244"/>
      <c r="Q1" s="244"/>
    </row>
    <row r="3" spans="1:17">
      <c r="A3" s="237" t="s">
        <v>203</v>
      </c>
      <c r="B3" t="s">
        <v>1771</v>
      </c>
      <c r="C3" t="s">
        <v>1780</v>
      </c>
      <c r="D3" t="s">
        <v>1781</v>
      </c>
      <c r="E3" t="s">
        <v>1782</v>
      </c>
    </row>
    <row r="4" spans="1:17" s="238" customFormat="1">
      <c r="A4" s="232" t="s">
        <v>204</v>
      </c>
      <c r="B4" s="232" t="s">
        <v>195</v>
      </c>
      <c r="C4" s="232" t="s">
        <v>259</v>
      </c>
      <c r="D4" s="232" t="s">
        <v>239</v>
      </c>
      <c r="E4" s="232" t="s">
        <v>254</v>
      </c>
      <c r="G4" s="232"/>
      <c r="H4" s="232"/>
      <c r="I4" s="232"/>
      <c r="J4" s="232"/>
      <c r="K4" s="232"/>
      <c r="L4" s="232"/>
      <c r="M4" s="232"/>
      <c r="N4" s="232"/>
      <c r="O4" s="232"/>
      <c r="P4" s="232"/>
      <c r="Q4" s="232"/>
    </row>
    <row r="5" spans="1:17">
      <c r="A5" s="234" t="s">
        <v>379</v>
      </c>
      <c r="B5" s="246">
        <v>9.49</v>
      </c>
      <c r="C5" s="247">
        <v>-3.78E-2</v>
      </c>
      <c r="D5" s="246">
        <v>2.1</v>
      </c>
      <c r="E5" s="247">
        <v>0.59989999999999999</v>
      </c>
      <c r="G5" s="234"/>
      <c r="H5" s="250"/>
      <c r="I5" s="250"/>
      <c r="J5" s="250"/>
      <c r="K5" s="250"/>
      <c r="L5" s="250"/>
      <c r="M5" s="250"/>
      <c r="N5" s="250"/>
      <c r="O5" s="249"/>
      <c r="P5" s="250"/>
      <c r="Q5" s="250"/>
    </row>
    <row r="6" spans="1:17">
      <c r="A6" s="234" t="s">
        <v>399</v>
      </c>
      <c r="B6" s="246">
        <v>18.579999999999998</v>
      </c>
      <c r="C6" s="247">
        <v>-3.3700000000000001E-2</v>
      </c>
      <c r="D6" s="246">
        <v>1.01</v>
      </c>
      <c r="E6" s="247">
        <v>0.22</v>
      </c>
      <c r="G6" s="234"/>
      <c r="H6" s="250"/>
      <c r="I6" s="250"/>
      <c r="J6" s="250"/>
      <c r="K6" s="250"/>
      <c r="L6" s="250"/>
      <c r="M6" s="250"/>
      <c r="N6" s="250"/>
      <c r="O6" s="249"/>
      <c r="P6" s="250"/>
      <c r="Q6" s="250"/>
    </row>
    <row r="7" spans="1:17">
      <c r="A7" s="234" t="s">
        <v>432</v>
      </c>
      <c r="B7" s="246">
        <v>11.36</v>
      </c>
      <c r="C7" s="247">
        <v>-3.6499999999999998E-2</v>
      </c>
      <c r="D7" s="246">
        <v>1.52</v>
      </c>
      <c r="E7" s="247">
        <v>0.4511</v>
      </c>
      <c r="G7" s="234"/>
      <c r="H7" s="250"/>
      <c r="I7" s="250"/>
      <c r="J7" s="250"/>
      <c r="K7" s="250"/>
      <c r="L7" s="250"/>
      <c r="M7" s="250"/>
      <c r="N7" s="250"/>
      <c r="O7" s="249"/>
      <c r="P7" s="250"/>
      <c r="Q7" s="250"/>
    </row>
    <row r="8" spans="1:17">
      <c r="A8" s="234" t="s">
        <v>449</v>
      </c>
      <c r="B8" s="246">
        <v>9.76</v>
      </c>
      <c r="C8" s="247">
        <v>-1.1000000000000001E-3</v>
      </c>
      <c r="D8" s="246">
        <v>1.01</v>
      </c>
      <c r="E8" s="247">
        <v>0.8024</v>
      </c>
      <c r="G8" s="234"/>
      <c r="H8" s="250"/>
      <c r="I8" s="250"/>
      <c r="J8" s="250"/>
      <c r="K8" s="250"/>
      <c r="L8" s="250"/>
      <c r="M8" s="250"/>
      <c r="N8" s="250"/>
      <c r="O8" s="249"/>
      <c r="P8" s="250"/>
      <c r="Q8" s="250"/>
    </row>
    <row r="9" spans="1:17">
      <c r="A9" s="234" t="s">
        <v>463</v>
      </c>
      <c r="B9" s="246">
        <v>11.04</v>
      </c>
      <c r="C9" s="247">
        <v>0.27300000000000002</v>
      </c>
      <c r="D9" s="246">
        <v>1.71</v>
      </c>
      <c r="E9" s="247">
        <v>0</v>
      </c>
      <c r="G9" s="234"/>
      <c r="H9" s="250"/>
      <c r="I9" s="250"/>
      <c r="J9" s="250"/>
      <c r="K9" s="250"/>
      <c r="L9" s="250"/>
      <c r="M9" s="250"/>
      <c r="N9" s="250"/>
      <c r="O9" s="249"/>
      <c r="P9" s="250"/>
      <c r="Q9" s="250"/>
    </row>
    <row r="10" spans="1:17">
      <c r="A10" s="234" t="s">
        <v>478</v>
      </c>
      <c r="B10" s="246">
        <v>8.1</v>
      </c>
      <c r="C10" s="247">
        <v>-5.3400000000000003E-2</v>
      </c>
      <c r="D10" s="246">
        <v>0.71</v>
      </c>
      <c r="E10" s="247">
        <v>0.58720000000000006</v>
      </c>
      <c r="G10" s="234"/>
      <c r="H10" s="250"/>
      <c r="I10" s="250"/>
      <c r="J10" s="250"/>
      <c r="K10" s="250"/>
      <c r="L10" s="250"/>
      <c r="M10" s="250"/>
      <c r="N10" s="250"/>
      <c r="O10" s="249"/>
      <c r="P10" s="250"/>
      <c r="Q10" s="250"/>
    </row>
    <row r="11" spans="1:17">
      <c r="A11" s="234" t="s">
        <v>492</v>
      </c>
      <c r="B11" s="246">
        <v>7.56</v>
      </c>
      <c r="C11" s="247">
        <v>3.2000000000000002E-3</v>
      </c>
      <c r="D11" s="246">
        <v>0.99</v>
      </c>
      <c r="E11" s="247">
        <v>0.34839999999999999</v>
      </c>
      <c r="G11" s="234"/>
      <c r="H11" s="250"/>
      <c r="I11" s="250"/>
      <c r="J11" s="250"/>
      <c r="K11" s="250"/>
      <c r="L11" s="250"/>
      <c r="M11" s="250"/>
      <c r="N11" s="250"/>
      <c r="O11" s="249"/>
      <c r="P11" s="250"/>
      <c r="Q11" s="250"/>
    </row>
    <row r="12" spans="1:17">
      <c r="A12" s="234" t="s">
        <v>521</v>
      </c>
      <c r="B12" s="246">
        <v>9.36</v>
      </c>
      <c r="C12" s="247">
        <v>0.17199999999999999</v>
      </c>
      <c r="D12" s="246">
        <v>0.52</v>
      </c>
      <c r="E12" s="247">
        <v>0.1638</v>
      </c>
      <c r="G12" s="234"/>
      <c r="H12" s="250"/>
      <c r="I12" s="250"/>
      <c r="J12" s="250"/>
      <c r="K12" s="250"/>
      <c r="L12" s="250"/>
      <c r="M12" s="250"/>
      <c r="N12" s="250"/>
      <c r="O12" s="249"/>
      <c r="P12" s="250"/>
      <c r="Q12" s="250"/>
    </row>
    <row r="13" spans="1:17">
      <c r="A13" s="234" t="s">
        <v>535</v>
      </c>
      <c r="B13" s="246">
        <v>7.45</v>
      </c>
      <c r="C13" s="247">
        <v>1.46E-2</v>
      </c>
      <c r="D13" s="246">
        <v>1.1100000000000001</v>
      </c>
      <c r="E13" s="247">
        <v>0.67400000000000004</v>
      </c>
      <c r="G13" s="234"/>
      <c r="H13" s="250"/>
      <c r="I13" s="250"/>
      <c r="J13" s="250"/>
      <c r="K13" s="250"/>
      <c r="L13" s="250"/>
      <c r="M13" s="250"/>
      <c r="N13" s="250"/>
      <c r="O13" s="249"/>
      <c r="P13" s="250"/>
      <c r="Q13" s="250"/>
    </row>
    <row r="14" spans="1:17">
      <c r="A14" s="234" t="s">
        <v>563</v>
      </c>
      <c r="B14" s="246">
        <v>12.19</v>
      </c>
      <c r="C14" s="247">
        <v>7.7700000000000005E-2</v>
      </c>
      <c r="D14" s="246">
        <v>0.59</v>
      </c>
      <c r="E14" s="247">
        <v>0.38519999999999999</v>
      </c>
      <c r="G14" s="234"/>
      <c r="H14" s="250"/>
      <c r="I14" s="250"/>
      <c r="J14" s="250"/>
      <c r="K14" s="250"/>
      <c r="L14" s="250"/>
      <c r="M14" s="250"/>
      <c r="N14" s="250"/>
      <c r="O14" s="249"/>
      <c r="P14" s="250"/>
      <c r="Q14" s="250"/>
    </row>
    <row r="15" spans="1:17">
      <c r="A15" s="234" t="s">
        <v>577</v>
      </c>
      <c r="B15" s="246">
        <v>9.2100000000000009</v>
      </c>
      <c r="C15" s="247">
        <v>7.4200000000000002E-2</v>
      </c>
      <c r="D15" s="246">
        <v>0.66</v>
      </c>
      <c r="E15" s="247">
        <v>0.93120000000000003</v>
      </c>
      <c r="G15" s="234"/>
      <c r="H15" s="250"/>
      <c r="I15" s="250"/>
      <c r="J15" s="250"/>
      <c r="K15" s="250"/>
      <c r="L15" s="250"/>
      <c r="M15" s="250"/>
      <c r="N15" s="250"/>
      <c r="O15" s="249"/>
      <c r="P15" s="250"/>
      <c r="Q15" s="250"/>
    </row>
    <row r="16" spans="1:17">
      <c r="A16" s="234" t="s">
        <v>592</v>
      </c>
      <c r="B16" s="246">
        <v>5.67</v>
      </c>
      <c r="C16" s="247">
        <v>9.1200000000000003E-2</v>
      </c>
      <c r="D16" s="246">
        <v>0.06</v>
      </c>
      <c r="E16" s="247">
        <v>0.67920000000000003</v>
      </c>
      <c r="G16" s="234"/>
      <c r="H16" s="250"/>
      <c r="I16" s="250"/>
      <c r="J16" s="250"/>
      <c r="K16" s="250"/>
      <c r="L16" s="250"/>
      <c r="M16" s="250"/>
      <c r="N16" s="250"/>
      <c r="O16" s="249"/>
      <c r="P16" s="250"/>
      <c r="Q16" s="250"/>
    </row>
    <row r="17" spans="1:17">
      <c r="A17" s="234" t="s">
        <v>624</v>
      </c>
      <c r="B17" s="246">
        <v>9.5399999999999991</v>
      </c>
      <c r="C17" s="247">
        <v>8.7499999999999994E-2</v>
      </c>
      <c r="D17" s="246">
        <v>0.85</v>
      </c>
      <c r="E17" s="247">
        <v>0.21690000000000001</v>
      </c>
      <c r="G17" s="234"/>
      <c r="H17" s="250"/>
      <c r="I17" s="250"/>
      <c r="J17" s="250"/>
      <c r="K17" s="250"/>
      <c r="L17" s="250"/>
      <c r="M17" s="250"/>
      <c r="N17" s="250"/>
      <c r="O17" s="249"/>
      <c r="P17" s="250"/>
      <c r="Q17" s="250"/>
    </row>
    <row r="18" spans="1:17">
      <c r="A18" s="234" t="s">
        <v>640</v>
      </c>
      <c r="B18" s="246">
        <v>21.57</v>
      </c>
      <c r="C18" s="247">
        <v>5.5300000000000002E-2</v>
      </c>
      <c r="D18" s="246">
        <v>0.99</v>
      </c>
      <c r="E18" s="247">
        <v>0.22270000000000001</v>
      </c>
      <c r="G18" s="234"/>
      <c r="H18" s="250"/>
      <c r="I18" s="250"/>
      <c r="J18" s="250"/>
      <c r="K18" s="250"/>
      <c r="L18" s="250"/>
      <c r="M18" s="250"/>
      <c r="N18" s="250"/>
      <c r="O18" s="249"/>
      <c r="P18" s="250"/>
      <c r="Q18" s="250"/>
    </row>
    <row r="19" spans="1:17">
      <c r="A19" s="234" t="s">
        <v>667</v>
      </c>
      <c r="B19" s="246">
        <v>7.6</v>
      </c>
      <c r="C19" s="247">
        <v>0.128</v>
      </c>
      <c r="D19" s="246">
        <v>1.1499999999999999</v>
      </c>
      <c r="E19" s="247">
        <v>0.5</v>
      </c>
      <c r="G19" s="234"/>
      <c r="H19" s="250"/>
      <c r="I19" s="250"/>
      <c r="J19" s="250"/>
      <c r="K19" s="250"/>
      <c r="L19" s="250"/>
      <c r="M19" s="250"/>
      <c r="N19" s="250"/>
      <c r="O19" s="249"/>
      <c r="P19" s="250"/>
      <c r="Q19" s="250"/>
    </row>
    <row r="20" spans="1:17">
      <c r="A20" s="234" t="s">
        <v>684</v>
      </c>
      <c r="B20" s="246">
        <v>9.0299999999999994</v>
      </c>
      <c r="C20" s="247">
        <v>2.6800000000000001E-2</v>
      </c>
      <c r="D20" s="246">
        <v>0.99</v>
      </c>
      <c r="E20" s="247">
        <v>0.77049999999999996</v>
      </c>
      <c r="G20" s="234"/>
      <c r="H20" s="250"/>
      <c r="I20" s="250"/>
      <c r="J20" s="250"/>
      <c r="K20" s="250"/>
      <c r="L20" s="250"/>
      <c r="M20" s="250"/>
      <c r="N20" s="250"/>
      <c r="O20" s="249"/>
      <c r="P20" s="250"/>
      <c r="Q20" s="250"/>
    </row>
    <row r="21" spans="1:17">
      <c r="A21" s="234" t="s">
        <v>698</v>
      </c>
      <c r="B21" s="246">
        <v>8.68</v>
      </c>
      <c r="C21" s="247">
        <v>1.6299999999999999E-2</v>
      </c>
      <c r="D21" s="246">
        <v>0.35</v>
      </c>
      <c r="E21" s="247">
        <v>0.44390000000000002</v>
      </c>
      <c r="G21" s="234"/>
      <c r="H21" s="250"/>
      <c r="I21" s="250"/>
      <c r="J21" s="250"/>
      <c r="K21" s="250"/>
      <c r="L21" s="250"/>
      <c r="M21" s="250"/>
      <c r="N21" s="250"/>
      <c r="O21" s="249"/>
      <c r="P21" s="250"/>
      <c r="Q21" s="250"/>
    </row>
    <row r="22" spans="1:17">
      <c r="A22" s="234" t="s">
        <v>713</v>
      </c>
      <c r="B22" s="246">
        <v>7.46</v>
      </c>
      <c r="C22" s="247">
        <v>1.0500000000000001E-2</v>
      </c>
      <c r="D22" s="246">
        <v>1.01</v>
      </c>
      <c r="E22" s="247">
        <v>0.3458</v>
      </c>
      <c r="G22" s="234"/>
      <c r="H22" s="250"/>
      <c r="I22" s="250"/>
      <c r="J22" s="250"/>
      <c r="K22" s="250"/>
      <c r="L22" s="250"/>
      <c r="M22" s="250"/>
      <c r="N22" s="250"/>
      <c r="O22" s="249"/>
      <c r="P22" s="250"/>
      <c r="Q22" s="250"/>
    </row>
    <row r="23" spans="1:17">
      <c r="A23" s="234" t="s">
        <v>727</v>
      </c>
      <c r="B23" s="246">
        <v>8.91</v>
      </c>
      <c r="C23" s="247">
        <v>8.6999999999999994E-3</v>
      </c>
      <c r="D23" s="246">
        <v>0.94</v>
      </c>
      <c r="E23" s="247">
        <v>0.43580000000000002</v>
      </c>
      <c r="G23" s="234"/>
      <c r="H23" s="250"/>
      <c r="I23" s="250"/>
      <c r="J23" s="250"/>
      <c r="K23" s="250"/>
      <c r="L23" s="250"/>
      <c r="M23" s="250"/>
      <c r="N23" s="250"/>
      <c r="O23" s="249"/>
      <c r="P23" s="250"/>
      <c r="Q23" s="250"/>
    </row>
    <row r="24" spans="1:17">
      <c r="A24" s="234" t="s">
        <v>740</v>
      </c>
      <c r="B24" s="246">
        <v>16.940000000000001</v>
      </c>
      <c r="C24" s="247">
        <v>9.2600000000000002E-2</v>
      </c>
      <c r="D24" s="246">
        <v>0.86</v>
      </c>
      <c r="E24" s="247">
        <v>0.1409</v>
      </c>
      <c r="G24" s="234"/>
      <c r="H24" s="250"/>
      <c r="I24" s="250"/>
      <c r="J24" s="250"/>
      <c r="K24" s="250"/>
      <c r="L24" s="250"/>
      <c r="M24" s="250"/>
      <c r="N24" s="250"/>
      <c r="O24" s="249"/>
      <c r="P24" s="250"/>
      <c r="Q24" s="250"/>
    </row>
    <row r="25" spans="1:17">
      <c r="A25" s="234" t="s">
        <v>799</v>
      </c>
      <c r="B25" s="246">
        <v>10.8</v>
      </c>
      <c r="C25" s="247">
        <v>-0.26800000000000002</v>
      </c>
      <c r="D25" s="246">
        <v>1.39</v>
      </c>
      <c r="E25" s="247">
        <v>0.91259999999999997</v>
      </c>
      <c r="G25" s="234"/>
      <c r="H25" s="250"/>
      <c r="I25" s="250"/>
      <c r="J25" s="250"/>
      <c r="K25" s="250"/>
      <c r="L25" s="250"/>
      <c r="M25" s="250"/>
      <c r="N25" s="250"/>
      <c r="O25" s="249"/>
      <c r="P25" s="250"/>
      <c r="Q25" s="250"/>
    </row>
    <row r="26" spans="1:17">
      <c r="A26" s="234" t="s">
        <v>859</v>
      </c>
      <c r="B26" s="246">
        <v>20.100000000000001</v>
      </c>
      <c r="C26" s="247">
        <v>-5.1499999999999997E-2</v>
      </c>
      <c r="D26" s="246">
        <v>1.1100000000000001</v>
      </c>
      <c r="E26" s="247">
        <v>1.0129999999999999</v>
      </c>
      <c r="G26" s="234"/>
      <c r="H26" s="250"/>
      <c r="I26" s="250"/>
      <c r="J26" s="250"/>
      <c r="K26" s="250"/>
      <c r="L26" s="250"/>
      <c r="M26" s="250"/>
      <c r="N26" s="250"/>
      <c r="O26" s="249"/>
      <c r="P26" s="250"/>
      <c r="Q26" s="250"/>
    </row>
    <row r="27" spans="1:17">
      <c r="A27" s="234" t="s">
        <v>871</v>
      </c>
      <c r="B27" s="246">
        <v>11</v>
      </c>
      <c r="C27" s="247">
        <v>4.58E-2</v>
      </c>
      <c r="D27" s="246">
        <v>0.75</v>
      </c>
      <c r="E27" s="247">
        <v>0.56269999999999998</v>
      </c>
      <c r="G27" s="234"/>
      <c r="H27" s="250"/>
      <c r="I27" s="250"/>
      <c r="J27" s="250"/>
      <c r="K27" s="250"/>
      <c r="L27" s="250"/>
      <c r="M27" s="250"/>
      <c r="N27" s="250"/>
      <c r="O27" s="249"/>
      <c r="P27" s="250"/>
      <c r="Q27" s="250"/>
    </row>
    <row r="28" spans="1:17">
      <c r="A28" s="234" t="s">
        <v>884</v>
      </c>
      <c r="B28" s="246">
        <v>8.4700000000000006</v>
      </c>
      <c r="C28" s="247">
        <v>-5.9999999999999995E-4</v>
      </c>
      <c r="D28" s="246">
        <v>0.44</v>
      </c>
      <c r="E28" s="247">
        <v>0.78569999999999995</v>
      </c>
      <c r="G28" s="234"/>
      <c r="H28" s="250"/>
      <c r="I28" s="250"/>
      <c r="J28" s="250"/>
      <c r="K28" s="250"/>
      <c r="L28" s="250"/>
      <c r="M28" s="250"/>
      <c r="N28" s="250"/>
      <c r="O28" s="249"/>
      <c r="P28" s="250"/>
      <c r="Q28" s="250"/>
    </row>
    <row r="29" spans="1:17">
      <c r="A29" s="234" t="s">
        <v>896</v>
      </c>
      <c r="B29" s="246">
        <v>7.16</v>
      </c>
      <c r="C29" s="247">
        <v>4.02E-2</v>
      </c>
      <c r="D29" s="246">
        <v>1.25</v>
      </c>
      <c r="E29" s="247">
        <v>0.25540000000000002</v>
      </c>
      <c r="G29" s="234"/>
      <c r="H29" s="250"/>
      <c r="I29" s="250"/>
      <c r="J29" s="250"/>
      <c r="K29" s="250"/>
      <c r="L29" s="250"/>
      <c r="M29" s="250"/>
      <c r="N29" s="250"/>
      <c r="O29" s="249"/>
      <c r="P29" s="250"/>
      <c r="Q29" s="250"/>
    </row>
    <row r="30" spans="1:17">
      <c r="A30" s="234" t="s">
        <v>930</v>
      </c>
      <c r="B30" s="246">
        <v>13.04</v>
      </c>
      <c r="C30" s="247">
        <v>0.14099999999999999</v>
      </c>
      <c r="D30" s="246">
        <v>0.96</v>
      </c>
      <c r="E30" s="247">
        <v>0.81410000000000005</v>
      </c>
      <c r="G30" s="234"/>
      <c r="H30" s="250"/>
      <c r="I30" s="250"/>
      <c r="J30" s="250"/>
      <c r="K30" s="250"/>
      <c r="L30" s="250"/>
      <c r="M30" s="250"/>
      <c r="N30" s="250"/>
      <c r="O30" s="249"/>
      <c r="P30" s="250"/>
      <c r="Q30" s="250"/>
    </row>
    <row r="31" spans="1:17">
      <c r="A31" s="234" t="s">
        <v>961</v>
      </c>
      <c r="B31" s="246">
        <v>4.88</v>
      </c>
      <c r="C31" s="247">
        <v>-1.6000000000000001E-3</v>
      </c>
      <c r="D31" s="246">
        <v>2.11</v>
      </c>
      <c r="E31" s="247">
        <v>0.11360000000000001</v>
      </c>
      <c r="G31" s="234"/>
      <c r="H31" s="250"/>
      <c r="I31" s="250"/>
      <c r="J31" s="250"/>
      <c r="K31" s="250"/>
      <c r="L31" s="250"/>
      <c r="M31" s="250"/>
      <c r="N31" s="250"/>
      <c r="O31" s="249"/>
      <c r="P31" s="250"/>
      <c r="Q31" s="250"/>
    </row>
    <row r="32" spans="1:17">
      <c r="A32" s="234" t="s">
        <v>974</v>
      </c>
      <c r="B32" s="246">
        <v>8.76</v>
      </c>
      <c r="C32" s="247">
        <v>-5.9999999999999995E-4</v>
      </c>
      <c r="D32" s="246">
        <v>0.95</v>
      </c>
      <c r="E32" s="247">
        <v>0.4824</v>
      </c>
      <c r="G32" s="234"/>
      <c r="H32" s="250"/>
      <c r="I32" s="250"/>
      <c r="J32" s="250"/>
      <c r="K32" s="250"/>
      <c r="L32" s="250"/>
      <c r="M32" s="250"/>
      <c r="N32" s="250"/>
      <c r="O32" s="249"/>
      <c r="P32" s="250"/>
      <c r="Q32" s="250"/>
    </row>
    <row r="33" spans="1:17">
      <c r="A33" s="234" t="s">
        <v>986</v>
      </c>
      <c r="B33" s="246">
        <v>8.59</v>
      </c>
      <c r="C33" s="247">
        <v>0.154</v>
      </c>
      <c r="D33" s="246">
        <v>0.65</v>
      </c>
      <c r="E33" s="247">
        <v>0.75609999999999999</v>
      </c>
      <c r="G33" s="234"/>
      <c r="H33" s="250"/>
      <c r="I33" s="250"/>
      <c r="J33" s="250"/>
      <c r="K33" s="250"/>
      <c r="L33" s="250"/>
      <c r="M33" s="250"/>
      <c r="N33" s="250"/>
      <c r="O33" s="249"/>
      <c r="P33" s="250"/>
      <c r="Q33" s="250"/>
    </row>
    <row r="34" spans="1:17">
      <c r="A34" s="234" t="s">
        <v>1002</v>
      </c>
      <c r="B34" s="246">
        <v>17.02</v>
      </c>
      <c r="C34" s="247">
        <v>3.6400000000000002E-2</v>
      </c>
      <c r="D34" s="246">
        <v>0.5</v>
      </c>
      <c r="E34" s="247">
        <v>0.31090000000000001</v>
      </c>
      <c r="G34" s="234"/>
      <c r="H34" s="250"/>
      <c r="I34" s="250"/>
      <c r="J34" s="250"/>
      <c r="K34" s="250"/>
      <c r="L34" s="250"/>
      <c r="M34" s="250"/>
      <c r="N34" s="250"/>
      <c r="O34" s="249"/>
      <c r="P34" s="250"/>
      <c r="Q34" s="250"/>
    </row>
    <row r="35" spans="1:17">
      <c r="A35" s="234" t="s">
        <v>1080</v>
      </c>
      <c r="B35" s="246">
        <v>3.59</v>
      </c>
      <c r="C35" s="247">
        <v>2.41E-2</v>
      </c>
      <c r="D35" s="246">
        <v>0.97</v>
      </c>
      <c r="E35" s="247">
        <v>0.22900000000000001</v>
      </c>
      <c r="G35" s="234"/>
      <c r="H35" s="250"/>
      <c r="I35" s="250"/>
      <c r="J35" s="250"/>
      <c r="K35" s="250"/>
      <c r="L35" s="250"/>
      <c r="M35" s="250"/>
      <c r="N35" s="250"/>
      <c r="O35" s="249"/>
      <c r="P35" s="250"/>
      <c r="Q35" s="250"/>
    </row>
    <row r="36" spans="1:17">
      <c r="A36" s="234" t="s">
        <v>1092</v>
      </c>
      <c r="B36" s="246">
        <v>2.73</v>
      </c>
      <c r="C36" s="247">
        <v>-4.7199999999999999E-2</v>
      </c>
      <c r="D36" s="246">
        <v>0.84</v>
      </c>
      <c r="E36" s="247">
        <v>0.21329999999999999</v>
      </c>
      <c r="G36" s="234"/>
      <c r="H36" s="250"/>
      <c r="I36" s="250"/>
      <c r="J36" s="250"/>
      <c r="K36" s="250"/>
      <c r="L36" s="250"/>
      <c r="M36" s="250"/>
      <c r="N36" s="250"/>
      <c r="O36" s="249"/>
      <c r="P36" s="250"/>
      <c r="Q36" s="250"/>
    </row>
    <row r="37" spans="1:17">
      <c r="A37" s="234" t="s">
        <v>1119</v>
      </c>
      <c r="B37" s="246">
        <v>5.72</v>
      </c>
      <c r="C37" s="247">
        <v>4.58E-2</v>
      </c>
      <c r="D37" s="246">
        <v>0.75</v>
      </c>
      <c r="E37" s="247">
        <v>0.38159999999999999</v>
      </c>
      <c r="G37" s="234"/>
      <c r="H37" s="250"/>
      <c r="I37" s="250"/>
      <c r="J37" s="250"/>
      <c r="K37" s="250"/>
      <c r="L37" s="250"/>
      <c r="M37" s="250"/>
      <c r="N37" s="250"/>
      <c r="O37" s="249"/>
      <c r="P37" s="250"/>
      <c r="Q37" s="250"/>
    </row>
    <row r="38" spans="1:17">
      <c r="A38" s="234" t="s">
        <v>1138</v>
      </c>
      <c r="B38" s="246">
        <v>23.24</v>
      </c>
      <c r="C38" s="247">
        <v>0.155</v>
      </c>
      <c r="D38" s="246">
        <v>0.65</v>
      </c>
      <c r="E38" s="247">
        <v>0</v>
      </c>
      <c r="G38" s="234"/>
      <c r="H38" s="250"/>
      <c r="I38" s="250"/>
      <c r="J38" s="250"/>
      <c r="K38" s="250"/>
      <c r="L38" s="250"/>
      <c r="M38" s="250"/>
      <c r="N38" s="250"/>
      <c r="O38" s="249"/>
      <c r="P38" s="250"/>
      <c r="Q38" s="250"/>
    </row>
    <row r="39" spans="1:17">
      <c r="A39" s="234" t="s">
        <v>1202</v>
      </c>
      <c r="B39" s="246">
        <v>5.0599999999999996</v>
      </c>
      <c r="C39" s="247">
        <v>-2.8999999999999998E-3</v>
      </c>
      <c r="D39" s="246">
        <v>0.65</v>
      </c>
      <c r="E39" s="247">
        <v>0.12920000000000001</v>
      </c>
      <c r="G39" s="234"/>
      <c r="H39" s="250"/>
      <c r="I39" s="250"/>
      <c r="J39" s="250"/>
      <c r="K39" s="250"/>
      <c r="L39" s="250"/>
      <c r="M39" s="250"/>
      <c r="N39" s="250"/>
      <c r="O39" s="249"/>
      <c r="P39" s="250"/>
      <c r="Q39" s="250"/>
    </row>
    <row r="40" spans="1:17">
      <c r="A40" s="234" t="s">
        <v>1239</v>
      </c>
      <c r="B40" s="246">
        <v>4.53</v>
      </c>
      <c r="C40" s="247">
        <v>0.106</v>
      </c>
      <c r="D40" s="246">
        <v>0.09</v>
      </c>
      <c r="E40" s="247">
        <v>0.4788</v>
      </c>
      <c r="G40" s="234"/>
      <c r="H40" s="250"/>
      <c r="I40" s="250"/>
      <c r="J40" s="250"/>
      <c r="K40" s="250"/>
      <c r="L40" s="250"/>
      <c r="M40" s="250"/>
      <c r="N40" s="250"/>
      <c r="O40" s="249"/>
      <c r="P40" s="250"/>
      <c r="Q40" s="250"/>
    </row>
    <row r="41" spans="1:17">
      <c r="A41" s="234" t="s">
        <v>1253</v>
      </c>
      <c r="B41" s="246">
        <v>2.5099999999999998</v>
      </c>
      <c r="C41" s="247">
        <v>-9.2999999999999992E-3</v>
      </c>
      <c r="D41" s="246">
        <v>0.59</v>
      </c>
      <c r="E41" s="247">
        <v>0.23330000000000001</v>
      </c>
      <c r="G41" s="234"/>
      <c r="H41" s="250"/>
      <c r="I41" s="250"/>
      <c r="J41" s="250"/>
      <c r="K41" s="250"/>
      <c r="L41" s="250"/>
      <c r="M41" s="250"/>
      <c r="N41" s="250"/>
      <c r="O41" s="249"/>
      <c r="P41" s="250"/>
      <c r="Q41" s="250"/>
    </row>
    <row r="42" spans="1:17">
      <c r="A42" s="234" t="s">
        <v>1264</v>
      </c>
      <c r="B42" s="246">
        <v>4.3600000000000003</v>
      </c>
      <c r="C42" s="247">
        <v>4.5100000000000001E-2</v>
      </c>
      <c r="D42" s="246">
        <v>0.64</v>
      </c>
      <c r="E42" s="247">
        <v>0.13300000000000001</v>
      </c>
      <c r="G42" s="234"/>
      <c r="H42" s="250"/>
      <c r="I42" s="250"/>
      <c r="J42" s="250"/>
      <c r="K42" s="250"/>
      <c r="L42" s="250"/>
      <c r="M42" s="250"/>
      <c r="N42" s="250"/>
      <c r="O42" s="249"/>
      <c r="P42" s="250"/>
      <c r="Q42" s="250"/>
    </row>
    <row r="43" spans="1:17">
      <c r="A43" s="234" t="s">
        <v>1310</v>
      </c>
      <c r="B43" s="246">
        <v>7.92</v>
      </c>
      <c r="C43" s="247">
        <v>8.5999999999999993E-2</v>
      </c>
      <c r="D43" s="246">
        <v>0.08</v>
      </c>
      <c r="E43" s="247">
        <v>3.7999999999999999E-2</v>
      </c>
      <c r="G43" s="234"/>
      <c r="H43" s="250"/>
      <c r="I43" s="250"/>
      <c r="J43" s="250"/>
      <c r="K43" s="250"/>
      <c r="L43" s="250"/>
      <c r="M43" s="250"/>
      <c r="N43" s="250"/>
      <c r="O43" s="249"/>
      <c r="P43" s="250"/>
      <c r="Q43" s="250"/>
    </row>
    <row r="44" spans="1:17">
      <c r="A44" s="234" t="s">
        <v>1333</v>
      </c>
      <c r="B44" s="246">
        <v>8.85</v>
      </c>
      <c r="C44" s="247">
        <v>-8.0999999999999996E-3</v>
      </c>
      <c r="D44" s="246">
        <v>1.27</v>
      </c>
      <c r="E44" s="247">
        <v>0.15</v>
      </c>
      <c r="G44" s="234"/>
      <c r="H44" s="250"/>
      <c r="I44" s="250"/>
      <c r="J44" s="250"/>
      <c r="K44" s="250"/>
      <c r="L44" s="250"/>
      <c r="M44" s="250"/>
      <c r="N44" s="250"/>
      <c r="O44" s="249"/>
      <c r="P44" s="250"/>
      <c r="Q44" s="250"/>
    </row>
    <row r="45" spans="1:17">
      <c r="A45" s="234" t="s">
        <v>1344</v>
      </c>
      <c r="B45" s="246">
        <v>2.52</v>
      </c>
      <c r="C45" s="247">
        <v>8.0199999999999994E-2</v>
      </c>
      <c r="D45" s="246">
        <v>0.42</v>
      </c>
      <c r="E45" s="247">
        <v>0</v>
      </c>
      <c r="G45" s="234"/>
      <c r="H45" s="250"/>
      <c r="I45" s="250"/>
      <c r="J45" s="250"/>
      <c r="K45" s="250"/>
      <c r="L45" s="250"/>
      <c r="M45" s="250"/>
      <c r="N45" s="250"/>
      <c r="O45" s="249"/>
      <c r="P45" s="250"/>
      <c r="Q45" s="250"/>
    </row>
    <row r="46" spans="1:17">
      <c r="A46" s="234" t="s">
        <v>1379</v>
      </c>
      <c r="B46" s="246">
        <v>3.59</v>
      </c>
      <c r="C46" s="247">
        <v>7.6899999999999996E-2</v>
      </c>
      <c r="D46" s="246">
        <v>0.12</v>
      </c>
      <c r="E46" s="247">
        <v>0.61180000000000001</v>
      </c>
      <c r="G46" s="234"/>
      <c r="H46" s="250"/>
      <c r="I46" s="250"/>
      <c r="J46" s="250"/>
      <c r="K46" s="250"/>
      <c r="L46" s="250"/>
      <c r="M46" s="250"/>
      <c r="N46" s="250"/>
      <c r="O46" s="249"/>
      <c r="P46" s="250"/>
      <c r="Q46" s="250"/>
    </row>
    <row r="47" spans="1:17">
      <c r="A47" s="234" t="s">
        <v>1414</v>
      </c>
      <c r="B47" s="246">
        <v>19.690000000000001</v>
      </c>
      <c r="C47" s="247">
        <v>8.7099999999999997E-2</v>
      </c>
      <c r="D47" s="246">
        <v>1.28</v>
      </c>
      <c r="E47" s="247">
        <v>0.3291</v>
      </c>
      <c r="G47" s="234"/>
      <c r="H47" s="250"/>
      <c r="I47" s="250"/>
      <c r="J47" s="250"/>
      <c r="K47" s="250"/>
      <c r="L47" s="250"/>
      <c r="M47" s="250"/>
      <c r="N47" s="250"/>
      <c r="O47" s="249"/>
      <c r="P47" s="250"/>
      <c r="Q47" s="250"/>
    </row>
    <row r="48" spans="1:17">
      <c r="A48" s="234" t="s">
        <v>1446</v>
      </c>
      <c r="B48" s="246">
        <v>14.64</v>
      </c>
      <c r="C48" s="247">
        <v>-2.7300000000000001E-2</v>
      </c>
      <c r="D48" s="246">
        <v>1.42</v>
      </c>
      <c r="E48" s="247">
        <v>0</v>
      </c>
      <c r="G48" s="234"/>
      <c r="H48" s="250"/>
      <c r="I48" s="250"/>
      <c r="J48" s="250"/>
      <c r="K48" s="250"/>
      <c r="L48" s="250"/>
      <c r="M48" s="250"/>
      <c r="N48" s="250"/>
      <c r="O48" s="249"/>
      <c r="P48" s="250"/>
      <c r="Q48" s="250"/>
    </row>
    <row r="49" spans="1:17">
      <c r="A49" s="234" t="s">
        <v>1580</v>
      </c>
      <c r="B49" s="246">
        <v>8.1999999999999993</v>
      </c>
      <c r="C49" s="247">
        <v>7.2700000000000001E-2</v>
      </c>
      <c r="D49" s="246">
        <v>0.19</v>
      </c>
      <c r="E49" s="247">
        <v>0</v>
      </c>
      <c r="G49" s="234"/>
      <c r="H49" s="250"/>
      <c r="I49" s="250"/>
      <c r="J49" s="250"/>
      <c r="K49" s="250"/>
      <c r="L49" s="250"/>
      <c r="M49" s="250"/>
      <c r="N49" s="250"/>
      <c r="O49" s="249"/>
      <c r="P49" s="250"/>
      <c r="Q49" s="250"/>
    </row>
    <row r="50" spans="1:17">
      <c r="A50" s="234" t="s">
        <v>1620</v>
      </c>
      <c r="B50" s="246">
        <v>19.239999999999998</v>
      </c>
      <c r="C50" s="247">
        <v>0.19500000000000001</v>
      </c>
      <c r="D50" s="246">
        <v>1.45</v>
      </c>
      <c r="E50" s="247">
        <v>0</v>
      </c>
      <c r="G50" s="234"/>
      <c r="H50" s="250"/>
      <c r="I50" s="250"/>
      <c r="J50" s="250"/>
      <c r="K50" s="250"/>
      <c r="L50" s="250"/>
      <c r="M50" s="250"/>
      <c r="N50" s="250"/>
      <c r="O50" s="249"/>
      <c r="P50" s="250"/>
      <c r="Q50" s="250"/>
    </row>
  </sheetData>
  <phoneticPr fontId="3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D5AC2-59E3-F346-8ADF-7256A731B8B3}">
  <dimension ref="A2:J122"/>
  <sheetViews>
    <sheetView workbookViewId="0">
      <selection activeCell="A5" sqref="A5"/>
    </sheetView>
  </sheetViews>
  <sheetFormatPr baseColWidth="10" defaultColWidth="11" defaultRowHeight="16"/>
  <cols>
    <col min="1" max="1" width="58.1640625" bestFit="1" customWidth="1"/>
    <col min="2" max="2" width="14" customWidth="1"/>
    <col min="4" max="4" width="36.5" bestFit="1" customWidth="1"/>
    <col min="7" max="7" width="23" bestFit="1" customWidth="1"/>
    <col min="8" max="8" width="17.83203125" bestFit="1" customWidth="1"/>
    <col min="9" max="9" width="13" bestFit="1" customWidth="1"/>
    <col min="10" max="10" width="10.1640625" bestFit="1" customWidth="1"/>
  </cols>
  <sheetData>
    <row r="2" spans="1:10">
      <c r="C2" t="s">
        <v>1771</v>
      </c>
      <c r="D2" t="s">
        <v>1772</v>
      </c>
      <c r="E2" t="s">
        <v>1772</v>
      </c>
      <c r="F2" t="s">
        <v>1772</v>
      </c>
      <c r="G2" t="s">
        <v>1772</v>
      </c>
      <c r="H2" t="s">
        <v>1772</v>
      </c>
      <c r="I2" t="s">
        <v>1772</v>
      </c>
      <c r="J2" t="s">
        <v>1772</v>
      </c>
    </row>
    <row r="3" spans="1:10">
      <c r="A3" s="232" t="s">
        <v>204</v>
      </c>
      <c r="B3" s="232"/>
      <c r="C3" s="232" t="s">
        <v>195</v>
      </c>
      <c r="D3" s="232" t="s">
        <v>261</v>
      </c>
      <c r="E3" s="232" t="s">
        <v>239</v>
      </c>
      <c r="F3" s="232" t="s">
        <v>254</v>
      </c>
      <c r="G3" s="232" t="s">
        <v>235</v>
      </c>
      <c r="H3" s="232" t="s">
        <v>263</v>
      </c>
      <c r="I3" s="232" t="s">
        <v>255</v>
      </c>
      <c r="J3" s="232" t="s">
        <v>293</v>
      </c>
    </row>
    <row r="4" spans="1:10">
      <c r="A4" s="235" t="s">
        <v>359</v>
      </c>
      <c r="B4" s="235"/>
      <c r="C4" s="240">
        <v>8.5500000000000007</v>
      </c>
      <c r="D4" s="241">
        <v>6.08E-2</v>
      </c>
      <c r="E4" s="240">
        <v>0.78</v>
      </c>
      <c r="F4" s="241">
        <v>0.98060000000000003</v>
      </c>
      <c r="G4" s="241">
        <v>0.34460000000000002</v>
      </c>
      <c r="H4" s="241">
        <v>0.32640000000000002</v>
      </c>
      <c r="I4" s="241">
        <v>6.4100000000000004E-2</v>
      </c>
      <c r="J4" s="242">
        <v>-5395</v>
      </c>
    </row>
    <row r="5" spans="1:10">
      <c r="A5" s="234" t="s">
        <v>379</v>
      </c>
      <c r="B5" s="234"/>
      <c r="C5" s="246">
        <v>0.33</v>
      </c>
      <c r="D5" s="246" t="s">
        <v>384</v>
      </c>
      <c r="E5" s="246">
        <v>1.96</v>
      </c>
      <c r="F5" s="246" t="s">
        <v>384</v>
      </c>
      <c r="G5" s="247">
        <v>211.25</v>
      </c>
      <c r="H5" s="247">
        <v>-5.91E-2</v>
      </c>
      <c r="I5" s="247">
        <v>0</v>
      </c>
      <c r="J5" s="248">
        <v>0</v>
      </c>
    </row>
    <row r="6" spans="1:10">
      <c r="A6" s="234" t="s">
        <v>399</v>
      </c>
      <c r="B6" s="234"/>
      <c r="C6" s="246">
        <v>0.73</v>
      </c>
      <c r="D6" s="246" t="s">
        <v>384</v>
      </c>
      <c r="E6" s="246">
        <v>-0.2</v>
      </c>
      <c r="F6" s="247">
        <v>0.86960000000000004</v>
      </c>
      <c r="G6" s="246" t="s">
        <v>384</v>
      </c>
      <c r="H6" s="247">
        <v>0.39250000000000002</v>
      </c>
      <c r="I6" s="246" t="s">
        <v>384</v>
      </c>
      <c r="J6" s="248">
        <v>-20</v>
      </c>
    </row>
    <row r="7" spans="1:10">
      <c r="A7" s="234" t="s">
        <v>414</v>
      </c>
      <c r="B7" s="234"/>
      <c r="C7" s="246">
        <v>0.83</v>
      </c>
      <c r="D7" s="246" t="s">
        <v>384</v>
      </c>
      <c r="E7" s="246" t="s">
        <v>384</v>
      </c>
      <c r="F7" s="247">
        <v>0</v>
      </c>
      <c r="G7" s="247">
        <v>5.9999999999999995E-4</v>
      </c>
      <c r="H7" s="246" t="s">
        <v>384</v>
      </c>
      <c r="I7" s="247">
        <v>0</v>
      </c>
      <c r="J7" s="248">
        <v>0</v>
      </c>
    </row>
    <row r="8" spans="1:10">
      <c r="A8" s="234" t="s">
        <v>432</v>
      </c>
      <c r="B8" s="234"/>
      <c r="C8" s="246">
        <v>1.75</v>
      </c>
      <c r="D8" s="246" t="s">
        <v>384</v>
      </c>
      <c r="E8" s="246">
        <v>1.25</v>
      </c>
      <c r="F8" s="246" t="s">
        <v>384</v>
      </c>
      <c r="G8" s="247">
        <v>0.20219999999999999</v>
      </c>
      <c r="H8" s="247">
        <v>-6.3899999999999998E-2</v>
      </c>
      <c r="I8" s="247">
        <v>2.7799999999999998E-2</v>
      </c>
      <c r="J8" s="248">
        <v>-11.1</v>
      </c>
    </row>
    <row r="9" spans="1:10">
      <c r="A9" s="234" t="s">
        <v>449</v>
      </c>
      <c r="B9" s="234"/>
      <c r="C9" s="246">
        <v>2.4</v>
      </c>
      <c r="D9" s="246" t="s">
        <v>384</v>
      </c>
      <c r="E9" s="246">
        <v>-0.35</v>
      </c>
      <c r="F9" s="246" t="s">
        <v>384</v>
      </c>
      <c r="G9" s="247">
        <v>0.21240000000000001</v>
      </c>
      <c r="H9" s="247">
        <v>-7.4999999999999997E-3</v>
      </c>
      <c r="I9" s="247">
        <v>0</v>
      </c>
      <c r="J9" s="248">
        <v>0</v>
      </c>
    </row>
    <row r="10" spans="1:10">
      <c r="A10" s="234" t="s">
        <v>463</v>
      </c>
      <c r="B10" s="234"/>
      <c r="C10" s="246">
        <v>2.5099999999999998</v>
      </c>
      <c r="D10" s="246" t="s">
        <v>384</v>
      </c>
      <c r="E10" s="246">
        <v>0.59</v>
      </c>
      <c r="F10" s="247">
        <v>0.23330000000000001</v>
      </c>
      <c r="G10" s="247">
        <v>0.184</v>
      </c>
      <c r="H10" s="247">
        <v>1.78E-2</v>
      </c>
      <c r="I10" s="247">
        <v>1.34E-2</v>
      </c>
      <c r="J10" s="248">
        <v>-0.57999999999999996</v>
      </c>
    </row>
    <row r="11" spans="1:10">
      <c r="A11" s="234" t="s">
        <v>478</v>
      </c>
      <c r="B11" s="234"/>
      <c r="C11" s="246">
        <v>2.52</v>
      </c>
      <c r="D11" s="246" t="s">
        <v>384</v>
      </c>
      <c r="E11" s="246">
        <v>0.42</v>
      </c>
      <c r="F11" s="247">
        <v>0</v>
      </c>
      <c r="G11" s="247">
        <v>0.38129999999999997</v>
      </c>
      <c r="H11" s="247">
        <v>4.1000000000000003E-3</v>
      </c>
      <c r="I11" s="247">
        <v>0</v>
      </c>
      <c r="J11" s="248">
        <v>0</v>
      </c>
    </row>
    <row r="12" spans="1:10">
      <c r="A12" s="234" t="s">
        <v>492</v>
      </c>
      <c r="B12" s="234"/>
      <c r="C12" s="246">
        <v>2.73</v>
      </c>
      <c r="D12" s="246" t="s">
        <v>384</v>
      </c>
      <c r="E12" s="246">
        <v>0.84</v>
      </c>
      <c r="F12" s="247">
        <v>0.21329999999999999</v>
      </c>
      <c r="G12" s="247">
        <v>0.81579999999999997</v>
      </c>
      <c r="H12" s="247">
        <v>8.2100000000000006E-2</v>
      </c>
      <c r="I12" s="247">
        <v>3.04E-2</v>
      </c>
      <c r="J12" s="248">
        <v>-3.54</v>
      </c>
    </row>
    <row r="13" spans="1:10">
      <c r="A13" s="234" t="s">
        <v>507</v>
      </c>
      <c r="B13" s="234"/>
      <c r="C13" s="246">
        <v>2.79</v>
      </c>
      <c r="D13" s="246" t="s">
        <v>384</v>
      </c>
      <c r="E13" s="246" t="s">
        <v>384</v>
      </c>
      <c r="F13" s="247">
        <v>0</v>
      </c>
      <c r="G13" s="247">
        <v>0.49780000000000002</v>
      </c>
      <c r="H13" s="246" t="s">
        <v>384</v>
      </c>
      <c r="I13" s="247">
        <v>0</v>
      </c>
      <c r="J13" s="248">
        <v>0</v>
      </c>
    </row>
    <row r="14" spans="1:10">
      <c r="A14" s="234" t="s">
        <v>521</v>
      </c>
      <c r="B14" s="234"/>
      <c r="C14" s="246">
        <v>3.59</v>
      </c>
      <c r="D14" s="246" t="s">
        <v>384</v>
      </c>
      <c r="E14" s="246">
        <v>0.97</v>
      </c>
      <c r="F14" s="247">
        <v>0.22900000000000001</v>
      </c>
      <c r="G14" s="247">
        <v>0.51419999999999999</v>
      </c>
      <c r="H14" s="247">
        <v>5.57E-2</v>
      </c>
      <c r="I14" s="247">
        <v>1.9199999999999998E-2</v>
      </c>
      <c r="J14" s="248">
        <v>-2.23</v>
      </c>
    </row>
    <row r="15" spans="1:10">
      <c r="A15" s="234" t="s">
        <v>535</v>
      </c>
      <c r="B15" s="234"/>
      <c r="C15" s="246">
        <v>3.59</v>
      </c>
      <c r="D15" s="246" t="s">
        <v>384</v>
      </c>
      <c r="E15" s="246">
        <v>0.12</v>
      </c>
      <c r="F15" s="247">
        <v>0.61180000000000001</v>
      </c>
      <c r="G15" s="247">
        <v>0</v>
      </c>
      <c r="H15" s="247">
        <v>5.1400000000000001E-2</v>
      </c>
      <c r="I15" s="247">
        <v>4.7500000000000001E-2</v>
      </c>
      <c r="J15" s="248">
        <v>-1.04</v>
      </c>
    </row>
    <row r="16" spans="1:10">
      <c r="A16" s="234" t="s">
        <v>548</v>
      </c>
      <c r="B16" s="234"/>
      <c r="C16" s="246">
        <v>4.3600000000000003</v>
      </c>
      <c r="D16" s="246" t="s">
        <v>384</v>
      </c>
      <c r="E16" s="246">
        <v>0.64</v>
      </c>
      <c r="F16" s="247">
        <v>0.13300000000000001</v>
      </c>
      <c r="G16" s="247">
        <v>8.7674000000000003</v>
      </c>
      <c r="H16" s="247">
        <v>5.0799999999999998E-2</v>
      </c>
      <c r="I16" s="247">
        <v>1.7000000000000001E-2</v>
      </c>
      <c r="J16" s="248">
        <v>-0.73</v>
      </c>
    </row>
    <row r="17" spans="1:10">
      <c r="A17" s="234" t="s">
        <v>563</v>
      </c>
      <c r="B17" s="234"/>
      <c r="C17" s="246">
        <v>4.3899999999999997</v>
      </c>
      <c r="D17" s="246" t="s">
        <v>384</v>
      </c>
      <c r="E17" s="246" t="s">
        <v>384</v>
      </c>
      <c r="F17" s="247">
        <v>0</v>
      </c>
      <c r="G17" s="247">
        <v>0.1484</v>
      </c>
      <c r="H17" s="247">
        <v>0.49340000000000001</v>
      </c>
      <c r="I17" s="247">
        <v>0</v>
      </c>
      <c r="J17" s="248">
        <v>0</v>
      </c>
    </row>
    <row r="18" spans="1:10">
      <c r="A18" s="234" t="s">
        <v>577</v>
      </c>
      <c r="B18" s="234"/>
      <c r="C18" s="246">
        <v>4.53</v>
      </c>
      <c r="D18" s="246" t="s">
        <v>384</v>
      </c>
      <c r="E18" s="246">
        <v>0.09</v>
      </c>
      <c r="F18" s="247">
        <v>0.4788</v>
      </c>
      <c r="G18" s="247">
        <v>0.1196</v>
      </c>
      <c r="H18" s="247">
        <v>0.1293</v>
      </c>
      <c r="I18" s="247">
        <v>4.7E-2</v>
      </c>
      <c r="J18" s="248">
        <v>-2.2599999999999998</v>
      </c>
    </row>
    <row r="19" spans="1:10">
      <c r="A19" s="234" t="s">
        <v>592</v>
      </c>
      <c r="B19" s="234"/>
      <c r="C19" s="246">
        <v>4.59</v>
      </c>
      <c r="D19" s="246" t="s">
        <v>384</v>
      </c>
      <c r="E19" s="246" t="s">
        <v>384</v>
      </c>
      <c r="F19" s="247">
        <v>0</v>
      </c>
      <c r="G19" s="247">
        <v>0.4385</v>
      </c>
      <c r="H19" s="247">
        <v>0.17169999999999999</v>
      </c>
      <c r="I19" s="247">
        <v>0</v>
      </c>
      <c r="J19" s="248">
        <v>0</v>
      </c>
    </row>
    <row r="20" spans="1:10">
      <c r="A20" s="234" t="s">
        <v>607</v>
      </c>
      <c r="B20" s="234"/>
      <c r="C20" s="246">
        <v>4.88</v>
      </c>
      <c r="D20" s="246" t="s">
        <v>384</v>
      </c>
      <c r="E20" s="246">
        <v>2.11</v>
      </c>
      <c r="F20" s="247">
        <v>0.11360000000000001</v>
      </c>
      <c r="G20" s="247">
        <v>0.37640000000000001</v>
      </c>
      <c r="H20" s="247">
        <v>4.8500000000000001E-2</v>
      </c>
      <c r="I20" s="247">
        <v>2.3400000000000001E-2</v>
      </c>
      <c r="J20" s="248">
        <v>-4.76</v>
      </c>
    </row>
    <row r="21" spans="1:10">
      <c r="A21" s="234" t="s">
        <v>624</v>
      </c>
      <c r="B21" s="234"/>
      <c r="C21" s="246">
        <v>5.0599999999999996</v>
      </c>
      <c r="D21" s="246" t="s">
        <v>384</v>
      </c>
      <c r="E21" s="246">
        <v>0.65</v>
      </c>
      <c r="F21" s="247">
        <v>0.12920000000000001</v>
      </c>
      <c r="G21" s="247">
        <v>1.6858</v>
      </c>
      <c r="H21" s="247">
        <v>4.87E-2</v>
      </c>
      <c r="I21" s="247">
        <v>1.8499999999999999E-2</v>
      </c>
      <c r="J21" s="248">
        <v>-1</v>
      </c>
    </row>
    <row r="22" spans="1:10">
      <c r="A22" s="234" t="s">
        <v>640</v>
      </c>
      <c r="B22" s="234"/>
      <c r="C22" s="246">
        <v>5.38</v>
      </c>
      <c r="D22" s="246" t="s">
        <v>384</v>
      </c>
      <c r="E22" s="246">
        <v>0.56000000000000005</v>
      </c>
      <c r="F22" s="247">
        <v>1.2553000000000001</v>
      </c>
      <c r="G22" s="247">
        <v>0.16900000000000001</v>
      </c>
      <c r="H22" s="247">
        <v>7.85E-2</v>
      </c>
      <c r="I22" s="247">
        <v>6.9699999999999998E-2</v>
      </c>
      <c r="J22" s="248">
        <v>-11.8</v>
      </c>
    </row>
    <row r="23" spans="1:10">
      <c r="A23" s="234" t="s">
        <v>654</v>
      </c>
      <c r="B23" s="234"/>
      <c r="C23" s="246">
        <v>5.39</v>
      </c>
      <c r="D23" s="246" t="s">
        <v>384</v>
      </c>
      <c r="E23" s="246">
        <v>1.0900000000000001</v>
      </c>
      <c r="F23" s="246" t="s">
        <v>384</v>
      </c>
      <c r="G23" s="247">
        <v>13.6332</v>
      </c>
      <c r="H23" s="247">
        <v>-0.19650000000000001</v>
      </c>
      <c r="I23" s="247">
        <v>6.5600000000000006E-2</v>
      </c>
      <c r="J23" s="248">
        <v>-52.8</v>
      </c>
    </row>
    <row r="24" spans="1:10">
      <c r="A24" s="234" t="s">
        <v>667</v>
      </c>
      <c r="B24" s="234"/>
      <c r="C24" s="246">
        <v>5.4</v>
      </c>
      <c r="D24" s="246" t="s">
        <v>384</v>
      </c>
      <c r="E24" s="246">
        <v>-0.15</v>
      </c>
      <c r="F24" s="247">
        <v>0</v>
      </c>
      <c r="G24" s="247">
        <v>0.3493</v>
      </c>
      <c r="H24" s="247">
        <v>7.1900000000000006E-2</v>
      </c>
      <c r="I24" s="247">
        <v>0</v>
      </c>
      <c r="J24" s="248">
        <v>0</v>
      </c>
    </row>
    <row r="25" spans="1:10">
      <c r="A25" s="234" t="s">
        <v>684</v>
      </c>
      <c r="B25" s="234"/>
      <c r="C25" s="246">
        <v>5.45</v>
      </c>
      <c r="D25" s="246" t="s">
        <v>384</v>
      </c>
      <c r="E25" s="246" t="s">
        <v>384</v>
      </c>
      <c r="F25" s="247">
        <v>0</v>
      </c>
      <c r="G25" s="247">
        <v>0.29799999999999999</v>
      </c>
      <c r="H25" s="246" t="s">
        <v>384</v>
      </c>
      <c r="I25" s="247">
        <v>0</v>
      </c>
      <c r="J25" s="248">
        <v>0</v>
      </c>
    </row>
    <row r="26" spans="1:10">
      <c r="A26" s="234" t="s">
        <v>698</v>
      </c>
      <c r="B26" s="234"/>
      <c r="C26" s="246">
        <v>5.67</v>
      </c>
      <c r="D26" s="246" t="s">
        <v>384</v>
      </c>
      <c r="E26" s="246">
        <v>0.06</v>
      </c>
      <c r="F26" s="247">
        <v>0.67920000000000003</v>
      </c>
      <c r="G26" s="247">
        <v>0.41039999999999999</v>
      </c>
      <c r="H26" s="247">
        <v>5.3699999999999998E-2</v>
      </c>
      <c r="I26" s="247">
        <v>4.82E-2</v>
      </c>
      <c r="J26" s="248">
        <v>-108.2</v>
      </c>
    </row>
    <row r="27" spans="1:10">
      <c r="A27" s="234" t="s">
        <v>713</v>
      </c>
      <c r="B27" s="234"/>
      <c r="C27" s="246">
        <v>5.72</v>
      </c>
      <c r="D27" s="246" t="s">
        <v>384</v>
      </c>
      <c r="E27" s="246">
        <v>0.75</v>
      </c>
      <c r="F27" s="247">
        <v>0.38159999999999999</v>
      </c>
      <c r="G27" s="247">
        <v>0.51149999999999995</v>
      </c>
      <c r="H27" s="247">
        <v>5.5100000000000003E-2</v>
      </c>
      <c r="I27" s="247">
        <v>3.3099999999999997E-2</v>
      </c>
      <c r="J27" s="248">
        <v>-3.27</v>
      </c>
    </row>
    <row r="28" spans="1:10">
      <c r="A28" s="234" t="s">
        <v>727</v>
      </c>
      <c r="B28" s="234"/>
      <c r="C28" s="246">
        <v>5.97</v>
      </c>
      <c r="D28" s="246" t="s">
        <v>384</v>
      </c>
      <c r="E28" s="246" t="s">
        <v>384</v>
      </c>
      <c r="F28" s="247">
        <v>0.75349999999999995</v>
      </c>
      <c r="G28" s="247">
        <v>0.22789999999999999</v>
      </c>
      <c r="H28" s="246" t="s">
        <v>384</v>
      </c>
      <c r="I28" s="247">
        <v>6.6299999999999998E-2</v>
      </c>
      <c r="J28" s="248">
        <v>-5.99</v>
      </c>
    </row>
    <row r="29" spans="1:10">
      <c r="A29" s="234" t="s">
        <v>740</v>
      </c>
      <c r="B29" s="234"/>
      <c r="C29" s="246">
        <v>6.61</v>
      </c>
      <c r="D29" s="246" t="s">
        <v>384</v>
      </c>
      <c r="E29" s="246">
        <v>0.82</v>
      </c>
      <c r="F29" s="247">
        <v>0</v>
      </c>
      <c r="G29" s="247">
        <v>6.4999999999999997E-3</v>
      </c>
      <c r="H29" s="247">
        <v>2.7300000000000001E-2</v>
      </c>
      <c r="I29" s="247">
        <v>0</v>
      </c>
      <c r="J29" s="248">
        <v>0</v>
      </c>
    </row>
    <row r="30" spans="1:10">
      <c r="A30" s="234" t="s">
        <v>755</v>
      </c>
      <c r="B30" s="234"/>
      <c r="C30" s="246">
        <v>6.76</v>
      </c>
      <c r="D30" s="246" t="s">
        <v>384</v>
      </c>
      <c r="E30" s="246">
        <v>0.8</v>
      </c>
      <c r="F30" s="246" t="s">
        <v>384</v>
      </c>
      <c r="G30" s="247">
        <v>0.37519999999999998</v>
      </c>
      <c r="H30" s="246" t="s">
        <v>384</v>
      </c>
      <c r="I30" s="247">
        <v>0</v>
      </c>
      <c r="J30" s="248">
        <v>0</v>
      </c>
    </row>
    <row r="31" spans="1:10">
      <c r="A31" s="234" t="s">
        <v>773</v>
      </c>
      <c r="B31" s="234"/>
      <c r="C31" s="246">
        <v>7.13</v>
      </c>
      <c r="D31" s="246" t="s">
        <v>384</v>
      </c>
      <c r="E31" s="246" t="s">
        <v>384</v>
      </c>
      <c r="F31" s="247">
        <v>0</v>
      </c>
      <c r="G31" s="247">
        <v>0</v>
      </c>
      <c r="H31" s="247">
        <v>0.33810000000000001</v>
      </c>
      <c r="I31" s="247">
        <v>0</v>
      </c>
      <c r="J31" s="248">
        <v>0</v>
      </c>
    </row>
    <row r="32" spans="1:10">
      <c r="A32" s="234" t="s">
        <v>786</v>
      </c>
      <c r="B32" s="234"/>
      <c r="C32" s="246">
        <v>7.16</v>
      </c>
      <c r="D32" s="246" t="s">
        <v>384</v>
      </c>
      <c r="E32" s="246">
        <v>1.25</v>
      </c>
      <c r="F32" s="247">
        <v>0.25540000000000002</v>
      </c>
      <c r="G32" s="247">
        <v>0.68010000000000004</v>
      </c>
      <c r="H32" s="247">
        <v>5.3499999999999999E-2</v>
      </c>
      <c r="I32" s="247">
        <v>8.8000000000000005E-3</v>
      </c>
      <c r="J32" s="248">
        <v>-3.98</v>
      </c>
    </row>
    <row r="33" spans="1:10">
      <c r="A33" s="234" t="s">
        <v>799</v>
      </c>
      <c r="B33" s="234"/>
      <c r="C33" s="246">
        <v>7.41</v>
      </c>
      <c r="D33" s="246" t="s">
        <v>384</v>
      </c>
      <c r="E33" s="246" t="s">
        <v>384</v>
      </c>
      <c r="F33" s="247">
        <v>0</v>
      </c>
      <c r="G33" s="247">
        <v>0.13109999999999999</v>
      </c>
      <c r="H33" s="247">
        <v>0.2412</v>
      </c>
      <c r="I33" s="247">
        <v>0</v>
      </c>
      <c r="J33" s="248">
        <v>0</v>
      </c>
    </row>
    <row r="34" spans="1:10">
      <c r="A34" s="234" t="s">
        <v>812</v>
      </c>
      <c r="B34" s="234"/>
      <c r="C34" s="246">
        <v>7.45</v>
      </c>
      <c r="D34" s="247">
        <v>4.1099999999999998E-2</v>
      </c>
      <c r="E34" s="246">
        <v>1.1100000000000001</v>
      </c>
      <c r="F34" s="247">
        <v>0.67400000000000004</v>
      </c>
      <c r="G34" s="247">
        <v>0.48420000000000002</v>
      </c>
      <c r="H34" s="247">
        <v>6.0499999999999998E-2</v>
      </c>
      <c r="I34" s="247">
        <v>4.2000000000000003E-2</v>
      </c>
      <c r="J34" s="248">
        <v>-117</v>
      </c>
    </row>
    <row r="35" spans="1:10">
      <c r="A35" s="234" t="s">
        <v>823</v>
      </c>
      <c r="B35" s="234"/>
      <c r="C35" s="246">
        <v>7.46</v>
      </c>
      <c r="D35" s="246" t="s">
        <v>384</v>
      </c>
      <c r="E35" s="246">
        <v>1.01</v>
      </c>
      <c r="F35" s="247">
        <v>0.3458</v>
      </c>
      <c r="G35" s="247">
        <v>0.22550000000000001</v>
      </c>
      <c r="H35" s="247">
        <v>7.3499999999999996E-2</v>
      </c>
      <c r="I35" s="247">
        <v>2.2599999999999999E-2</v>
      </c>
      <c r="J35" s="248">
        <v>-23.1</v>
      </c>
    </row>
    <row r="36" spans="1:10">
      <c r="A36" s="234" t="s">
        <v>836</v>
      </c>
      <c r="B36" s="234"/>
      <c r="C36" s="246">
        <v>7.51</v>
      </c>
      <c r="D36" s="246" t="s">
        <v>384</v>
      </c>
      <c r="E36" s="246">
        <v>2.65</v>
      </c>
      <c r="F36" s="247">
        <v>6.1400000000000003E-2</v>
      </c>
      <c r="G36" s="247">
        <v>1.0958000000000001</v>
      </c>
      <c r="H36" s="247">
        <v>0.16439999999999999</v>
      </c>
      <c r="I36" s="247">
        <v>6.1999999999999998E-3</v>
      </c>
      <c r="J36" s="248">
        <v>-0.21</v>
      </c>
    </row>
    <row r="37" spans="1:10">
      <c r="A37" s="234" t="s">
        <v>848</v>
      </c>
      <c r="B37" s="234"/>
      <c r="C37" s="246">
        <v>7.56</v>
      </c>
      <c r="D37" s="247">
        <v>0.123</v>
      </c>
      <c r="E37" s="246">
        <v>0.99</v>
      </c>
      <c r="F37" s="247">
        <v>0.34839999999999999</v>
      </c>
      <c r="G37" s="247">
        <v>0.53610000000000002</v>
      </c>
      <c r="H37" s="247">
        <v>7.5300000000000006E-2</v>
      </c>
      <c r="I37" s="247">
        <v>2.3300000000000001E-2</v>
      </c>
      <c r="J37" s="248">
        <v>-104.1</v>
      </c>
    </row>
    <row r="38" spans="1:10">
      <c r="A38" s="234" t="s">
        <v>859</v>
      </c>
      <c r="B38" s="234"/>
      <c r="C38" s="246">
        <v>7.6</v>
      </c>
      <c r="D38" s="247">
        <v>0.14199999999999999</v>
      </c>
      <c r="E38" s="246">
        <v>1.1499999999999999</v>
      </c>
      <c r="F38" s="247">
        <v>0.5</v>
      </c>
      <c r="G38" s="247">
        <v>0.56340000000000001</v>
      </c>
      <c r="H38" s="247">
        <v>0.22020000000000001</v>
      </c>
      <c r="I38" s="247">
        <v>2.5700000000000001E-2</v>
      </c>
      <c r="J38" s="248">
        <v>-29.7</v>
      </c>
    </row>
    <row r="39" spans="1:10">
      <c r="A39" s="234" t="s">
        <v>871</v>
      </c>
      <c r="B39" s="234"/>
      <c r="C39" s="246">
        <v>7.65</v>
      </c>
      <c r="D39" s="246" t="s">
        <v>384</v>
      </c>
      <c r="E39" s="246">
        <v>1.91</v>
      </c>
      <c r="F39" s="246" t="s">
        <v>384</v>
      </c>
      <c r="G39" s="247">
        <v>0.1845</v>
      </c>
      <c r="H39" s="247">
        <v>-5.0299999999999997E-2</v>
      </c>
      <c r="I39" s="247">
        <v>0</v>
      </c>
      <c r="J39" s="248">
        <v>0</v>
      </c>
    </row>
    <row r="40" spans="1:10">
      <c r="A40" s="234" t="s">
        <v>884</v>
      </c>
      <c r="B40" s="234"/>
      <c r="C40" s="246">
        <v>7.92</v>
      </c>
      <c r="D40" s="246" t="s">
        <v>384</v>
      </c>
      <c r="E40" s="246">
        <v>0.08</v>
      </c>
      <c r="F40" s="247">
        <v>3.7999999999999999E-2</v>
      </c>
      <c r="G40" s="247">
        <v>1.0569999999999999</v>
      </c>
      <c r="H40" s="247">
        <v>9.11E-2</v>
      </c>
      <c r="I40" s="247">
        <v>3.0000000000000001E-3</v>
      </c>
      <c r="J40" s="248">
        <v>-0.09</v>
      </c>
    </row>
    <row r="41" spans="1:10">
      <c r="A41" s="234" t="s">
        <v>896</v>
      </c>
      <c r="B41" s="234"/>
      <c r="C41" s="246">
        <v>8.1</v>
      </c>
      <c r="D41" s="247">
        <v>0.36399999999999999</v>
      </c>
      <c r="E41" s="246">
        <v>0.71</v>
      </c>
      <c r="F41" s="247">
        <v>0.58720000000000006</v>
      </c>
      <c r="G41" s="247">
        <v>0.13</v>
      </c>
      <c r="H41" s="247">
        <v>3.85E-2</v>
      </c>
      <c r="I41" s="247">
        <v>1.44E-2</v>
      </c>
      <c r="J41" s="248">
        <v>-67</v>
      </c>
    </row>
    <row r="42" spans="1:10">
      <c r="A42" s="234" t="s">
        <v>907</v>
      </c>
      <c r="B42" s="234"/>
      <c r="C42" s="246">
        <v>8.16</v>
      </c>
      <c r="D42" s="246" t="s">
        <v>384</v>
      </c>
      <c r="E42" s="246">
        <v>1.54</v>
      </c>
      <c r="F42" s="246" t="s">
        <v>384</v>
      </c>
      <c r="G42" s="247">
        <v>2.7208000000000001</v>
      </c>
      <c r="H42" s="247">
        <v>-0.51259999999999994</v>
      </c>
      <c r="I42" s="247">
        <v>0</v>
      </c>
      <c r="J42" s="248">
        <v>0</v>
      </c>
    </row>
    <row r="43" spans="1:10">
      <c r="A43" s="234" t="s">
        <v>917</v>
      </c>
      <c r="B43" s="234"/>
      <c r="C43" s="246">
        <v>8.1999999999999993</v>
      </c>
      <c r="D43" s="246" t="s">
        <v>384</v>
      </c>
      <c r="E43" s="246">
        <v>0.19</v>
      </c>
      <c r="F43" s="247">
        <v>0</v>
      </c>
      <c r="G43" s="247">
        <v>0</v>
      </c>
      <c r="H43" s="247">
        <v>8.7499999999999994E-2</v>
      </c>
      <c r="I43" s="247">
        <v>0</v>
      </c>
      <c r="J43" s="248">
        <v>0</v>
      </c>
    </row>
    <row r="44" spans="1:10">
      <c r="A44" s="234" t="s">
        <v>930</v>
      </c>
      <c r="B44" s="234"/>
      <c r="C44" s="246">
        <v>8.4700000000000006</v>
      </c>
      <c r="D44" s="246" t="s">
        <v>384</v>
      </c>
      <c r="E44" s="246">
        <v>0.44</v>
      </c>
      <c r="F44" s="247">
        <v>0.78569999999999995</v>
      </c>
      <c r="G44" s="247">
        <v>0.58919999999999995</v>
      </c>
      <c r="H44" s="247">
        <v>8.5099999999999995E-2</v>
      </c>
      <c r="I44" s="247">
        <v>5.1299999999999998E-2</v>
      </c>
      <c r="J44" s="248">
        <v>-25.3</v>
      </c>
    </row>
    <row r="45" spans="1:10">
      <c r="A45" s="234" t="s">
        <v>947</v>
      </c>
      <c r="B45" s="234"/>
      <c r="C45" s="246">
        <v>8.59</v>
      </c>
      <c r="D45" s="247">
        <v>9.3200000000000005E-2</v>
      </c>
      <c r="E45" s="246" t="s">
        <v>384</v>
      </c>
      <c r="F45" s="247">
        <v>9.4113000000000007</v>
      </c>
      <c r="G45" s="247">
        <v>1.63</v>
      </c>
      <c r="H45" s="247">
        <v>5.2999999999999999E-2</v>
      </c>
      <c r="I45" s="247">
        <v>0.57369999999999999</v>
      </c>
      <c r="J45" s="248">
        <v>-233.4</v>
      </c>
    </row>
    <row r="46" spans="1:10">
      <c r="A46" s="234" t="s">
        <v>961</v>
      </c>
      <c r="B46" s="234"/>
      <c r="C46" s="246">
        <v>8.59</v>
      </c>
      <c r="D46" s="247">
        <v>0.128</v>
      </c>
      <c r="E46" s="246">
        <v>0.65</v>
      </c>
      <c r="F46" s="247">
        <v>0.75609999999999999</v>
      </c>
      <c r="G46" s="247">
        <v>1.2252000000000001</v>
      </c>
      <c r="H46" s="247">
        <v>0.1143</v>
      </c>
      <c r="I46" s="247">
        <v>5.0299999999999997E-2</v>
      </c>
      <c r="J46" s="248">
        <v>-8.6199999999999992</v>
      </c>
    </row>
    <row r="47" spans="1:10">
      <c r="A47" s="234" t="s">
        <v>974</v>
      </c>
      <c r="B47" s="234"/>
      <c r="C47" s="246">
        <v>8.64</v>
      </c>
      <c r="D47" s="246" t="s">
        <v>384</v>
      </c>
      <c r="E47" s="246">
        <v>-0.99</v>
      </c>
      <c r="F47" s="247">
        <v>0</v>
      </c>
      <c r="G47" s="247">
        <v>0.23019999999999999</v>
      </c>
      <c r="H47" s="247">
        <v>8.0600000000000005E-2</v>
      </c>
      <c r="I47" s="247">
        <v>0</v>
      </c>
      <c r="J47" s="248">
        <v>0</v>
      </c>
    </row>
    <row r="48" spans="1:10">
      <c r="A48" s="234" t="s">
        <v>986</v>
      </c>
      <c r="B48" s="234"/>
      <c r="C48" s="246">
        <v>8.68</v>
      </c>
      <c r="D48" s="246" t="s">
        <v>384</v>
      </c>
      <c r="E48" s="246">
        <v>0.35</v>
      </c>
      <c r="F48" s="247">
        <v>0.44390000000000002</v>
      </c>
      <c r="G48" s="247">
        <v>0.85929999999999995</v>
      </c>
      <c r="H48" s="247">
        <v>2.1299999999999999E-2</v>
      </c>
      <c r="I48" s="247">
        <v>1.83E-2</v>
      </c>
      <c r="J48" s="248">
        <v>-19</v>
      </c>
    </row>
    <row r="49" spans="1:10">
      <c r="A49" s="234" t="s">
        <v>1002</v>
      </c>
      <c r="B49" s="234"/>
      <c r="C49" s="246">
        <v>8.76</v>
      </c>
      <c r="D49" s="246" t="s">
        <v>384</v>
      </c>
      <c r="E49" s="246">
        <v>0.95</v>
      </c>
      <c r="F49" s="247">
        <v>0.4824</v>
      </c>
      <c r="G49" s="247">
        <v>0.2344</v>
      </c>
      <c r="H49" s="247">
        <v>4.3900000000000002E-2</v>
      </c>
      <c r="I49" s="247">
        <v>2.1100000000000001E-2</v>
      </c>
      <c r="J49" s="248">
        <v>-3.69</v>
      </c>
    </row>
    <row r="50" spans="1:10">
      <c r="A50" s="234" t="s">
        <v>1015</v>
      </c>
      <c r="B50" s="234"/>
      <c r="C50" s="246">
        <v>8.8000000000000007</v>
      </c>
      <c r="D50" s="246" t="s">
        <v>384</v>
      </c>
      <c r="E50" s="246">
        <v>1.49</v>
      </c>
      <c r="F50" s="247">
        <v>0.5</v>
      </c>
      <c r="G50" s="247">
        <v>0.59789999999999999</v>
      </c>
      <c r="H50" s="247">
        <v>0.33329999999999999</v>
      </c>
      <c r="I50" s="247">
        <v>8.3699999999999997E-2</v>
      </c>
      <c r="J50" s="248">
        <v>-1.85</v>
      </c>
    </row>
    <row r="51" spans="1:10">
      <c r="A51" s="234" t="s">
        <v>1032</v>
      </c>
      <c r="B51" s="234"/>
      <c r="C51" s="246">
        <v>8.85</v>
      </c>
      <c r="D51" s="246" t="s">
        <v>384</v>
      </c>
      <c r="E51" s="246">
        <v>1.27</v>
      </c>
      <c r="F51" s="247">
        <v>0.15</v>
      </c>
      <c r="G51" s="247">
        <v>0.55559999999999998</v>
      </c>
      <c r="H51" s="247">
        <v>4.2700000000000002E-2</v>
      </c>
      <c r="I51" s="247">
        <v>7.4000000000000003E-3</v>
      </c>
      <c r="J51" s="248">
        <v>-0.19</v>
      </c>
    </row>
    <row r="52" spans="1:10">
      <c r="A52" s="234" t="s">
        <v>1043</v>
      </c>
      <c r="B52" s="234"/>
      <c r="C52" s="246">
        <v>8.85</v>
      </c>
      <c r="D52" s="246" t="s">
        <v>384</v>
      </c>
      <c r="E52" s="246" t="s">
        <v>384</v>
      </c>
      <c r="F52" s="247">
        <v>0</v>
      </c>
      <c r="G52" s="247">
        <v>0.3649</v>
      </c>
      <c r="H52" s="247">
        <v>1.0113000000000001</v>
      </c>
      <c r="I52" s="247">
        <v>0</v>
      </c>
      <c r="J52" s="248">
        <v>0</v>
      </c>
    </row>
    <row r="53" spans="1:10">
      <c r="A53" s="234" t="s">
        <v>1055</v>
      </c>
      <c r="B53" s="234"/>
      <c r="C53" s="246">
        <v>8.91</v>
      </c>
      <c r="D53" s="246" t="s">
        <v>384</v>
      </c>
      <c r="E53" s="246">
        <v>0.94</v>
      </c>
      <c r="F53" s="247">
        <v>0.43580000000000002</v>
      </c>
      <c r="G53" s="247">
        <v>0.15640000000000001</v>
      </c>
      <c r="H53" s="247">
        <v>9.7600000000000006E-2</v>
      </c>
      <c r="I53" s="247">
        <v>4.6399999999999997E-2</v>
      </c>
      <c r="J53" s="248">
        <v>-45.5</v>
      </c>
    </row>
    <row r="54" spans="1:10">
      <c r="A54" s="234" t="s">
        <v>1068</v>
      </c>
      <c r="B54" s="234"/>
      <c r="C54" s="246">
        <v>9.0299999999999994</v>
      </c>
      <c r="D54" s="246" t="s">
        <v>384</v>
      </c>
      <c r="E54" s="246">
        <v>0.99</v>
      </c>
      <c r="F54" s="247">
        <v>0.77049999999999996</v>
      </c>
      <c r="G54" s="247">
        <v>0.77600000000000002</v>
      </c>
      <c r="H54" s="247">
        <v>9.11E-2</v>
      </c>
      <c r="I54" s="247">
        <v>4.8000000000000001E-2</v>
      </c>
      <c r="J54" s="248">
        <v>-52.7</v>
      </c>
    </row>
    <row r="55" spans="1:10">
      <c r="A55" s="234" t="s">
        <v>1080</v>
      </c>
      <c r="B55" s="234"/>
      <c r="C55" s="246">
        <v>9.2100000000000009</v>
      </c>
      <c r="D55" s="246" t="s">
        <v>384</v>
      </c>
      <c r="E55" s="246">
        <v>0.66</v>
      </c>
      <c r="F55" s="247">
        <v>0.93120000000000003</v>
      </c>
      <c r="G55" s="247">
        <v>0.35759999999999997</v>
      </c>
      <c r="H55" s="247">
        <v>0.2082</v>
      </c>
      <c r="I55" s="247">
        <v>5.8700000000000002E-2</v>
      </c>
      <c r="J55" s="248">
        <v>-144.9</v>
      </c>
    </row>
    <row r="56" spans="1:10">
      <c r="A56" s="234" t="s">
        <v>1092</v>
      </c>
      <c r="B56" s="234"/>
      <c r="C56" s="246">
        <v>9.36</v>
      </c>
      <c r="D56" s="246" t="s">
        <v>384</v>
      </c>
      <c r="E56" s="246">
        <v>0.52</v>
      </c>
      <c r="F56" s="247">
        <v>0.1638</v>
      </c>
      <c r="G56" s="247">
        <v>0.49440000000000001</v>
      </c>
      <c r="H56" s="247">
        <v>0.1197</v>
      </c>
      <c r="I56" s="247">
        <v>9.1000000000000004E-3</v>
      </c>
      <c r="J56" s="248">
        <v>-26.3</v>
      </c>
    </row>
    <row r="57" spans="1:10">
      <c r="A57" s="234" t="s">
        <v>1104</v>
      </c>
      <c r="B57" s="234"/>
      <c r="C57" s="246">
        <v>9.49</v>
      </c>
      <c r="D57" s="247">
        <v>9.5100000000000004E-2</v>
      </c>
      <c r="E57" s="246">
        <v>2.1</v>
      </c>
      <c r="F57" s="247">
        <v>0.59989999999999999</v>
      </c>
      <c r="G57" s="247">
        <v>0.50119999999999998</v>
      </c>
      <c r="H57" s="247">
        <v>0.16719999999999999</v>
      </c>
      <c r="I57" s="247">
        <v>4.0500000000000001E-2</v>
      </c>
      <c r="J57" s="248">
        <v>-2490.9</v>
      </c>
    </row>
    <row r="58" spans="1:10">
      <c r="A58" s="234" t="s">
        <v>1119</v>
      </c>
      <c r="B58" s="234"/>
      <c r="C58" s="246">
        <v>9.5399999999999991</v>
      </c>
      <c r="D58" s="246" t="s">
        <v>384</v>
      </c>
      <c r="E58" s="246">
        <v>0.85</v>
      </c>
      <c r="F58" s="247">
        <v>0.21690000000000001</v>
      </c>
      <c r="G58" s="247">
        <v>0.3175</v>
      </c>
      <c r="H58" s="247">
        <v>0.26919999999999999</v>
      </c>
      <c r="I58" s="247">
        <v>1.4E-2</v>
      </c>
      <c r="J58" s="248">
        <v>-23.6</v>
      </c>
    </row>
    <row r="59" spans="1:10">
      <c r="A59" s="234" t="s">
        <v>1128</v>
      </c>
      <c r="B59" s="234"/>
      <c r="C59" s="246">
        <v>9.5399999999999991</v>
      </c>
      <c r="D59" s="246" t="s">
        <v>384</v>
      </c>
      <c r="E59" s="246">
        <v>1.1399999999999999</v>
      </c>
      <c r="F59" s="246" t="s">
        <v>384</v>
      </c>
      <c r="G59" s="247">
        <v>1.8302</v>
      </c>
      <c r="H59" s="247">
        <v>-0.1116</v>
      </c>
      <c r="I59" s="247">
        <v>2.7699999999999999E-2</v>
      </c>
      <c r="J59" s="248">
        <v>-17.5</v>
      </c>
    </row>
    <row r="60" spans="1:10">
      <c r="A60" s="234" t="s">
        <v>1138</v>
      </c>
      <c r="B60" s="234"/>
      <c r="C60" s="246">
        <v>9.76</v>
      </c>
      <c r="D60" s="247">
        <v>0.52900000000000003</v>
      </c>
      <c r="E60" s="246">
        <v>1.01</v>
      </c>
      <c r="F60" s="247">
        <v>0.8024</v>
      </c>
      <c r="G60" s="247">
        <v>0.38779999999999998</v>
      </c>
      <c r="H60" s="247">
        <v>2.01E-2</v>
      </c>
      <c r="I60" s="247">
        <v>1.34E-2</v>
      </c>
      <c r="J60" s="248">
        <v>-114.1</v>
      </c>
    </row>
    <row r="61" spans="1:10">
      <c r="A61" s="234" t="s">
        <v>1153</v>
      </c>
      <c r="B61" s="234"/>
      <c r="C61" s="246">
        <v>10</v>
      </c>
      <c r="D61" s="246" t="s">
        <v>384</v>
      </c>
      <c r="E61" s="246">
        <v>-0.02</v>
      </c>
      <c r="F61" s="247">
        <v>0</v>
      </c>
      <c r="G61" s="247">
        <v>0</v>
      </c>
      <c r="H61" s="247">
        <v>6.2799999999999995E-2</v>
      </c>
      <c r="I61" s="247">
        <v>0</v>
      </c>
      <c r="J61" s="248">
        <v>0</v>
      </c>
    </row>
    <row r="62" spans="1:10">
      <c r="A62" s="234" t="s">
        <v>1165</v>
      </c>
      <c r="B62" s="234"/>
      <c r="C62" s="246">
        <v>10.01</v>
      </c>
      <c r="D62" s="247">
        <v>0.15</v>
      </c>
      <c r="E62" s="246">
        <v>1.46</v>
      </c>
      <c r="F62" s="246" t="s">
        <v>384</v>
      </c>
      <c r="G62" s="247">
        <v>0.3382</v>
      </c>
      <c r="H62" s="247">
        <v>-3.2500000000000001E-2</v>
      </c>
      <c r="I62" s="247">
        <v>0</v>
      </c>
      <c r="J62" s="248">
        <v>0</v>
      </c>
    </row>
    <row r="63" spans="1:10">
      <c r="A63" s="234" t="s">
        <v>1181</v>
      </c>
      <c r="B63" s="234"/>
      <c r="C63" s="246">
        <v>10.8</v>
      </c>
      <c r="D63" s="246" t="s">
        <v>384</v>
      </c>
      <c r="E63" s="246">
        <v>1.39</v>
      </c>
      <c r="F63" s="247">
        <v>0.91259999999999997</v>
      </c>
      <c r="G63" s="247">
        <v>0.39810000000000001</v>
      </c>
      <c r="H63" s="247">
        <v>0.17480000000000001</v>
      </c>
      <c r="I63" s="247">
        <v>0.24160000000000001</v>
      </c>
      <c r="J63" s="248">
        <v>-171.3</v>
      </c>
    </row>
    <row r="64" spans="1:10">
      <c r="A64" s="234" t="s">
        <v>1192</v>
      </c>
      <c r="B64" s="234"/>
      <c r="C64" s="246">
        <v>10.87</v>
      </c>
      <c r="D64" s="246" t="s">
        <v>384</v>
      </c>
      <c r="E64" s="246" t="s">
        <v>384</v>
      </c>
      <c r="F64" s="247">
        <v>0</v>
      </c>
      <c r="G64" s="247">
        <v>0.35599999999999998</v>
      </c>
      <c r="H64" s="246" t="s">
        <v>384</v>
      </c>
      <c r="I64" s="247">
        <v>0</v>
      </c>
      <c r="J64" s="248">
        <v>0</v>
      </c>
    </row>
    <row r="65" spans="1:10">
      <c r="A65" s="234" t="s">
        <v>1202</v>
      </c>
      <c r="B65" s="234"/>
      <c r="C65" s="246">
        <v>11</v>
      </c>
      <c r="D65" s="247">
        <v>0.123</v>
      </c>
      <c r="E65" s="246">
        <v>0.75</v>
      </c>
      <c r="F65" s="247">
        <v>0.56269999999999998</v>
      </c>
      <c r="G65" s="247">
        <v>0.23880000000000001</v>
      </c>
      <c r="H65" s="247">
        <v>0.22159999999999999</v>
      </c>
      <c r="I65" s="247">
        <v>2.8299999999999999E-2</v>
      </c>
      <c r="J65" s="248">
        <v>-14.8</v>
      </c>
    </row>
    <row r="66" spans="1:10">
      <c r="A66" s="234" t="s">
        <v>1213</v>
      </c>
      <c r="B66" s="234"/>
      <c r="C66" s="246">
        <v>11.04</v>
      </c>
      <c r="D66" s="247">
        <v>0.127</v>
      </c>
      <c r="E66" s="246">
        <v>1.71</v>
      </c>
      <c r="F66" s="247">
        <v>0</v>
      </c>
      <c r="G66" s="247">
        <v>0.45269999999999999</v>
      </c>
      <c r="H66" s="247">
        <v>0.43369999999999997</v>
      </c>
      <c r="I66" s="247">
        <v>0</v>
      </c>
      <c r="J66" s="248">
        <v>0</v>
      </c>
    </row>
    <row r="67" spans="1:10">
      <c r="A67" s="234" t="s">
        <v>1225</v>
      </c>
      <c r="B67" s="234"/>
      <c r="C67" s="246">
        <v>11.36</v>
      </c>
      <c r="D67" s="247">
        <v>8.14E-2</v>
      </c>
      <c r="E67" s="246">
        <v>1.52</v>
      </c>
      <c r="F67" s="247">
        <v>0.4511</v>
      </c>
      <c r="G67" s="247">
        <v>0.35170000000000001</v>
      </c>
      <c r="H67" s="247">
        <v>0.1188</v>
      </c>
      <c r="I67" s="247">
        <v>1.7299999999999999E-2</v>
      </c>
      <c r="J67" s="248">
        <v>-147.5</v>
      </c>
    </row>
    <row r="68" spans="1:10">
      <c r="A68" s="234" t="s">
        <v>1233</v>
      </c>
      <c r="B68" s="234"/>
      <c r="C68" s="246">
        <v>12.19</v>
      </c>
      <c r="D68" s="246" t="s">
        <v>384</v>
      </c>
      <c r="E68" s="246">
        <v>0.59</v>
      </c>
      <c r="F68" s="247">
        <v>0.38519999999999999</v>
      </c>
      <c r="G68" s="247">
        <v>0.33810000000000001</v>
      </c>
      <c r="H68" s="247">
        <v>6.83E-2</v>
      </c>
      <c r="I68" s="247">
        <v>1.7399999999999999E-2</v>
      </c>
      <c r="J68" s="248">
        <v>-44.8</v>
      </c>
    </row>
    <row r="69" spans="1:10">
      <c r="A69" s="234" t="s">
        <v>1239</v>
      </c>
      <c r="B69" s="234"/>
      <c r="C69" s="246">
        <v>13.04</v>
      </c>
      <c r="D69" s="246" t="s">
        <v>384</v>
      </c>
      <c r="E69" s="246">
        <v>0.96</v>
      </c>
      <c r="F69" s="247">
        <v>0.81410000000000005</v>
      </c>
      <c r="G69" s="247">
        <v>0.15190000000000001</v>
      </c>
      <c r="H69" s="247">
        <v>8.1299999999999997E-2</v>
      </c>
      <c r="I69" s="247">
        <v>5.57E-2</v>
      </c>
      <c r="J69" s="248">
        <v>-16.2</v>
      </c>
    </row>
    <row r="70" spans="1:10">
      <c r="A70" s="234" t="s">
        <v>1253</v>
      </c>
      <c r="B70" s="234"/>
      <c r="C70" s="246">
        <v>13.2</v>
      </c>
      <c r="D70" s="246" t="s">
        <v>384</v>
      </c>
      <c r="E70" s="246">
        <v>1.6</v>
      </c>
      <c r="F70" s="246" t="s">
        <v>384</v>
      </c>
      <c r="G70" s="247">
        <v>2.92E-2</v>
      </c>
      <c r="H70" s="247">
        <v>-3.3999999999999998E-3</v>
      </c>
      <c r="I70" s="247">
        <v>2.0999999999999999E-3</v>
      </c>
      <c r="J70" s="248">
        <v>-1.32</v>
      </c>
    </row>
    <row r="71" spans="1:10">
      <c r="A71" s="234" t="s">
        <v>1264</v>
      </c>
      <c r="B71" s="234"/>
      <c r="C71" s="246">
        <v>13.65</v>
      </c>
      <c r="D71" s="246" t="s">
        <v>384</v>
      </c>
      <c r="E71" s="246">
        <v>1.51</v>
      </c>
      <c r="F71" s="246" t="s">
        <v>384</v>
      </c>
      <c r="G71" s="247">
        <v>0.8216</v>
      </c>
      <c r="H71" s="247">
        <v>-5.3600000000000002E-2</v>
      </c>
      <c r="I71" s="247">
        <v>0</v>
      </c>
      <c r="J71" s="248">
        <v>0</v>
      </c>
    </row>
    <row r="72" spans="1:10">
      <c r="A72" s="234" t="s">
        <v>1275</v>
      </c>
      <c r="B72" s="234"/>
      <c r="C72" s="246">
        <v>14.64</v>
      </c>
      <c r="D72" s="246" t="s">
        <v>384</v>
      </c>
      <c r="E72" s="246">
        <v>1.42</v>
      </c>
      <c r="F72" s="247">
        <v>0</v>
      </c>
      <c r="G72" s="247">
        <v>8.3999999999999995E-3</v>
      </c>
      <c r="H72" s="247">
        <v>4.7000000000000002E-3</v>
      </c>
      <c r="I72" s="247">
        <v>0</v>
      </c>
      <c r="J72" s="248">
        <v>0</v>
      </c>
    </row>
    <row r="73" spans="1:10">
      <c r="A73" s="234" t="s">
        <v>1288</v>
      </c>
      <c r="B73" s="234"/>
      <c r="C73" s="246">
        <v>15.84</v>
      </c>
      <c r="D73" s="246" t="s">
        <v>384</v>
      </c>
      <c r="E73" s="246">
        <v>1.0900000000000001</v>
      </c>
      <c r="F73" s="246" t="s">
        <v>384</v>
      </c>
      <c r="G73" s="247">
        <v>1.49E-2</v>
      </c>
      <c r="H73" s="247">
        <v>-2.7199999999999998E-2</v>
      </c>
      <c r="I73" s="247">
        <v>0</v>
      </c>
      <c r="J73" s="248">
        <v>0</v>
      </c>
    </row>
    <row r="74" spans="1:10">
      <c r="A74" s="234" t="s">
        <v>1299</v>
      </c>
      <c r="B74" s="234"/>
      <c r="C74" s="246">
        <v>16.309999999999999</v>
      </c>
      <c r="D74" s="246" t="s">
        <v>384</v>
      </c>
      <c r="E74" s="246">
        <v>1.64</v>
      </c>
      <c r="F74" s="247">
        <v>0.5</v>
      </c>
      <c r="G74" s="247">
        <v>1.9489000000000001</v>
      </c>
      <c r="H74" s="247">
        <v>6.7100000000000007E-2</v>
      </c>
      <c r="I74" s="247">
        <v>3.1699999999999999E-2</v>
      </c>
      <c r="J74" s="248">
        <v>-2.54</v>
      </c>
    </row>
    <row r="75" spans="1:10">
      <c r="A75" s="234" t="s">
        <v>1310</v>
      </c>
      <c r="B75" s="234"/>
      <c r="C75" s="246">
        <v>16.940000000000001</v>
      </c>
      <c r="D75" s="247">
        <v>0.12</v>
      </c>
      <c r="E75" s="246">
        <v>0.86</v>
      </c>
      <c r="F75" s="247">
        <v>0.1409</v>
      </c>
      <c r="G75" s="247">
        <v>3.1E-2</v>
      </c>
      <c r="H75" s="247">
        <v>0.2051</v>
      </c>
      <c r="I75" s="247">
        <v>7.4999999999999997E-3</v>
      </c>
      <c r="J75" s="248">
        <v>-6.89</v>
      </c>
    </row>
    <row r="76" spans="1:10">
      <c r="A76" s="234" t="s">
        <v>1322</v>
      </c>
      <c r="B76" s="234"/>
      <c r="C76" s="246">
        <v>17.02</v>
      </c>
      <c r="D76" s="246" t="s">
        <v>384</v>
      </c>
      <c r="E76" s="246">
        <v>0.5</v>
      </c>
      <c r="F76" s="247">
        <v>0.31090000000000001</v>
      </c>
      <c r="G76" s="247">
        <v>2.8658999999999999</v>
      </c>
      <c r="H76" s="247">
        <v>0.10050000000000001</v>
      </c>
      <c r="I76" s="247">
        <v>2.8299999999999999E-2</v>
      </c>
      <c r="J76" s="248">
        <v>-4.8499999999999996</v>
      </c>
    </row>
    <row r="77" spans="1:10">
      <c r="A77" s="234" t="s">
        <v>1333</v>
      </c>
      <c r="B77" s="234"/>
      <c r="C77" s="246">
        <v>17.3</v>
      </c>
      <c r="D77" s="246" t="s">
        <v>384</v>
      </c>
      <c r="E77" s="246">
        <v>0.03</v>
      </c>
      <c r="F77" s="246" t="s">
        <v>384</v>
      </c>
      <c r="G77" s="247">
        <v>0.52339999999999998</v>
      </c>
      <c r="H77" s="247">
        <v>-6.9999999999999999E-4</v>
      </c>
      <c r="I77" s="247">
        <v>0</v>
      </c>
      <c r="J77" s="248">
        <v>0</v>
      </c>
    </row>
    <row r="78" spans="1:10">
      <c r="A78" s="234" t="s">
        <v>1344</v>
      </c>
      <c r="B78" s="234"/>
      <c r="C78" s="246">
        <v>18.010000000000002</v>
      </c>
      <c r="D78" s="246" t="s">
        <v>384</v>
      </c>
      <c r="E78" s="246">
        <v>1.02</v>
      </c>
      <c r="F78" s="246" t="s">
        <v>384</v>
      </c>
      <c r="G78" s="247">
        <v>0.1968</v>
      </c>
      <c r="H78" s="247">
        <v>-4.5999999999999999E-3</v>
      </c>
      <c r="I78" s="247">
        <v>5.4600000000000003E-2</v>
      </c>
      <c r="J78" s="248">
        <v>-3.44</v>
      </c>
    </row>
    <row r="79" spans="1:10">
      <c r="A79" s="234" t="s">
        <v>1358</v>
      </c>
      <c r="B79" s="234"/>
      <c r="C79" s="246">
        <v>18.16</v>
      </c>
      <c r="D79" s="246" t="s">
        <v>384</v>
      </c>
      <c r="E79" s="246" t="s">
        <v>384</v>
      </c>
      <c r="F79" s="247">
        <v>3.4129999999999998</v>
      </c>
      <c r="G79" s="247">
        <v>8.5300000000000001E-2</v>
      </c>
      <c r="H79" s="247">
        <v>8.8499999999999995E-2</v>
      </c>
      <c r="I79" s="247">
        <v>0.12239999999999999</v>
      </c>
      <c r="J79" s="248">
        <v>-6.28</v>
      </c>
    </row>
    <row r="80" spans="1:10">
      <c r="A80" s="234" t="s">
        <v>1367</v>
      </c>
      <c r="B80" s="234"/>
      <c r="C80" s="246">
        <v>18.579999999999998</v>
      </c>
      <c r="D80" s="247">
        <v>0.111</v>
      </c>
      <c r="E80" s="246">
        <v>1.01</v>
      </c>
      <c r="F80" s="247">
        <v>0.22</v>
      </c>
      <c r="G80" s="247">
        <v>5.7999999999999996E-3</v>
      </c>
      <c r="H80" s="247">
        <v>0.25319999999999998</v>
      </c>
      <c r="I80" s="247">
        <v>7.1000000000000004E-3</v>
      </c>
      <c r="J80" s="248">
        <v>-232.6</v>
      </c>
    </row>
    <row r="81" spans="1:10">
      <c r="A81" s="234" t="s">
        <v>1379</v>
      </c>
      <c r="B81" s="234"/>
      <c r="C81" s="246">
        <v>19.21</v>
      </c>
      <c r="D81" s="246" t="s">
        <v>384</v>
      </c>
      <c r="E81" s="246">
        <v>1.39</v>
      </c>
      <c r="F81" s="246" t="s">
        <v>384</v>
      </c>
      <c r="G81" s="247">
        <v>0.14399999999999999</v>
      </c>
      <c r="H81" s="247">
        <v>-6.9999999999999999E-4</v>
      </c>
      <c r="I81" s="247">
        <v>1.6299999999999999E-2</v>
      </c>
      <c r="J81" s="248">
        <v>-2.5499999999999998</v>
      </c>
    </row>
    <row r="82" spans="1:10">
      <c r="A82" s="234" t="s">
        <v>1390</v>
      </c>
      <c r="B82" s="234"/>
      <c r="C82" s="246">
        <v>19.239999999999998</v>
      </c>
      <c r="D82" s="246" t="s">
        <v>384</v>
      </c>
      <c r="E82" s="246">
        <v>1.45</v>
      </c>
      <c r="F82" s="247">
        <v>0</v>
      </c>
      <c r="G82" s="247">
        <v>0.92359999999999998</v>
      </c>
      <c r="H82" s="247">
        <v>4.1000000000000003E-3</v>
      </c>
      <c r="I82" s="247">
        <v>0</v>
      </c>
      <c r="J82" s="248">
        <v>0</v>
      </c>
    </row>
    <row r="83" spans="1:10">
      <c r="A83" s="234" t="s">
        <v>1401</v>
      </c>
      <c r="B83" s="234"/>
      <c r="C83" s="246">
        <v>19.690000000000001</v>
      </c>
      <c r="D83" s="246" t="s">
        <v>384</v>
      </c>
      <c r="E83" s="246">
        <v>1.28</v>
      </c>
      <c r="F83" s="247">
        <v>0.3291</v>
      </c>
      <c r="G83" s="247">
        <v>0.46100000000000002</v>
      </c>
      <c r="H83" s="247">
        <v>7.2300000000000003E-2</v>
      </c>
      <c r="I83" s="247">
        <v>3.8300000000000001E-2</v>
      </c>
      <c r="J83" s="248">
        <v>-0.68</v>
      </c>
    </row>
    <row r="84" spans="1:10">
      <c r="A84" s="234" t="s">
        <v>1414</v>
      </c>
      <c r="B84" s="234"/>
      <c r="C84" s="246">
        <v>20.100000000000001</v>
      </c>
      <c r="D84" s="246" t="s">
        <v>384</v>
      </c>
      <c r="E84" s="246">
        <v>1.1100000000000001</v>
      </c>
      <c r="F84" s="247">
        <v>1.0129999999999999</v>
      </c>
      <c r="G84" s="247">
        <v>6.2700000000000006E-2</v>
      </c>
      <c r="H84" s="247">
        <v>5.8999999999999997E-2</v>
      </c>
      <c r="I84" s="247">
        <v>2.76E-2</v>
      </c>
      <c r="J84" s="248">
        <v>-15.6</v>
      </c>
    </row>
    <row r="85" spans="1:10">
      <c r="A85" s="234" t="s">
        <v>1420</v>
      </c>
      <c r="B85" s="234"/>
      <c r="C85" s="246">
        <v>21.57</v>
      </c>
      <c r="D85" s="247">
        <v>0.125</v>
      </c>
      <c r="E85" s="246">
        <v>0.99</v>
      </c>
      <c r="F85" s="247">
        <v>0.22270000000000001</v>
      </c>
      <c r="G85" s="247">
        <v>8.3400000000000002E-2</v>
      </c>
      <c r="H85" s="247">
        <v>0.1764</v>
      </c>
      <c r="I85" s="247">
        <v>4.5999999999999999E-3</v>
      </c>
      <c r="J85" s="248">
        <v>-6.68</v>
      </c>
    </row>
    <row r="86" spans="1:10">
      <c r="A86" s="234" t="s">
        <v>1427</v>
      </c>
      <c r="B86" s="234"/>
      <c r="C86" s="246">
        <v>23.24</v>
      </c>
      <c r="D86" s="246" t="s">
        <v>384</v>
      </c>
      <c r="E86" s="246">
        <v>0.65</v>
      </c>
      <c r="F86" s="247">
        <v>0</v>
      </c>
      <c r="G86" s="247">
        <v>0.10150000000000001</v>
      </c>
      <c r="H86" s="247">
        <v>9.64E-2</v>
      </c>
      <c r="I86" s="247">
        <v>0</v>
      </c>
      <c r="J86" s="248">
        <v>0</v>
      </c>
    </row>
    <row r="87" spans="1:10">
      <c r="A87" s="234" t="s">
        <v>1437</v>
      </c>
      <c r="B87" s="234"/>
      <c r="C87" s="246">
        <v>25.48</v>
      </c>
      <c r="D87" s="246" t="s">
        <v>384</v>
      </c>
      <c r="E87" s="246">
        <v>0.43</v>
      </c>
      <c r="F87" s="246" t="s">
        <v>384</v>
      </c>
      <c r="G87" s="247">
        <v>0.61450000000000005</v>
      </c>
      <c r="H87" s="247">
        <v>-6.0100000000000001E-2</v>
      </c>
      <c r="I87" s="247">
        <v>0</v>
      </c>
      <c r="J87" s="248">
        <v>0</v>
      </c>
    </row>
    <row r="88" spans="1:10">
      <c r="A88" s="234" t="s">
        <v>1446</v>
      </c>
      <c r="B88" s="234"/>
      <c r="C88" s="246">
        <v>27.54</v>
      </c>
      <c r="D88" s="246" t="s">
        <v>384</v>
      </c>
      <c r="E88" s="246">
        <v>-0.59</v>
      </c>
      <c r="F88" s="246" t="s">
        <v>384</v>
      </c>
      <c r="G88" s="247">
        <v>0.31890000000000002</v>
      </c>
      <c r="H88" s="247">
        <v>-3.8100000000000002E-2</v>
      </c>
      <c r="I88" s="247">
        <v>0</v>
      </c>
      <c r="J88" s="248">
        <v>0</v>
      </c>
    </row>
    <row r="89" spans="1:10">
      <c r="A89" s="234" t="s">
        <v>1458</v>
      </c>
      <c r="B89" s="234"/>
      <c r="C89" s="246">
        <v>34.17</v>
      </c>
      <c r="D89" s="246" t="s">
        <v>384</v>
      </c>
      <c r="E89" s="246">
        <v>0.4</v>
      </c>
      <c r="F89" s="246" t="s">
        <v>384</v>
      </c>
      <c r="G89" s="247">
        <v>3.2526000000000002</v>
      </c>
      <c r="H89" s="247">
        <v>-0.01</v>
      </c>
      <c r="I89" s="247">
        <v>0</v>
      </c>
      <c r="J89" s="248">
        <v>0</v>
      </c>
    </row>
    <row r="90" spans="1:10">
      <c r="A90" s="234" t="s">
        <v>1466</v>
      </c>
      <c r="B90" s="234"/>
      <c r="C90" s="246">
        <v>35.08</v>
      </c>
      <c r="D90" s="246" t="s">
        <v>384</v>
      </c>
      <c r="E90" s="246">
        <v>0.57999999999999996</v>
      </c>
      <c r="F90" s="247">
        <v>2.7275999999999998</v>
      </c>
      <c r="G90" s="247">
        <v>3.3999999999999998E-3</v>
      </c>
      <c r="H90" s="247">
        <v>4.2700000000000002E-2</v>
      </c>
      <c r="I90" s="247">
        <v>6.3899999999999998E-2</v>
      </c>
      <c r="J90" s="248">
        <v>-8.2100000000000009</v>
      </c>
    </row>
    <row r="91" spans="1:10">
      <c r="A91" s="234" t="s">
        <v>1476</v>
      </c>
      <c r="B91" s="234"/>
      <c r="C91" s="246">
        <v>35.340000000000003</v>
      </c>
      <c r="D91" s="246" t="s">
        <v>384</v>
      </c>
      <c r="E91" s="246">
        <v>-1.45</v>
      </c>
      <c r="F91" s="247">
        <v>0</v>
      </c>
      <c r="G91" s="247">
        <v>0</v>
      </c>
      <c r="H91" s="247">
        <v>0.1191</v>
      </c>
      <c r="I91" s="247">
        <v>0</v>
      </c>
      <c r="J91" s="248">
        <v>0</v>
      </c>
    </row>
    <row r="92" spans="1:10">
      <c r="A92" s="234" t="s">
        <v>1484</v>
      </c>
      <c r="B92" s="234"/>
      <c r="C92" s="246">
        <v>44.18</v>
      </c>
      <c r="D92" s="246" t="s">
        <v>384</v>
      </c>
      <c r="E92" s="246">
        <v>0.4</v>
      </c>
      <c r="F92" s="247">
        <v>0</v>
      </c>
      <c r="G92" s="247">
        <v>0.2833</v>
      </c>
      <c r="H92" s="247">
        <v>3.5900000000000001E-2</v>
      </c>
      <c r="I92" s="247">
        <v>0</v>
      </c>
      <c r="J92" s="248">
        <v>0</v>
      </c>
    </row>
    <row r="93" spans="1:10">
      <c r="A93" s="234" t="s">
        <v>1490</v>
      </c>
      <c r="B93" s="234"/>
      <c r="C93" s="246">
        <v>46.28</v>
      </c>
      <c r="D93" s="246" t="s">
        <v>384</v>
      </c>
      <c r="E93" s="246">
        <v>1.93</v>
      </c>
      <c r="F93" s="246" t="s">
        <v>384</v>
      </c>
      <c r="G93" s="247">
        <v>0.76419999999999999</v>
      </c>
      <c r="H93" s="247">
        <v>-2.3E-2</v>
      </c>
      <c r="I93" s="247">
        <v>0</v>
      </c>
      <c r="J93" s="248">
        <v>0</v>
      </c>
    </row>
    <row r="94" spans="1:10">
      <c r="A94" s="234" t="s">
        <v>1498</v>
      </c>
      <c r="B94" s="234"/>
      <c r="C94" s="246">
        <v>46.46</v>
      </c>
      <c r="D94" s="246" t="s">
        <v>384</v>
      </c>
      <c r="E94" s="246">
        <v>-0.13</v>
      </c>
      <c r="F94" s="247">
        <v>0</v>
      </c>
      <c r="G94" s="247">
        <v>2.4400000000000002E-2</v>
      </c>
      <c r="H94" s="247">
        <v>4.0899999999999999E-2</v>
      </c>
      <c r="I94" s="247">
        <v>0</v>
      </c>
      <c r="J94" s="248">
        <v>0</v>
      </c>
    </row>
    <row r="95" spans="1:10">
      <c r="A95" s="234" t="s">
        <v>1505</v>
      </c>
      <c r="B95" s="234"/>
      <c r="C95" s="246">
        <v>47.7</v>
      </c>
      <c r="D95" s="246" t="s">
        <v>384</v>
      </c>
      <c r="E95" s="246">
        <v>1.8</v>
      </c>
      <c r="F95" s="247">
        <v>0</v>
      </c>
      <c r="G95" s="247">
        <v>1.2999999999999999E-3</v>
      </c>
      <c r="H95" s="247">
        <v>7.2300000000000003E-2</v>
      </c>
      <c r="I95" s="247">
        <v>0</v>
      </c>
      <c r="J95" s="248">
        <v>0</v>
      </c>
    </row>
    <row r="96" spans="1:10">
      <c r="A96" s="234" t="s">
        <v>1511</v>
      </c>
      <c r="B96" s="234"/>
      <c r="C96" s="246">
        <v>50.72</v>
      </c>
      <c r="D96" s="246" t="s">
        <v>384</v>
      </c>
      <c r="E96" s="246">
        <v>1.59</v>
      </c>
      <c r="F96" s="246" t="s">
        <v>384</v>
      </c>
      <c r="G96" s="247">
        <v>4.3242000000000003</v>
      </c>
      <c r="H96" s="247">
        <v>-0.1472</v>
      </c>
      <c r="I96" s="247">
        <v>0</v>
      </c>
      <c r="J96" s="248">
        <v>0</v>
      </c>
    </row>
    <row r="97" spans="1:10">
      <c r="A97" s="234" t="s">
        <v>1518</v>
      </c>
      <c r="B97" s="234"/>
      <c r="C97" s="246">
        <v>78.28</v>
      </c>
      <c r="D97" s="246" t="s">
        <v>384</v>
      </c>
      <c r="E97" s="246">
        <v>0.77</v>
      </c>
      <c r="F97" s="247">
        <v>0.54549999999999998</v>
      </c>
      <c r="G97" s="247">
        <v>0.13370000000000001</v>
      </c>
      <c r="H97" s="247">
        <v>0.10340000000000001</v>
      </c>
      <c r="I97" s="247">
        <v>3.2800000000000003E-2</v>
      </c>
      <c r="J97" s="248">
        <v>-108.5</v>
      </c>
    </row>
    <row r="98" spans="1:10">
      <c r="A98" s="234" t="s">
        <v>1526</v>
      </c>
      <c r="B98" s="234"/>
      <c r="C98" s="246">
        <v>100.79</v>
      </c>
      <c r="D98" s="246" t="s">
        <v>384</v>
      </c>
      <c r="E98" s="246">
        <v>2.85</v>
      </c>
      <c r="F98" s="247">
        <v>0</v>
      </c>
      <c r="G98" s="247">
        <v>0.1048</v>
      </c>
      <c r="H98" s="247">
        <v>1.9199999999999998E-2</v>
      </c>
      <c r="I98" s="247">
        <v>0</v>
      </c>
      <c r="J98" s="248">
        <v>0</v>
      </c>
    </row>
    <row r="99" spans="1:10">
      <c r="A99" s="234" t="s">
        <v>1534</v>
      </c>
      <c r="B99" s="234"/>
      <c r="C99" s="246">
        <v>111.07</v>
      </c>
      <c r="D99" s="246" t="s">
        <v>384</v>
      </c>
      <c r="E99" s="246">
        <v>0.87</v>
      </c>
      <c r="F99" s="247">
        <v>0.68130000000000002</v>
      </c>
      <c r="G99" s="247">
        <v>0.24629999999999999</v>
      </c>
      <c r="H99" s="247">
        <v>3.9899999999999998E-2</v>
      </c>
      <c r="I99" s="247">
        <v>4.7000000000000002E-3</v>
      </c>
      <c r="J99" s="248">
        <v>-12.4</v>
      </c>
    </row>
    <row r="100" spans="1:10">
      <c r="A100" s="234" t="s">
        <v>1538</v>
      </c>
      <c r="B100" s="234"/>
      <c r="C100" s="246">
        <v>133.09</v>
      </c>
      <c r="D100" s="246" t="s">
        <v>384</v>
      </c>
      <c r="E100" s="246">
        <v>0.24</v>
      </c>
      <c r="F100" s="246" t="s">
        <v>384</v>
      </c>
      <c r="G100" s="247">
        <v>3.5700000000000003E-2</v>
      </c>
      <c r="H100" s="247">
        <v>-0.1273</v>
      </c>
      <c r="I100" s="247">
        <v>0</v>
      </c>
      <c r="J100" s="248">
        <v>0</v>
      </c>
    </row>
    <row r="101" spans="1:10">
      <c r="A101" s="234" t="s">
        <v>1548</v>
      </c>
      <c r="B101" s="234"/>
      <c r="C101" s="246">
        <v>263.81</v>
      </c>
      <c r="D101" s="246" t="s">
        <v>384</v>
      </c>
      <c r="E101" s="246">
        <v>-0.12</v>
      </c>
      <c r="F101" s="247">
        <v>0</v>
      </c>
      <c r="G101" s="247">
        <v>0</v>
      </c>
      <c r="H101" s="246" t="s">
        <v>384</v>
      </c>
      <c r="I101" s="247">
        <v>0</v>
      </c>
      <c r="J101" s="248">
        <v>0</v>
      </c>
    </row>
    <row r="102" spans="1:10">
      <c r="A102" s="234" t="s">
        <v>1558</v>
      </c>
      <c r="B102" s="234"/>
      <c r="C102" s="246">
        <v>688.12</v>
      </c>
      <c r="D102" s="246" t="s">
        <v>384</v>
      </c>
      <c r="E102" s="246">
        <v>2.36</v>
      </c>
      <c r="F102" s="246" t="s">
        <v>384</v>
      </c>
      <c r="G102" s="247">
        <v>0.72509999999999997</v>
      </c>
      <c r="H102" s="247">
        <v>-0.25480000000000003</v>
      </c>
      <c r="I102" s="247">
        <v>2.9600000000000001E-2</v>
      </c>
      <c r="J102" s="248">
        <v>-20.399999999999999</v>
      </c>
    </row>
    <row r="103" spans="1:10">
      <c r="A103" s="234" t="s">
        <v>1566</v>
      </c>
      <c r="B103" s="234"/>
      <c r="C103" s="246">
        <v>4576.92</v>
      </c>
      <c r="D103" s="246" t="s">
        <v>384</v>
      </c>
      <c r="E103" s="246">
        <v>0.9</v>
      </c>
      <c r="F103" s="246" t="s">
        <v>384</v>
      </c>
      <c r="G103" s="247">
        <v>0.16919999999999999</v>
      </c>
      <c r="H103" s="247">
        <v>-0.1052</v>
      </c>
      <c r="I103" s="247">
        <v>2.9999999999999997E-4</v>
      </c>
      <c r="J103" s="248">
        <v>-0.2</v>
      </c>
    </row>
    <row r="104" spans="1:10">
      <c r="A104" s="234" t="s">
        <v>1574</v>
      </c>
      <c r="B104" s="234"/>
      <c r="C104" s="246">
        <v>8710</v>
      </c>
      <c r="D104" s="246" t="s">
        <v>384</v>
      </c>
      <c r="E104" s="246">
        <v>0.98</v>
      </c>
      <c r="F104" s="247">
        <v>1.4916</v>
      </c>
      <c r="G104" s="247">
        <v>2.8803000000000001</v>
      </c>
      <c r="H104" s="247">
        <v>8.6999999999999994E-2</v>
      </c>
      <c r="I104" s="247">
        <v>0.34439999999999998</v>
      </c>
      <c r="J104" s="248">
        <v>-8.92</v>
      </c>
    </row>
    <row r="105" spans="1:10">
      <c r="A105" s="234"/>
      <c r="B105" s="234"/>
      <c r="C105" s="246"/>
      <c r="D105" s="246"/>
      <c r="E105" s="246"/>
      <c r="F105" s="246"/>
      <c r="G105" s="247"/>
      <c r="H105" s="246"/>
      <c r="I105" s="247"/>
      <c r="J105" s="248"/>
    </row>
    <row r="106" spans="1:10">
      <c r="A106" s="234"/>
      <c r="B106" s="234"/>
      <c r="C106" s="246"/>
      <c r="D106" s="246"/>
      <c r="E106" s="246"/>
      <c r="F106" s="246"/>
      <c r="G106" s="247"/>
      <c r="H106" s="247"/>
      <c r="I106" s="247"/>
      <c r="J106" s="248"/>
    </row>
    <row r="107" spans="1:10">
      <c r="A107" s="234"/>
      <c r="B107" s="234"/>
      <c r="C107" s="246"/>
      <c r="D107" s="246"/>
      <c r="E107" s="246"/>
      <c r="F107" s="247"/>
      <c r="G107" s="247"/>
      <c r="H107" s="247"/>
      <c r="I107" s="247"/>
      <c r="J107" s="248"/>
    </row>
    <row r="108" spans="1:10">
      <c r="A108" s="234"/>
      <c r="B108" s="234"/>
      <c r="C108" s="246"/>
      <c r="D108" s="246"/>
      <c r="E108" s="246"/>
      <c r="F108" s="247"/>
      <c r="G108" s="247"/>
      <c r="H108" s="247"/>
      <c r="I108" s="247"/>
      <c r="J108" s="248"/>
    </row>
    <row r="109" spans="1:10">
      <c r="A109" s="234"/>
      <c r="B109" s="234"/>
      <c r="C109" s="246"/>
      <c r="D109" s="246"/>
      <c r="E109" s="246"/>
      <c r="F109" s="246"/>
      <c r="G109" s="247"/>
      <c r="H109" s="247"/>
      <c r="I109" s="247"/>
      <c r="J109" s="248"/>
    </row>
    <row r="110" spans="1:10">
      <c r="A110" s="234"/>
      <c r="B110" s="234"/>
      <c r="C110" s="246"/>
      <c r="D110" s="246"/>
      <c r="E110" s="246"/>
      <c r="F110" s="246"/>
      <c r="G110" s="247"/>
      <c r="H110" s="247"/>
      <c r="I110" s="247"/>
      <c r="J110" s="248"/>
    </row>
    <row r="111" spans="1:10">
      <c r="A111" s="234"/>
      <c r="B111" s="234"/>
      <c r="C111" s="246"/>
      <c r="D111" s="246"/>
      <c r="E111" s="246"/>
      <c r="F111" s="246"/>
      <c r="G111" s="247"/>
      <c r="H111" s="247"/>
      <c r="I111" s="247"/>
      <c r="J111" s="248"/>
    </row>
    <row r="112" spans="1:10">
      <c r="A112" s="234"/>
      <c r="B112" s="234"/>
      <c r="C112" s="246"/>
      <c r="D112" s="246"/>
      <c r="E112" s="246"/>
      <c r="F112" s="246"/>
      <c r="G112" s="247"/>
      <c r="H112" s="247"/>
      <c r="I112" s="247"/>
      <c r="J112" s="248"/>
    </row>
    <row r="113" spans="1:10">
      <c r="A113" s="234"/>
      <c r="B113" s="234"/>
      <c r="C113" s="246"/>
      <c r="D113" s="246"/>
      <c r="E113" s="246"/>
      <c r="F113" s="246"/>
      <c r="G113" s="247"/>
      <c r="H113" s="247"/>
      <c r="I113" s="247"/>
      <c r="J113" s="248"/>
    </row>
    <row r="114" spans="1:10">
      <c r="A114" s="234"/>
      <c r="B114" s="234"/>
      <c r="C114" s="246"/>
      <c r="D114" s="246"/>
      <c r="E114" s="246"/>
      <c r="F114" s="246"/>
      <c r="G114" s="247"/>
      <c r="H114" s="246"/>
      <c r="I114" s="247"/>
      <c r="J114" s="248"/>
    </row>
    <row r="115" spans="1:10">
      <c r="A115" s="234"/>
      <c r="B115" s="234"/>
      <c r="C115" s="246"/>
      <c r="D115" s="246"/>
      <c r="E115" s="246"/>
      <c r="F115" s="247"/>
      <c r="G115" s="247"/>
      <c r="H115" s="247"/>
      <c r="I115" s="247"/>
      <c r="J115" s="248"/>
    </row>
    <row r="116" spans="1:10">
      <c r="A116" s="234"/>
      <c r="B116" s="234"/>
      <c r="C116" s="246"/>
      <c r="D116" s="246"/>
      <c r="E116" s="246"/>
      <c r="F116" s="246"/>
      <c r="G116" s="247"/>
      <c r="H116" s="247"/>
      <c r="I116" s="247"/>
      <c r="J116" s="248"/>
    </row>
    <row r="117" spans="1:10">
      <c r="A117" s="234"/>
      <c r="B117" s="234"/>
      <c r="C117" s="246"/>
      <c r="D117" s="246"/>
      <c r="E117" s="246"/>
      <c r="F117" s="246"/>
      <c r="G117" s="247"/>
      <c r="H117" s="247"/>
      <c r="I117" s="247"/>
      <c r="J117" s="248"/>
    </row>
    <row r="118" spans="1:10">
      <c r="A118" s="234"/>
      <c r="B118" s="234"/>
      <c r="C118" s="246"/>
      <c r="D118" s="246"/>
      <c r="E118" s="246"/>
      <c r="F118" s="247"/>
      <c r="G118" s="247"/>
      <c r="H118" s="246"/>
      <c r="I118" s="247"/>
      <c r="J118" s="248"/>
    </row>
    <row r="119" spans="1:10">
      <c r="A119" s="234"/>
      <c r="B119" s="234"/>
      <c r="C119" s="246"/>
      <c r="D119" s="246"/>
      <c r="E119" s="246"/>
      <c r="F119" s="246"/>
      <c r="G119" s="247"/>
      <c r="H119" s="246"/>
      <c r="I119" s="247"/>
      <c r="J119" s="248"/>
    </row>
    <row r="120" spans="1:10">
      <c r="A120" s="234"/>
      <c r="B120" s="234"/>
      <c r="C120" s="246"/>
      <c r="D120" s="246"/>
      <c r="E120" s="246"/>
      <c r="F120" s="246"/>
      <c r="G120" s="247"/>
      <c r="H120" s="246"/>
      <c r="I120" s="247"/>
      <c r="J120" s="248"/>
    </row>
    <row r="121" spans="1:10">
      <c r="A121" s="234"/>
      <c r="B121" s="234"/>
      <c r="C121" s="246"/>
      <c r="D121" s="246"/>
      <c r="E121" s="246"/>
      <c r="F121" s="246"/>
      <c r="G121" s="246"/>
      <c r="H121" s="247"/>
      <c r="I121" s="246"/>
      <c r="J121" s="248"/>
    </row>
    <row r="122" spans="1:10">
      <c r="A122" s="234"/>
      <c r="B122" s="234"/>
      <c r="C122" s="246"/>
      <c r="D122" s="246"/>
      <c r="E122" s="246"/>
      <c r="F122" s="247"/>
      <c r="G122" s="246"/>
      <c r="H122" s="247"/>
      <c r="I122" s="246"/>
      <c r="J122" s="248"/>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0440F-EA74-5C46-9432-8B06AF6A06BE}">
  <dimension ref="A1:AS33"/>
  <sheetViews>
    <sheetView zoomScale="75" workbookViewId="0">
      <selection activeCell="AT6" sqref="AT6"/>
    </sheetView>
  </sheetViews>
  <sheetFormatPr baseColWidth="10" defaultColWidth="11" defaultRowHeight="16"/>
  <cols>
    <col min="1" max="1" width="44.6640625" bestFit="1" customWidth="1"/>
    <col min="34" max="34" width="15" bestFit="1" customWidth="1"/>
  </cols>
  <sheetData>
    <row r="1" spans="1:45">
      <c r="A1" t="s">
        <v>2011</v>
      </c>
    </row>
    <row r="2" spans="1:45">
      <c r="A2" t="s">
        <v>2010</v>
      </c>
    </row>
    <row r="3" spans="1:45">
      <c r="A3" t="s">
        <v>2009</v>
      </c>
      <c r="B3" s="332">
        <v>46022</v>
      </c>
      <c r="C3" s="332">
        <v>45657</v>
      </c>
      <c r="D3" s="332">
        <v>45291</v>
      </c>
      <c r="E3" s="332">
        <v>44926</v>
      </c>
      <c r="F3" s="332">
        <v>44561</v>
      </c>
      <c r="G3" s="332">
        <v>44196</v>
      </c>
      <c r="H3" s="332">
        <v>43830</v>
      </c>
      <c r="I3" s="332">
        <v>43465</v>
      </c>
      <c r="J3" s="332">
        <v>43100</v>
      </c>
      <c r="K3" s="332">
        <v>42735</v>
      </c>
      <c r="L3" s="332">
        <v>42369</v>
      </c>
      <c r="M3" s="332">
        <v>42004</v>
      </c>
      <c r="N3" s="332">
        <v>41639</v>
      </c>
      <c r="O3" s="332">
        <v>41274</v>
      </c>
      <c r="P3" s="332">
        <v>40908</v>
      </c>
      <c r="Q3" s="332">
        <v>40543</v>
      </c>
      <c r="R3" s="332">
        <v>40178</v>
      </c>
      <c r="S3" s="332">
        <v>39813</v>
      </c>
      <c r="T3" s="332">
        <v>39447</v>
      </c>
      <c r="U3" s="332">
        <v>39082</v>
      </c>
      <c r="V3" s="332">
        <v>38717</v>
      </c>
      <c r="W3" s="332">
        <v>38352</v>
      </c>
      <c r="X3" s="332">
        <v>37986</v>
      </c>
      <c r="Y3" s="332">
        <v>37621</v>
      </c>
      <c r="Z3" s="332">
        <v>37256</v>
      </c>
      <c r="AA3" s="332">
        <v>36891</v>
      </c>
      <c r="AB3" s="332">
        <v>36525</v>
      </c>
      <c r="AC3" s="332">
        <v>36160</v>
      </c>
      <c r="AD3" s="332">
        <v>36160</v>
      </c>
      <c r="AE3" s="332">
        <v>36160</v>
      </c>
    </row>
    <row r="4" spans="1:45">
      <c r="A4" t="s">
        <v>2008</v>
      </c>
      <c r="B4" t="s">
        <v>2007</v>
      </c>
      <c r="C4" t="s">
        <v>2007</v>
      </c>
      <c r="D4" t="s">
        <v>2007</v>
      </c>
      <c r="E4" t="s">
        <v>2007</v>
      </c>
      <c r="F4" t="s">
        <v>2007</v>
      </c>
      <c r="G4" t="s">
        <v>2007</v>
      </c>
      <c r="H4" t="s">
        <v>2007</v>
      </c>
      <c r="I4" t="s">
        <v>2007</v>
      </c>
      <c r="J4" t="s">
        <v>2007</v>
      </c>
      <c r="K4" t="s">
        <v>2007</v>
      </c>
      <c r="L4" t="s">
        <v>2007</v>
      </c>
      <c r="M4" t="s">
        <v>2007</v>
      </c>
      <c r="N4" t="s">
        <v>2007</v>
      </c>
      <c r="O4" t="s">
        <v>2007</v>
      </c>
      <c r="P4" t="s">
        <v>2007</v>
      </c>
      <c r="Q4" t="s">
        <v>2007</v>
      </c>
      <c r="R4" t="s">
        <v>2007</v>
      </c>
      <c r="S4" t="s">
        <v>2007</v>
      </c>
      <c r="T4" t="s">
        <v>2007</v>
      </c>
      <c r="U4" t="s">
        <v>2007</v>
      </c>
      <c r="V4" t="s">
        <v>2007</v>
      </c>
      <c r="W4" t="s">
        <v>2007</v>
      </c>
      <c r="X4" t="s">
        <v>2007</v>
      </c>
      <c r="Y4" t="s">
        <v>2007</v>
      </c>
      <c r="Z4" t="s">
        <v>2007</v>
      </c>
      <c r="AA4" t="s">
        <v>2007</v>
      </c>
      <c r="AB4" t="s">
        <v>2007</v>
      </c>
      <c r="AC4" t="s">
        <v>2007</v>
      </c>
      <c r="AD4" t="s">
        <v>2007</v>
      </c>
      <c r="AE4" t="s">
        <v>2007</v>
      </c>
      <c r="AG4" s="410" t="s">
        <v>2073</v>
      </c>
      <c r="AH4" s="410" t="s">
        <v>2072</v>
      </c>
      <c r="AJ4" s="410" t="s">
        <v>2073</v>
      </c>
      <c r="AK4" s="410" t="s">
        <v>2074</v>
      </c>
      <c r="AM4" s="410" t="s">
        <v>2073</v>
      </c>
      <c r="AN4" s="410" t="s">
        <v>2075</v>
      </c>
      <c r="AQ4" t="s">
        <v>2073</v>
      </c>
      <c r="AR4" t="s">
        <v>2083</v>
      </c>
      <c r="AS4" t="s">
        <v>2084</v>
      </c>
    </row>
    <row r="5" spans="1:45">
      <c r="A5" t="s">
        <v>2006</v>
      </c>
      <c r="B5" t="s">
        <v>2005</v>
      </c>
      <c r="C5" t="s">
        <v>2005</v>
      </c>
      <c r="D5" t="s">
        <v>2005</v>
      </c>
      <c r="E5" t="s">
        <v>2005</v>
      </c>
      <c r="F5" t="s">
        <v>2005</v>
      </c>
      <c r="G5" t="s">
        <v>2005</v>
      </c>
      <c r="H5" t="s">
        <v>2005</v>
      </c>
      <c r="I5" t="s">
        <v>2005</v>
      </c>
      <c r="J5" t="s">
        <v>2005</v>
      </c>
      <c r="K5" t="s">
        <v>2005</v>
      </c>
      <c r="L5" t="s">
        <v>2005</v>
      </c>
      <c r="M5" t="s">
        <v>2005</v>
      </c>
      <c r="N5" t="s">
        <v>2005</v>
      </c>
      <c r="O5" t="s">
        <v>2005</v>
      </c>
      <c r="P5" t="s">
        <v>2005</v>
      </c>
      <c r="Q5" t="s">
        <v>2005</v>
      </c>
      <c r="R5" t="s">
        <v>2005</v>
      </c>
      <c r="S5" t="s">
        <v>2005</v>
      </c>
      <c r="T5" t="s">
        <v>2005</v>
      </c>
      <c r="U5" t="s">
        <v>2005</v>
      </c>
      <c r="V5" t="s">
        <v>2005</v>
      </c>
      <c r="W5" t="s">
        <v>2005</v>
      </c>
      <c r="X5" t="s">
        <v>2005</v>
      </c>
      <c r="Y5" t="s">
        <v>2005</v>
      </c>
      <c r="Z5" t="s">
        <v>2005</v>
      </c>
      <c r="AA5" t="s">
        <v>2005</v>
      </c>
      <c r="AB5" t="s">
        <v>2005</v>
      </c>
      <c r="AC5" t="s">
        <v>2005</v>
      </c>
      <c r="AD5" t="s">
        <v>2005</v>
      </c>
      <c r="AE5" t="s">
        <v>2005</v>
      </c>
      <c r="AG5" s="410">
        <v>2001</v>
      </c>
      <c r="AH5" s="411">
        <f>($Z$6/$AA$6)-1</f>
        <v>2.9391018104867106E-2</v>
      </c>
      <c r="AJ5" s="410">
        <v>2001</v>
      </c>
      <c r="AK5" s="411">
        <f>(Z16/AA16)-1</f>
        <v>-0.12189716312056742</v>
      </c>
      <c r="AM5" s="410">
        <v>2001</v>
      </c>
      <c r="AN5" s="411">
        <f>(Z28/AA28)-1</f>
        <v>-0.15199999999999991</v>
      </c>
      <c r="AQ5">
        <v>2000</v>
      </c>
      <c r="AR5">
        <f>AA6</f>
        <v>29771</v>
      </c>
      <c r="AS5">
        <f>LN(AR5)</f>
        <v>10.301290044308947</v>
      </c>
    </row>
    <row r="6" spans="1:45">
      <c r="A6" t="s">
        <v>2004</v>
      </c>
      <c r="B6">
        <v>88661</v>
      </c>
      <c r="C6">
        <v>91070</v>
      </c>
      <c r="D6">
        <v>90958</v>
      </c>
      <c r="E6">
        <v>100338</v>
      </c>
      <c r="F6">
        <v>97287</v>
      </c>
      <c r="G6">
        <v>84628</v>
      </c>
      <c r="H6">
        <v>74094</v>
      </c>
      <c r="I6">
        <v>71861</v>
      </c>
      <c r="J6">
        <v>65872</v>
      </c>
      <c r="K6">
        <v>60906</v>
      </c>
      <c r="L6">
        <v>58363</v>
      </c>
      <c r="M6">
        <v>58232</v>
      </c>
      <c r="N6">
        <v>55438</v>
      </c>
      <c r="O6">
        <v>54127</v>
      </c>
      <c r="P6">
        <v>53105</v>
      </c>
      <c r="Q6">
        <v>49545</v>
      </c>
      <c r="R6">
        <v>45297</v>
      </c>
      <c r="S6">
        <v>51486</v>
      </c>
      <c r="T6">
        <v>49692</v>
      </c>
      <c r="U6">
        <v>47547</v>
      </c>
      <c r="V6">
        <v>42581</v>
      </c>
      <c r="W6">
        <v>36582</v>
      </c>
      <c r="X6">
        <v>33485</v>
      </c>
      <c r="Y6">
        <v>31272</v>
      </c>
      <c r="Z6">
        <v>30646</v>
      </c>
      <c r="AA6">
        <v>29771</v>
      </c>
      <c r="AB6">
        <v>27052</v>
      </c>
      <c r="AC6">
        <v>24788</v>
      </c>
      <c r="AD6">
        <v>22458</v>
      </c>
      <c r="AE6">
        <v>22368</v>
      </c>
      <c r="AG6" s="410">
        <v>2002</v>
      </c>
      <c r="AH6" s="411">
        <f>($Y$6/$Z$6)-1</f>
        <v>2.0426809371532961E-2</v>
      </c>
      <c r="AJ6" s="410">
        <v>2002</v>
      </c>
      <c r="AK6" s="411">
        <f>(Y16/Z16)-1</f>
        <v>3.3821302372539108E-2</v>
      </c>
      <c r="AM6" s="410">
        <v>2002</v>
      </c>
      <c r="AN6" s="411">
        <f>(Y28/Z28)-1</f>
        <v>0.35377358490566047</v>
      </c>
      <c r="AQ6">
        <v>2001</v>
      </c>
      <c r="AR6">
        <f>Z6</f>
        <v>30646</v>
      </c>
      <c r="AS6">
        <f t="shared" ref="AS6:AS29" si="0">LN(AR6)</f>
        <v>10.330257427138122</v>
      </c>
    </row>
    <row r="7" spans="1:45">
      <c r="A7" t="s">
        <v>2003</v>
      </c>
      <c r="B7">
        <v>14904</v>
      </c>
      <c r="C7">
        <v>17955</v>
      </c>
      <c r="D7">
        <v>18426</v>
      </c>
      <c r="E7">
        <v>23671</v>
      </c>
      <c r="F7">
        <v>22905</v>
      </c>
      <c r="G7">
        <v>18213</v>
      </c>
      <c r="H7">
        <v>15879</v>
      </c>
      <c r="I7">
        <v>16836</v>
      </c>
      <c r="J7">
        <v>13679</v>
      </c>
      <c r="K7">
        <v>11247</v>
      </c>
      <c r="L7">
        <v>10523</v>
      </c>
      <c r="M7">
        <v>12328</v>
      </c>
      <c r="N7">
        <v>11513</v>
      </c>
      <c r="O7">
        <v>11444</v>
      </c>
      <c r="P7">
        <v>11278</v>
      </c>
      <c r="Q7">
        <v>9612</v>
      </c>
      <c r="R7">
        <v>7744</v>
      </c>
      <c r="S7">
        <v>10684</v>
      </c>
      <c r="T7">
        <v>8876</v>
      </c>
      <c r="U7">
        <v>8151</v>
      </c>
      <c r="V7">
        <v>6135</v>
      </c>
      <c r="W7">
        <v>3475</v>
      </c>
      <c r="X7">
        <v>2878</v>
      </c>
      <c r="Y7">
        <v>2508</v>
      </c>
      <c r="Z7">
        <v>2977</v>
      </c>
      <c r="AA7">
        <v>2906</v>
      </c>
      <c r="AB7">
        <v>2360</v>
      </c>
      <c r="AC7">
        <v>2123</v>
      </c>
      <c r="AD7">
        <v>2110</v>
      </c>
      <c r="AE7">
        <v>1991</v>
      </c>
      <c r="AG7" s="410">
        <v>2003</v>
      </c>
      <c r="AH7" s="411">
        <f>($X$6/$Y$6)-1</f>
        <v>7.0766180608851315E-2</v>
      </c>
      <c r="AJ7" s="410">
        <v>2003</v>
      </c>
      <c r="AK7" s="411">
        <f>(X16/Y16)-1</f>
        <v>9.2041015625E-2</v>
      </c>
      <c r="AM7" s="410">
        <v>2003</v>
      </c>
      <c r="AN7" s="411">
        <f>(X28/Y28)-1</f>
        <v>-0.11149825783972134</v>
      </c>
      <c r="AQ7">
        <v>2002</v>
      </c>
      <c r="AR7">
        <f>Y6</f>
        <v>31272</v>
      </c>
      <c r="AS7">
        <f t="shared" si="0"/>
        <v>10.35047840747279</v>
      </c>
    </row>
    <row r="8" spans="1:45">
      <c r="A8" t="s">
        <v>2002</v>
      </c>
      <c r="B8">
        <v>73757</v>
      </c>
      <c r="C8">
        <v>73115</v>
      </c>
      <c r="D8">
        <v>72532</v>
      </c>
      <c r="E8">
        <v>76667</v>
      </c>
      <c r="F8">
        <v>74382</v>
      </c>
      <c r="G8">
        <v>66415</v>
      </c>
      <c r="H8">
        <v>58215</v>
      </c>
      <c r="I8">
        <v>55025</v>
      </c>
      <c r="J8">
        <v>52193</v>
      </c>
      <c r="K8">
        <v>49659</v>
      </c>
      <c r="L8">
        <v>47840</v>
      </c>
      <c r="M8">
        <v>45904</v>
      </c>
      <c r="N8">
        <v>43925</v>
      </c>
      <c r="O8">
        <v>42683</v>
      </c>
      <c r="P8">
        <v>41827</v>
      </c>
      <c r="Q8">
        <v>39933</v>
      </c>
      <c r="R8">
        <v>37553</v>
      </c>
      <c r="S8">
        <v>40802</v>
      </c>
      <c r="T8">
        <v>40816</v>
      </c>
      <c r="U8">
        <v>39396</v>
      </c>
      <c r="V8">
        <v>36446</v>
      </c>
      <c r="W8">
        <v>33107</v>
      </c>
      <c r="X8">
        <v>30607</v>
      </c>
      <c r="Y8">
        <v>28764</v>
      </c>
      <c r="Z8">
        <v>27669</v>
      </c>
      <c r="AA8">
        <v>26865</v>
      </c>
      <c r="AB8">
        <v>24692</v>
      </c>
      <c r="AC8">
        <v>22665</v>
      </c>
      <c r="AD8">
        <v>20348</v>
      </c>
      <c r="AE8">
        <v>20377</v>
      </c>
      <c r="AG8" s="410">
        <v>2004</v>
      </c>
      <c r="AH8" s="411">
        <f>($W$6/$X$6)-1</f>
        <v>9.2489174257130102E-2</v>
      </c>
      <c r="AJ8" s="410">
        <v>2004</v>
      </c>
      <c r="AK8" s="411">
        <f>(W16/X16)-1</f>
        <v>0.11535881958417171</v>
      </c>
      <c r="AM8" s="410">
        <v>2004</v>
      </c>
      <c r="AN8" s="411">
        <f>(W28/X28)-1</f>
        <v>0.14901960784313739</v>
      </c>
      <c r="AQ8">
        <v>2003</v>
      </c>
      <c r="AR8">
        <f>X6</f>
        <v>33485</v>
      </c>
      <c r="AS8">
        <f t="shared" si="0"/>
        <v>10.41885285634415</v>
      </c>
    </row>
    <row r="9" spans="1:45">
      <c r="A9" t="s">
        <v>2001</v>
      </c>
      <c r="B9">
        <v>53981</v>
      </c>
      <c r="C9">
        <v>53150</v>
      </c>
      <c r="D9">
        <v>51935</v>
      </c>
      <c r="E9">
        <v>52114</v>
      </c>
      <c r="F9">
        <v>50848</v>
      </c>
      <c r="G9">
        <v>48433</v>
      </c>
      <c r="H9">
        <v>42138</v>
      </c>
      <c r="I9">
        <v>40329</v>
      </c>
      <c r="J9">
        <v>37343</v>
      </c>
      <c r="K9">
        <v>37345</v>
      </c>
      <c r="L9">
        <v>33450</v>
      </c>
      <c r="M9">
        <v>34460</v>
      </c>
      <c r="N9">
        <v>30747</v>
      </c>
      <c r="O9">
        <v>35232</v>
      </c>
      <c r="P9">
        <v>29804</v>
      </c>
      <c r="Q9">
        <v>28394</v>
      </c>
      <c r="R9">
        <v>27700</v>
      </c>
      <c r="S9">
        <v>28284</v>
      </c>
      <c r="T9">
        <v>27760</v>
      </c>
      <c r="U9">
        <v>26514</v>
      </c>
      <c r="V9">
        <v>24486</v>
      </c>
      <c r="W9">
        <v>22673</v>
      </c>
      <c r="X9">
        <v>21013</v>
      </c>
      <c r="Y9">
        <v>19501</v>
      </c>
      <c r="Z9">
        <v>18971</v>
      </c>
      <c r="AA9">
        <v>17916</v>
      </c>
      <c r="AB9">
        <v>16603</v>
      </c>
      <c r="AC9">
        <v>15585</v>
      </c>
      <c r="AD9">
        <v>14488</v>
      </c>
      <c r="AE9">
        <v>14537</v>
      </c>
      <c r="AG9" s="410">
        <v>2005</v>
      </c>
      <c r="AH9" s="411">
        <f>($V$6/$W$6)-1</f>
        <v>0.16398775353999229</v>
      </c>
      <c r="AJ9" s="410">
        <v>2005</v>
      </c>
      <c r="AK9" s="411">
        <f>(V16/W16)-1</f>
        <v>0.23130887953497692</v>
      </c>
      <c r="AM9" s="410">
        <v>2005</v>
      </c>
      <c r="AN9" s="411">
        <f>(V28/W28)-1</f>
        <v>0.1843003412969284</v>
      </c>
      <c r="AQ9">
        <v>2004</v>
      </c>
      <c r="AR9">
        <f>W6</f>
        <v>36582</v>
      </c>
      <c r="AS9">
        <f t="shared" si="0"/>
        <v>10.507311595135871</v>
      </c>
    </row>
    <row r="10" spans="1:45">
      <c r="A10" t="s">
        <v>2000</v>
      </c>
      <c r="AG10" s="410">
        <v>2006</v>
      </c>
      <c r="AH10" s="411">
        <f>($U$6/$V$6)-1</f>
        <v>0.11662478570254331</v>
      </c>
      <c r="AJ10" s="410">
        <v>2006</v>
      </c>
      <c r="AK10" s="411">
        <f>(U16/V16)-1</f>
        <v>8.0091160670682005E-2</v>
      </c>
      <c r="AM10" s="410">
        <v>2006</v>
      </c>
      <c r="AN10" s="411">
        <f>(U28/V28)-1</f>
        <v>0.11239193083573484</v>
      </c>
      <c r="AQ10">
        <v>2005</v>
      </c>
      <c r="AR10">
        <f>V6</f>
        <v>42581</v>
      </c>
      <c r="AS10">
        <f t="shared" si="0"/>
        <v>10.659163423376018</v>
      </c>
    </row>
    <row r="11" spans="1:45">
      <c r="A11" t="s">
        <v>1999</v>
      </c>
      <c r="B11">
        <v>3746</v>
      </c>
      <c r="C11">
        <v>3609</v>
      </c>
      <c r="D11">
        <v>3366</v>
      </c>
      <c r="E11">
        <v>3188</v>
      </c>
      <c r="F11">
        <v>2953</v>
      </c>
      <c r="G11">
        <v>2698</v>
      </c>
      <c r="H11">
        <v>2360</v>
      </c>
      <c r="I11">
        <v>2207</v>
      </c>
      <c r="J11">
        <v>2282</v>
      </c>
      <c r="K11">
        <v>2224</v>
      </c>
      <c r="L11">
        <v>2084</v>
      </c>
      <c r="M11">
        <v>1923</v>
      </c>
      <c r="N11">
        <v>1867</v>
      </c>
      <c r="O11">
        <v>1858</v>
      </c>
      <c r="P11">
        <v>1782</v>
      </c>
      <c r="Q11">
        <v>1792</v>
      </c>
      <c r="R11">
        <v>1747</v>
      </c>
      <c r="S11">
        <v>1814</v>
      </c>
      <c r="T11">
        <v>1745</v>
      </c>
      <c r="U11">
        <v>1748</v>
      </c>
      <c r="V11">
        <v>1644</v>
      </c>
      <c r="W11">
        <v>1543</v>
      </c>
      <c r="X11">
        <v>1549</v>
      </c>
      <c r="Y11">
        <v>1464</v>
      </c>
      <c r="Z11">
        <v>1396</v>
      </c>
      <c r="AA11">
        <v>1173</v>
      </c>
      <c r="AB11">
        <v>1139</v>
      </c>
      <c r="AC11">
        <v>1112</v>
      </c>
      <c r="AD11">
        <v>1063</v>
      </c>
      <c r="AE11">
        <v>964</v>
      </c>
      <c r="AG11" s="410">
        <v>2007</v>
      </c>
      <c r="AH11" s="411">
        <f>($T$6/$U$6)-1</f>
        <v>4.5113256356867915E-2</v>
      </c>
      <c r="AJ11" s="410">
        <v>2007</v>
      </c>
      <c r="AK11" s="411">
        <f>(T16/U16)-1</f>
        <v>-0.91288620949510169</v>
      </c>
      <c r="AM11" s="410">
        <v>2007</v>
      </c>
      <c r="AN11" s="411">
        <f>(T28/U28)-1</f>
        <v>-0.90673575129533679</v>
      </c>
      <c r="AQ11">
        <v>2006</v>
      </c>
      <c r="AR11">
        <f>U6</f>
        <v>47547</v>
      </c>
      <c r="AS11">
        <f t="shared" si="0"/>
        <v>10.769473974500535</v>
      </c>
    </row>
    <row r="12" spans="1:45">
      <c r="A12" t="s">
        <v>1998</v>
      </c>
      <c r="K12">
        <v>0</v>
      </c>
      <c r="L12">
        <v>-20</v>
      </c>
      <c r="M12">
        <v>-12</v>
      </c>
      <c r="N12">
        <v>-72</v>
      </c>
      <c r="O12">
        <v>19</v>
      </c>
      <c r="AG12" s="410">
        <v>2008</v>
      </c>
      <c r="AH12" s="411">
        <f>($S$6/$T$6)-1</f>
        <v>3.6102390726877598E-2</v>
      </c>
      <c r="AJ12" s="410">
        <v>2008</v>
      </c>
      <c r="AK12" s="411">
        <f>(S16/T16)-1</f>
        <v>8.311418685121108</v>
      </c>
      <c r="AM12" s="410">
        <v>2008</v>
      </c>
      <c r="AN12" s="411">
        <f>(S28/T28)-1</f>
        <v>7.1666666666666661</v>
      </c>
      <c r="AQ12">
        <v>2007</v>
      </c>
      <c r="AR12">
        <f>T6</f>
        <v>49692</v>
      </c>
      <c r="AS12">
        <f t="shared" si="0"/>
        <v>10.813599233333568</v>
      </c>
    </row>
    <row r="13" spans="1:45">
      <c r="A13" t="s">
        <v>1997</v>
      </c>
      <c r="C13">
        <v>108</v>
      </c>
      <c r="F13">
        <v>-46</v>
      </c>
      <c r="G13">
        <v>775</v>
      </c>
      <c r="S13">
        <v>575</v>
      </c>
      <c r="T13">
        <v>6100</v>
      </c>
      <c r="V13">
        <v>0</v>
      </c>
      <c r="W13">
        <v>0</v>
      </c>
      <c r="X13">
        <v>-19</v>
      </c>
      <c r="Y13">
        <v>106</v>
      </c>
      <c r="AC13">
        <v>0</v>
      </c>
      <c r="AD13">
        <v>0</v>
      </c>
      <c r="AE13">
        <v>0</v>
      </c>
      <c r="AG13" s="410">
        <v>2009</v>
      </c>
      <c r="AH13" s="411">
        <f>($R$6/$S$6)-1</f>
        <v>-0.12020743503088216</v>
      </c>
      <c r="AJ13" s="410">
        <v>2009</v>
      </c>
      <c r="AK13" s="411">
        <f>(R16/S16)-1</f>
        <v>-0.29375696767001114</v>
      </c>
      <c r="AM13" s="410">
        <v>2009</v>
      </c>
      <c r="AN13" s="411">
        <f>(R28/S28)-1</f>
        <v>-0.27210884353741494</v>
      </c>
      <c r="AQ13">
        <v>2008</v>
      </c>
      <c r="AR13">
        <f>S6</f>
        <v>51486</v>
      </c>
      <c r="AS13">
        <f t="shared" si="0"/>
        <v>10.849065205035176</v>
      </c>
    </row>
    <row r="14" spans="1:45">
      <c r="A14" t="s">
        <v>1996</v>
      </c>
      <c r="B14">
        <v>8163</v>
      </c>
      <c r="C14">
        <v>7780</v>
      </c>
      <c r="D14">
        <v>8090</v>
      </c>
      <c r="E14">
        <v>8271</v>
      </c>
      <c r="F14">
        <v>7817</v>
      </c>
      <c r="G14">
        <v>6825</v>
      </c>
      <c r="H14">
        <v>5919</v>
      </c>
      <c r="I14">
        <v>5465</v>
      </c>
      <c r="J14">
        <v>5039</v>
      </c>
      <c r="K14">
        <v>4623</v>
      </c>
      <c r="L14">
        <v>4658</v>
      </c>
      <c r="M14">
        <v>4565</v>
      </c>
      <c r="N14">
        <v>4349</v>
      </c>
      <c r="O14">
        <v>4231</v>
      </c>
      <c r="P14">
        <v>4161</v>
      </c>
      <c r="Q14">
        <v>3873</v>
      </c>
      <c r="R14">
        <v>4305</v>
      </c>
      <c r="S14">
        <v>4747</v>
      </c>
      <c r="T14">
        <v>4633</v>
      </c>
      <c r="U14">
        <v>4499</v>
      </c>
      <c r="V14">
        <v>4173</v>
      </c>
      <c r="W14">
        <v>3902</v>
      </c>
      <c r="X14">
        <v>3591</v>
      </c>
      <c r="Y14">
        <v>3597</v>
      </c>
      <c r="Z14">
        <v>3340</v>
      </c>
      <c r="AA14">
        <v>3264</v>
      </c>
      <c r="AB14">
        <v>2962</v>
      </c>
      <c r="AC14">
        <v>2878</v>
      </c>
      <c r="AD14">
        <v>3099</v>
      </c>
      <c r="AE14">
        <v>2847</v>
      </c>
      <c r="AG14" s="410">
        <v>2010</v>
      </c>
      <c r="AH14" s="411">
        <f>($Q$6/$R$6)-1</f>
        <v>9.3781045102324656E-2</v>
      </c>
      <c r="AJ14" s="410">
        <v>2010</v>
      </c>
      <c r="AK14" s="411">
        <f>(Q16/R16)-1</f>
        <v>0.54538279400157852</v>
      </c>
      <c r="AM14" s="410">
        <v>2010</v>
      </c>
      <c r="AN14" s="411">
        <f>(Q28/R28)-1</f>
        <v>0.62616822429906538</v>
      </c>
      <c r="AQ14">
        <v>2009</v>
      </c>
      <c r="AR14">
        <f>R6</f>
        <v>45297</v>
      </c>
      <c r="AS14">
        <f t="shared" si="0"/>
        <v>10.72099608411258</v>
      </c>
    </row>
    <row r="15" spans="1:45">
      <c r="A15" t="s">
        <v>1995</v>
      </c>
      <c r="B15">
        <v>80794</v>
      </c>
      <c r="C15">
        <v>82602</v>
      </c>
      <c r="D15">
        <v>81817</v>
      </c>
      <c r="E15">
        <v>87244</v>
      </c>
      <c r="F15">
        <v>84477</v>
      </c>
      <c r="G15">
        <v>76944</v>
      </c>
      <c r="H15">
        <v>66296</v>
      </c>
      <c r="I15">
        <v>64837</v>
      </c>
      <c r="J15">
        <v>58343</v>
      </c>
      <c r="K15">
        <v>55439</v>
      </c>
      <c r="L15">
        <v>50695</v>
      </c>
      <c r="M15">
        <v>53264</v>
      </c>
      <c r="N15">
        <v>48404</v>
      </c>
      <c r="O15">
        <v>52784</v>
      </c>
      <c r="P15">
        <v>47025</v>
      </c>
      <c r="Q15">
        <v>43671</v>
      </c>
      <c r="R15">
        <v>41496</v>
      </c>
      <c r="S15">
        <v>46104</v>
      </c>
      <c r="T15">
        <v>49114</v>
      </c>
      <c r="U15">
        <v>40912</v>
      </c>
      <c r="V15">
        <v>36438</v>
      </c>
      <c r="W15">
        <v>31593</v>
      </c>
      <c r="X15">
        <v>29012</v>
      </c>
      <c r="Y15">
        <v>27176</v>
      </c>
      <c r="Z15">
        <v>26684</v>
      </c>
      <c r="AA15">
        <v>25259</v>
      </c>
      <c r="AB15">
        <v>23064</v>
      </c>
      <c r="AC15">
        <v>21698</v>
      </c>
      <c r="AD15">
        <v>20760</v>
      </c>
      <c r="AE15">
        <v>20339</v>
      </c>
      <c r="AG15" s="410">
        <v>2011</v>
      </c>
      <c r="AH15" s="411">
        <f>($P$6/$Q$6)-1</f>
        <v>7.185387021899281E-2</v>
      </c>
      <c r="AJ15" s="410">
        <v>2011</v>
      </c>
      <c r="AK15" s="411">
        <f>(P16/Q16)-1</f>
        <v>3.5069799114742839E-2</v>
      </c>
      <c r="AM15" s="410">
        <v>2011</v>
      </c>
      <c r="AN15" s="411">
        <f>(P28/Q28)-1</f>
        <v>0.10344827586206895</v>
      </c>
      <c r="AQ15">
        <v>2010</v>
      </c>
      <c r="AR15">
        <f>Q6</f>
        <v>49545</v>
      </c>
      <c r="AS15">
        <f t="shared" si="0"/>
        <v>10.810636626493</v>
      </c>
    </row>
    <row r="16" spans="1:45">
      <c r="A16" t="s">
        <v>273</v>
      </c>
      <c r="B16">
        <v>7867</v>
      </c>
      <c r="C16">
        <v>8468</v>
      </c>
      <c r="D16">
        <v>9141</v>
      </c>
      <c r="E16">
        <v>13094</v>
      </c>
      <c r="F16">
        <v>12810</v>
      </c>
      <c r="G16">
        <v>7684</v>
      </c>
      <c r="H16">
        <v>7798</v>
      </c>
      <c r="I16">
        <v>7024</v>
      </c>
      <c r="J16">
        <v>7529</v>
      </c>
      <c r="K16">
        <v>5467</v>
      </c>
      <c r="L16">
        <v>7668</v>
      </c>
      <c r="M16">
        <v>4968</v>
      </c>
      <c r="N16">
        <v>7034</v>
      </c>
      <c r="O16">
        <v>1343</v>
      </c>
      <c r="P16">
        <v>6080</v>
      </c>
      <c r="Q16">
        <v>5874</v>
      </c>
      <c r="R16">
        <v>3801</v>
      </c>
      <c r="S16">
        <v>5382</v>
      </c>
      <c r="T16">
        <v>578</v>
      </c>
      <c r="U16">
        <v>6635</v>
      </c>
      <c r="V16">
        <v>6143</v>
      </c>
      <c r="W16">
        <v>4989</v>
      </c>
      <c r="X16">
        <v>4473</v>
      </c>
      <c r="Y16">
        <v>4096</v>
      </c>
      <c r="Z16">
        <v>3962</v>
      </c>
      <c r="AA16">
        <v>4512</v>
      </c>
      <c r="AB16">
        <v>3988</v>
      </c>
      <c r="AC16">
        <v>3090</v>
      </c>
      <c r="AD16">
        <v>1698</v>
      </c>
      <c r="AE16">
        <v>2029</v>
      </c>
      <c r="AG16" s="410">
        <v>2012</v>
      </c>
      <c r="AH16" s="411">
        <f>($O$6/$P$6)-1</f>
        <v>1.9244892194708596E-2</v>
      </c>
      <c r="AJ16" s="410">
        <v>2012</v>
      </c>
      <c r="AK16" s="411">
        <f>(O16/P16)-1</f>
        <v>-0.77911184210526319</v>
      </c>
      <c r="AM16" s="410">
        <v>2012</v>
      </c>
      <c r="AN16" s="411">
        <f>(O28/P28)-1</f>
        <v>-0.78385416666666663</v>
      </c>
      <c r="AQ16">
        <v>2011</v>
      </c>
      <c r="AR16">
        <f>P6</f>
        <v>53105</v>
      </c>
      <c r="AS16">
        <f t="shared" si="0"/>
        <v>10.88002636475564</v>
      </c>
    </row>
    <row r="17" spans="1:45">
      <c r="A17" t="s">
        <v>1994</v>
      </c>
      <c r="B17">
        <v>-1017</v>
      </c>
      <c r="C17">
        <v>-866</v>
      </c>
      <c r="D17">
        <v>-785</v>
      </c>
      <c r="E17">
        <v>-704</v>
      </c>
      <c r="F17">
        <v>-694</v>
      </c>
      <c r="G17">
        <v>-701</v>
      </c>
      <c r="H17">
        <v>-654</v>
      </c>
      <c r="I17">
        <v>-691</v>
      </c>
      <c r="J17">
        <v>-398</v>
      </c>
      <c r="K17">
        <v>-531</v>
      </c>
      <c r="L17">
        <v>-303</v>
      </c>
      <c r="M17">
        <v>-346</v>
      </c>
      <c r="N17">
        <v>-385</v>
      </c>
      <c r="O17">
        <v>-415</v>
      </c>
      <c r="P17">
        <v>-348</v>
      </c>
      <c r="Q17">
        <v>-354</v>
      </c>
      <c r="R17">
        <v>-445</v>
      </c>
      <c r="S17">
        <v>-442</v>
      </c>
      <c r="T17">
        <v>-246</v>
      </c>
      <c r="U17">
        <v>-211</v>
      </c>
      <c r="V17">
        <v>-172</v>
      </c>
      <c r="W17">
        <v>-149</v>
      </c>
      <c r="X17">
        <v>-121</v>
      </c>
      <c r="Y17">
        <v>-173</v>
      </c>
      <c r="Z17">
        <v>-184</v>
      </c>
      <c r="AA17">
        <v>-205</v>
      </c>
      <c r="AB17">
        <v>-228</v>
      </c>
      <c r="AC17">
        <v>-227</v>
      </c>
      <c r="AD17">
        <v>-187</v>
      </c>
      <c r="AE17">
        <v>-95</v>
      </c>
      <c r="AG17" s="410">
        <v>2013</v>
      </c>
      <c r="AH17" s="411">
        <f>($N$6/$O$6)-1</f>
        <v>2.4220814011491454E-2</v>
      </c>
      <c r="AJ17" s="410">
        <v>2013</v>
      </c>
      <c r="AK17" s="411">
        <f>(N16/O16)-1</f>
        <v>4.23752792256143</v>
      </c>
      <c r="AM17" s="410">
        <v>2013</v>
      </c>
      <c r="AN17" s="411">
        <f>(N28/O28)-1</f>
        <v>4.5542168674698802</v>
      </c>
      <c r="AQ17">
        <v>2012</v>
      </c>
      <c r="AR17">
        <f>O6</f>
        <v>54127</v>
      </c>
      <c r="AS17">
        <f t="shared" si="0"/>
        <v>10.899088416123256</v>
      </c>
    </row>
    <row r="18" spans="1:45">
      <c r="A18" t="s">
        <v>1993</v>
      </c>
      <c r="AG18" s="410">
        <v>2014</v>
      </c>
      <c r="AH18" s="411">
        <f>($M$6/$N$6)-1</f>
        <v>5.0398643529708798E-2</v>
      </c>
      <c r="AJ18" s="410">
        <v>2014</v>
      </c>
      <c r="AK18" s="411">
        <f>(M16/N16)-1</f>
        <v>-0.29371623542792158</v>
      </c>
      <c r="AM18" s="410">
        <v>2014</v>
      </c>
      <c r="AN18" s="411">
        <f>(M28/N28)-1</f>
        <v>-0.28850325379609554</v>
      </c>
      <c r="AQ18">
        <v>2013</v>
      </c>
      <c r="AR18">
        <f>N6</f>
        <v>55438</v>
      </c>
      <c r="AS18">
        <f t="shared" si="0"/>
        <v>10.92302055817699</v>
      </c>
    </row>
    <row r="19" spans="1:45">
      <c r="A19" t="s">
        <v>1992</v>
      </c>
      <c r="B19">
        <v>314</v>
      </c>
      <c r="C19">
        <v>-160</v>
      </c>
      <c r="D19">
        <v>217</v>
      </c>
      <c r="E19">
        <v>2435</v>
      </c>
      <c r="F19">
        <v>4479</v>
      </c>
      <c r="G19">
        <v>-5139</v>
      </c>
      <c r="H19">
        <v>-1492</v>
      </c>
      <c r="I19">
        <v>-314</v>
      </c>
      <c r="J19">
        <v>17</v>
      </c>
      <c r="K19">
        <v>200</v>
      </c>
      <c r="L19">
        <v>-23</v>
      </c>
      <c r="M19">
        <v>15</v>
      </c>
      <c r="N19">
        <v>25</v>
      </c>
      <c r="O19">
        <v>46</v>
      </c>
      <c r="P19">
        <v>44</v>
      </c>
      <c r="Q19">
        <v>3</v>
      </c>
      <c r="R19">
        <v>10</v>
      </c>
      <c r="S19">
        <v>75</v>
      </c>
      <c r="T19">
        <v>99</v>
      </c>
      <c r="U19">
        <v>86</v>
      </c>
      <c r="V19">
        <v>104</v>
      </c>
      <c r="W19">
        <v>82</v>
      </c>
      <c r="X19">
        <v>18</v>
      </c>
      <c r="Y19">
        <v>1086</v>
      </c>
      <c r="Z19">
        <v>159</v>
      </c>
      <c r="AA19">
        <v>527</v>
      </c>
      <c r="AB19">
        <v>-1672</v>
      </c>
      <c r="AC19">
        <v>39</v>
      </c>
      <c r="AD19">
        <v>42</v>
      </c>
      <c r="AE19">
        <v>-24</v>
      </c>
      <c r="AG19" s="410">
        <v>2015</v>
      </c>
      <c r="AH19" s="411">
        <f>($L$6/$M$6)-1</f>
        <v>2.2496222008516753E-3</v>
      </c>
      <c r="AJ19" s="410">
        <v>2015</v>
      </c>
      <c r="AK19" s="411">
        <f>(L16/M16)-1</f>
        <v>0.54347826086956519</v>
      </c>
      <c r="AM19" s="410">
        <v>2015</v>
      </c>
      <c r="AN19" s="411">
        <f>(L28/M28)-1</f>
        <v>0.63109756097560976</v>
      </c>
      <c r="AQ19">
        <v>2014</v>
      </c>
      <c r="AR19">
        <f>M6</f>
        <v>58232</v>
      </c>
      <c r="AS19">
        <f t="shared" si="0"/>
        <v>10.972190310798094</v>
      </c>
    </row>
    <row r="20" spans="1:45">
      <c r="A20" t="s">
        <v>1991</v>
      </c>
      <c r="B20">
        <v>7164</v>
      </c>
      <c r="C20">
        <v>7442</v>
      </c>
      <c r="D20">
        <v>8573</v>
      </c>
      <c r="E20">
        <v>14825</v>
      </c>
      <c r="F20">
        <v>16595</v>
      </c>
      <c r="G20">
        <v>1844</v>
      </c>
      <c r="H20">
        <v>5652</v>
      </c>
      <c r="I20">
        <v>6019</v>
      </c>
      <c r="J20">
        <v>7148</v>
      </c>
      <c r="K20">
        <v>5136</v>
      </c>
      <c r="L20">
        <v>7342</v>
      </c>
      <c r="M20">
        <v>4637</v>
      </c>
      <c r="N20">
        <v>6674</v>
      </c>
      <c r="O20">
        <v>974</v>
      </c>
      <c r="P20">
        <v>5776</v>
      </c>
      <c r="Q20">
        <v>5523</v>
      </c>
      <c r="R20">
        <v>3366</v>
      </c>
      <c r="S20">
        <v>5015</v>
      </c>
      <c r="T20">
        <v>431</v>
      </c>
      <c r="U20">
        <v>6510</v>
      </c>
      <c r="V20">
        <v>6075</v>
      </c>
      <c r="W20">
        <v>4922</v>
      </c>
      <c r="X20">
        <v>4370</v>
      </c>
      <c r="Y20">
        <v>5009</v>
      </c>
      <c r="Z20">
        <v>3937</v>
      </c>
      <c r="AA20">
        <v>4834</v>
      </c>
      <c r="AB20">
        <v>2088</v>
      </c>
      <c r="AC20">
        <v>2902</v>
      </c>
      <c r="AD20">
        <v>1553</v>
      </c>
      <c r="AE20">
        <v>1910</v>
      </c>
      <c r="AG20" s="410">
        <v>2016</v>
      </c>
      <c r="AH20" s="411">
        <f>($K$6/$L$6)-1</f>
        <v>4.3572126175830617E-2</v>
      </c>
      <c r="AJ20" s="410">
        <v>2016</v>
      </c>
      <c r="AK20" s="411">
        <f>(K16/L16)-1</f>
        <v>-0.28703703703703709</v>
      </c>
      <c r="AM20" s="410">
        <v>2016</v>
      </c>
      <c r="AN20" s="411">
        <f>(K28/L28)-1</f>
        <v>-0.27663551401869158</v>
      </c>
      <c r="AQ20">
        <v>2015</v>
      </c>
      <c r="AR20">
        <f>L6</f>
        <v>58363</v>
      </c>
      <c r="AS20">
        <f t="shared" si="0"/>
        <v>10.974437406387494</v>
      </c>
    </row>
    <row r="21" spans="1:45">
      <c r="A21" t="s">
        <v>1990</v>
      </c>
      <c r="B21">
        <v>1592</v>
      </c>
      <c r="C21">
        <v>1660</v>
      </c>
      <c r="D21">
        <v>1865</v>
      </c>
      <c r="E21">
        <v>3277</v>
      </c>
      <c r="F21">
        <v>3705</v>
      </c>
      <c r="G21">
        <v>501</v>
      </c>
      <c r="H21">
        <v>1212</v>
      </c>
      <c r="I21">
        <v>1228</v>
      </c>
      <c r="J21">
        <v>2496</v>
      </c>
      <c r="K21">
        <v>1705</v>
      </c>
      <c r="L21">
        <v>2498</v>
      </c>
      <c r="M21">
        <v>1605</v>
      </c>
      <c r="N21">
        <v>2302</v>
      </c>
      <c r="O21">
        <v>167</v>
      </c>
      <c r="P21">
        <v>1972</v>
      </c>
      <c r="Q21">
        <v>2035</v>
      </c>
      <c r="R21">
        <v>1214</v>
      </c>
      <c r="S21">
        <v>2012</v>
      </c>
      <c r="T21">
        <v>49</v>
      </c>
      <c r="U21">
        <v>2308</v>
      </c>
      <c r="V21">
        <v>2205</v>
      </c>
      <c r="W21">
        <v>1589</v>
      </c>
      <c r="X21">
        <v>1472</v>
      </c>
      <c r="Y21">
        <v>1755</v>
      </c>
      <c r="Z21">
        <v>1512</v>
      </c>
      <c r="AA21">
        <v>1900</v>
      </c>
      <c r="AB21">
        <v>1205</v>
      </c>
      <c r="AC21">
        <v>1161</v>
      </c>
      <c r="AD21">
        <v>644</v>
      </c>
      <c r="AE21">
        <v>764</v>
      </c>
      <c r="AG21" s="410">
        <v>2017</v>
      </c>
      <c r="AH21" s="411">
        <f>($J$6/$K$6)-1</f>
        <v>8.1535480905001068E-2</v>
      </c>
      <c r="AJ21" s="410">
        <v>2017</v>
      </c>
      <c r="AK21" s="411">
        <f>(J16/K16)-1</f>
        <v>0.37717212365099684</v>
      </c>
      <c r="AM21" s="410">
        <v>2017</v>
      </c>
      <c r="AN21" s="411">
        <f>(J28/K28)-1</f>
        <v>0.3746770025839794</v>
      </c>
      <c r="AQ21">
        <v>2016</v>
      </c>
      <c r="AR21">
        <f>K6</f>
        <v>60906</v>
      </c>
      <c r="AS21">
        <f t="shared" si="0"/>
        <v>11.017086971012485</v>
      </c>
    </row>
    <row r="22" spans="1:45">
      <c r="A22" t="s">
        <v>58</v>
      </c>
      <c r="B22">
        <v>5572</v>
      </c>
      <c r="C22">
        <v>5782</v>
      </c>
      <c r="D22">
        <v>6708</v>
      </c>
      <c r="E22">
        <v>11548</v>
      </c>
      <c r="F22">
        <v>12890</v>
      </c>
      <c r="G22">
        <v>1343</v>
      </c>
      <c r="H22">
        <v>4440</v>
      </c>
      <c r="I22">
        <v>4791</v>
      </c>
      <c r="J22">
        <v>4910</v>
      </c>
      <c r="K22">
        <v>3431</v>
      </c>
      <c r="L22">
        <v>4844</v>
      </c>
      <c r="M22">
        <v>3032</v>
      </c>
      <c r="N22">
        <v>4372</v>
      </c>
      <c r="O22">
        <v>807</v>
      </c>
      <c r="P22">
        <v>3804</v>
      </c>
      <c r="Q22">
        <v>3488</v>
      </c>
      <c r="R22">
        <v>2152</v>
      </c>
      <c r="S22">
        <v>3003</v>
      </c>
      <c r="T22">
        <v>382</v>
      </c>
      <c r="U22">
        <v>4202</v>
      </c>
      <c r="V22">
        <v>3870</v>
      </c>
      <c r="W22">
        <v>3333</v>
      </c>
      <c r="X22">
        <v>2898</v>
      </c>
      <c r="Y22">
        <v>3182</v>
      </c>
      <c r="Z22">
        <v>2399</v>
      </c>
      <c r="AA22">
        <v>2934</v>
      </c>
      <c r="AB22">
        <v>883</v>
      </c>
      <c r="AC22">
        <v>1741</v>
      </c>
      <c r="AD22">
        <v>909</v>
      </c>
      <c r="AE22">
        <v>1146</v>
      </c>
      <c r="AG22" s="410">
        <v>2018</v>
      </c>
      <c r="AH22" s="411">
        <f>($I$6/$J$6)-1</f>
        <v>9.0918751518095808E-2</v>
      </c>
      <c r="AJ22" s="410">
        <v>2018</v>
      </c>
      <c r="AK22" s="411">
        <f>(I16/J16)-1</f>
        <v>-6.7073980608314487E-2</v>
      </c>
      <c r="AM22" s="410">
        <v>2018</v>
      </c>
      <c r="AN22" s="411">
        <f>(I28/J28)-1</f>
        <v>3.5714285714285587E-2</v>
      </c>
      <c r="AQ22">
        <v>2017</v>
      </c>
      <c r="AR22">
        <f>J6</f>
        <v>65872</v>
      </c>
      <c r="AS22">
        <f t="shared" si="0"/>
        <v>11.095468744009686</v>
      </c>
    </row>
    <row r="23" spans="1:45">
      <c r="A23" t="s">
        <v>1989</v>
      </c>
      <c r="AG23" s="410">
        <v>2019</v>
      </c>
      <c r="AH23" s="411">
        <f>($H$6/$I$6)-1</f>
        <v>3.1073878738119509E-2</v>
      </c>
      <c r="AJ23" s="410">
        <v>2019</v>
      </c>
      <c r="AK23" s="411">
        <f>(H16/I16)-1</f>
        <v>0.11019362186788162</v>
      </c>
      <c r="AM23" s="410">
        <v>2019</v>
      </c>
      <c r="AN23" s="411">
        <f>(H28/I28)-1</f>
        <v>-7.2595281306714998E-2</v>
      </c>
      <c r="AQ23">
        <v>2018</v>
      </c>
      <c r="AR23">
        <f>I6</f>
        <v>71861</v>
      </c>
      <c r="AS23">
        <f t="shared" si="0"/>
        <v>11.182488976518361</v>
      </c>
    </row>
    <row r="24" spans="1:45">
      <c r="A24" t="s">
        <v>1988</v>
      </c>
      <c r="B24">
        <v>6.56</v>
      </c>
      <c r="C24">
        <v>6.76</v>
      </c>
      <c r="D24">
        <v>7.81</v>
      </c>
      <c r="E24">
        <v>13.26</v>
      </c>
      <c r="F24">
        <v>14.75</v>
      </c>
      <c r="G24">
        <v>1.55</v>
      </c>
      <c r="H24">
        <v>5.14</v>
      </c>
      <c r="I24">
        <v>5.53</v>
      </c>
      <c r="J24">
        <v>5.34</v>
      </c>
      <c r="K24">
        <v>3.89</v>
      </c>
      <c r="L24">
        <v>5.38</v>
      </c>
      <c r="M24">
        <v>3.31</v>
      </c>
      <c r="N24">
        <v>4.6500000000000004</v>
      </c>
      <c r="O24">
        <v>0.84</v>
      </c>
      <c r="P24">
        <v>3.88</v>
      </c>
      <c r="Q24">
        <v>3.51</v>
      </c>
      <c r="R24">
        <v>2.16</v>
      </c>
      <c r="S24">
        <v>2.96</v>
      </c>
      <c r="T24">
        <v>0.36</v>
      </c>
      <c r="U24">
        <v>3.87</v>
      </c>
      <c r="V24">
        <v>3.48</v>
      </c>
      <c r="W24">
        <v>2.95</v>
      </c>
      <c r="X24">
        <v>2.57</v>
      </c>
      <c r="Y24">
        <v>2.91</v>
      </c>
      <c r="Z24">
        <v>2.15</v>
      </c>
      <c r="AA24">
        <v>2.54</v>
      </c>
      <c r="AB24">
        <v>0.79</v>
      </c>
      <c r="AC24">
        <v>1.59</v>
      </c>
      <c r="AD24">
        <v>0.82</v>
      </c>
      <c r="AE24">
        <v>1.03</v>
      </c>
      <c r="AG24" s="410">
        <v>2020</v>
      </c>
      <c r="AH24" s="411">
        <f>($G$6/$H$6)-1</f>
        <v>0.14217075606661811</v>
      </c>
      <c r="AJ24" s="410">
        <v>2020</v>
      </c>
      <c r="AK24" s="411">
        <f>(G16/H16)-1</f>
        <v>-1.4619133111054117E-2</v>
      </c>
      <c r="AM24" s="410">
        <v>2020</v>
      </c>
      <c r="AN24" s="411">
        <f>(G28/H28)-1</f>
        <v>-0.69863013698630139</v>
      </c>
      <c r="AQ24">
        <v>2019</v>
      </c>
      <c r="AR24">
        <f>H6</f>
        <v>74094</v>
      </c>
      <c r="AS24">
        <f t="shared" si="0"/>
        <v>11.213089836345878</v>
      </c>
    </row>
    <row r="25" spans="1:45">
      <c r="A25" t="s">
        <v>1987</v>
      </c>
      <c r="B25">
        <v>6.56</v>
      </c>
      <c r="C25">
        <v>6.76</v>
      </c>
      <c r="D25">
        <v>7.81</v>
      </c>
      <c r="E25">
        <v>13.26</v>
      </c>
      <c r="F25">
        <v>14.75</v>
      </c>
      <c r="G25">
        <v>1.55</v>
      </c>
      <c r="H25">
        <v>5.14</v>
      </c>
      <c r="I25">
        <v>5.53</v>
      </c>
      <c r="J25">
        <v>5.64</v>
      </c>
      <c r="K25">
        <v>3.89</v>
      </c>
      <c r="L25">
        <v>5.38</v>
      </c>
      <c r="M25">
        <v>3.31</v>
      </c>
      <c r="N25">
        <v>4.6500000000000004</v>
      </c>
      <c r="O25">
        <v>0.84</v>
      </c>
      <c r="P25">
        <v>3.88</v>
      </c>
      <c r="Q25">
        <v>3.51</v>
      </c>
      <c r="R25">
        <v>2.16</v>
      </c>
      <c r="S25">
        <v>2.96</v>
      </c>
      <c r="T25">
        <v>0.36</v>
      </c>
      <c r="U25">
        <v>3.87</v>
      </c>
      <c r="V25">
        <v>3.48</v>
      </c>
      <c r="W25">
        <v>2.95</v>
      </c>
      <c r="X25">
        <v>2.57</v>
      </c>
      <c r="Y25">
        <v>2.84</v>
      </c>
      <c r="Z25">
        <v>2.13</v>
      </c>
      <c r="AA25">
        <v>2.54</v>
      </c>
      <c r="AB25">
        <v>0.79</v>
      </c>
      <c r="AC25">
        <v>1.59</v>
      </c>
      <c r="AD25">
        <v>0.82</v>
      </c>
      <c r="AE25">
        <v>1.03</v>
      </c>
      <c r="AG25" s="410">
        <v>2021</v>
      </c>
      <c r="AH25" s="411">
        <f>($F$6/$G$6)-1</f>
        <v>0.14958406201257257</v>
      </c>
      <c r="AJ25" s="410">
        <v>2021</v>
      </c>
      <c r="AK25" s="411">
        <f>(F16/G16)-1</f>
        <v>0.66710046850598648</v>
      </c>
      <c r="AM25" s="410">
        <v>2021</v>
      </c>
      <c r="AN25" s="411">
        <f>(F28/G28)-1</f>
        <v>8.5779220779220768</v>
      </c>
      <c r="AQ25">
        <v>2020</v>
      </c>
      <c r="AR25">
        <f>G6</f>
        <v>84628</v>
      </c>
      <c r="AS25">
        <f t="shared" si="0"/>
        <v>11.346020460103208</v>
      </c>
    </row>
    <row r="26" spans="1:45">
      <c r="A26" t="s">
        <v>1986</v>
      </c>
      <c r="B26">
        <v>7.65</v>
      </c>
      <c r="C26">
        <v>7.3</v>
      </c>
      <c r="D26">
        <v>8.43</v>
      </c>
      <c r="E26">
        <v>13.5</v>
      </c>
      <c r="F26">
        <v>15.15</v>
      </c>
      <c r="G26">
        <v>3.02</v>
      </c>
      <c r="H26">
        <v>5.62</v>
      </c>
      <c r="I26">
        <v>5.87</v>
      </c>
      <c r="J26">
        <v>5.34</v>
      </c>
      <c r="K26">
        <v>3.89</v>
      </c>
      <c r="L26">
        <v>5.38</v>
      </c>
      <c r="M26">
        <v>3.31</v>
      </c>
      <c r="N26">
        <v>4.6500000000000004</v>
      </c>
      <c r="O26">
        <v>0.84</v>
      </c>
      <c r="P26">
        <v>3.86</v>
      </c>
      <c r="Q26">
        <v>3.49</v>
      </c>
      <c r="R26">
        <v>2.27</v>
      </c>
      <c r="S26">
        <v>3.29</v>
      </c>
      <c r="T26">
        <v>5.48</v>
      </c>
      <c r="U26">
        <v>3.87</v>
      </c>
      <c r="V26">
        <v>3.48</v>
      </c>
      <c r="W26">
        <v>2.95</v>
      </c>
      <c r="X26">
        <v>2.56</v>
      </c>
      <c r="Y26">
        <v>2.97</v>
      </c>
      <c r="Z26">
        <v>2.15</v>
      </c>
      <c r="AA26">
        <v>2.54</v>
      </c>
      <c r="AB26">
        <v>0.79</v>
      </c>
      <c r="AC26">
        <v>1.59</v>
      </c>
      <c r="AD26">
        <v>0.82</v>
      </c>
      <c r="AE26">
        <v>1.03</v>
      </c>
      <c r="AG26" s="410">
        <v>2022</v>
      </c>
      <c r="AH26" s="411">
        <f>($E$6/$F$6)-1</f>
        <v>3.1360819020012975E-2</v>
      </c>
      <c r="AJ26" s="410">
        <v>2022</v>
      </c>
      <c r="AK26" s="411">
        <f>(E16/F16)-1</f>
        <v>2.2170179547228663E-2</v>
      </c>
      <c r="AM26" s="410">
        <v>2022</v>
      </c>
      <c r="AN26" s="411">
        <f>(E28/F28)-1</f>
        <v>-0.10508474576271187</v>
      </c>
      <c r="AQ26">
        <v>2021</v>
      </c>
      <c r="AR26">
        <f>F6</f>
        <v>97287</v>
      </c>
      <c r="AS26">
        <f t="shared" si="0"/>
        <v>11.485420651848038</v>
      </c>
    </row>
    <row r="27" spans="1:45">
      <c r="A27" t="s">
        <v>1985</v>
      </c>
      <c r="B27">
        <v>849</v>
      </c>
      <c r="C27">
        <v>855</v>
      </c>
      <c r="D27">
        <v>859</v>
      </c>
      <c r="E27">
        <v>871</v>
      </c>
      <c r="F27">
        <v>874</v>
      </c>
      <c r="G27">
        <v>867</v>
      </c>
      <c r="H27">
        <v>864</v>
      </c>
      <c r="I27">
        <v>866</v>
      </c>
      <c r="J27">
        <v>871</v>
      </c>
      <c r="K27">
        <v>883</v>
      </c>
      <c r="L27">
        <v>901</v>
      </c>
      <c r="M27">
        <v>916</v>
      </c>
      <c r="N27">
        <v>940</v>
      </c>
      <c r="O27">
        <v>960</v>
      </c>
      <c r="P27">
        <v>981</v>
      </c>
      <c r="Q27">
        <v>994</v>
      </c>
      <c r="R27">
        <v>998</v>
      </c>
      <c r="S27">
        <v>1016</v>
      </c>
      <c r="T27">
        <v>1057</v>
      </c>
      <c r="U27">
        <v>1085</v>
      </c>
      <c r="V27">
        <v>1113</v>
      </c>
      <c r="W27">
        <v>1129</v>
      </c>
      <c r="X27">
        <v>1128</v>
      </c>
      <c r="Y27">
        <v>1120</v>
      </c>
      <c r="Z27">
        <v>1126</v>
      </c>
      <c r="AA27">
        <v>1153</v>
      </c>
      <c r="AB27">
        <v>1121</v>
      </c>
      <c r="AC27">
        <v>1094</v>
      </c>
      <c r="AD27">
        <v>1104</v>
      </c>
      <c r="AE27">
        <v>1114</v>
      </c>
      <c r="AG27" s="410">
        <v>2023</v>
      </c>
      <c r="AH27" s="411">
        <f>($D$6/$E$6)-1</f>
        <v>-9.3484023998883781E-2</v>
      </c>
      <c r="AJ27" s="410">
        <v>2023</v>
      </c>
      <c r="AK27" s="411">
        <f>(D16/E16)-1</f>
        <v>-0.30189399725064914</v>
      </c>
      <c r="AM27" s="410">
        <v>2023</v>
      </c>
      <c r="AN27" s="411">
        <f>(D28/E28)-1</f>
        <v>-0.40909090909090906</v>
      </c>
      <c r="AQ27">
        <v>2022</v>
      </c>
      <c r="AR27">
        <f>E6</f>
        <v>100338</v>
      </c>
      <c r="AS27">
        <f t="shared" si="0"/>
        <v>11.516299765609178</v>
      </c>
    </row>
    <row r="28" spans="1:45">
      <c r="A28" t="s">
        <v>1984</v>
      </c>
      <c r="B28">
        <v>6.56</v>
      </c>
      <c r="C28">
        <v>6.75</v>
      </c>
      <c r="D28">
        <v>7.8</v>
      </c>
      <c r="E28">
        <v>13.2</v>
      </c>
      <c r="F28">
        <v>14.75</v>
      </c>
      <c r="G28">
        <v>1.54</v>
      </c>
      <c r="H28">
        <v>5.1100000000000003</v>
      </c>
      <c r="I28">
        <v>5.51</v>
      </c>
      <c r="J28">
        <v>5.32</v>
      </c>
      <c r="K28">
        <v>3.87</v>
      </c>
      <c r="L28">
        <v>5.35</v>
      </c>
      <c r="M28">
        <v>3.28</v>
      </c>
      <c r="N28">
        <v>4.6100000000000003</v>
      </c>
      <c r="O28">
        <v>0.83</v>
      </c>
      <c r="P28">
        <v>3.84</v>
      </c>
      <c r="Q28">
        <v>3.48</v>
      </c>
      <c r="R28">
        <v>2.14</v>
      </c>
      <c r="S28">
        <v>2.94</v>
      </c>
      <c r="T28">
        <v>0.36</v>
      </c>
      <c r="U28">
        <v>3.86</v>
      </c>
      <c r="V28">
        <v>3.47</v>
      </c>
      <c r="W28">
        <v>2.93</v>
      </c>
      <c r="X28">
        <v>2.5499999999999998</v>
      </c>
      <c r="Y28">
        <v>2.87</v>
      </c>
      <c r="Z28">
        <v>2.12</v>
      </c>
      <c r="AA28">
        <v>2.5</v>
      </c>
      <c r="AB28">
        <v>0.77</v>
      </c>
      <c r="AC28">
        <v>1.57</v>
      </c>
      <c r="AD28">
        <v>0.81</v>
      </c>
      <c r="AE28">
        <v>1.02</v>
      </c>
      <c r="AG28" s="410">
        <v>2024</v>
      </c>
      <c r="AH28" s="411">
        <f>($C$6/$D$6)-1</f>
        <v>1.2313375404031657E-3</v>
      </c>
      <c r="AJ28" s="410">
        <v>2024</v>
      </c>
      <c r="AK28" s="411">
        <f>(C16/D16)-1</f>
        <v>-7.3624329942019506E-2</v>
      </c>
      <c r="AM28" s="410">
        <v>2024</v>
      </c>
      <c r="AN28" s="411">
        <f>(C28/D28)-1</f>
        <v>-0.13461538461538458</v>
      </c>
      <c r="AQ28">
        <v>2023</v>
      </c>
      <c r="AR28">
        <f>D6</f>
        <v>90958</v>
      </c>
      <c r="AS28">
        <f t="shared" si="0"/>
        <v>11.418153140495789</v>
      </c>
    </row>
    <row r="29" spans="1:45">
      <c r="A29" t="s">
        <v>1983</v>
      </c>
      <c r="B29">
        <v>6.56</v>
      </c>
      <c r="C29">
        <v>6.75</v>
      </c>
      <c r="D29">
        <v>7.8</v>
      </c>
      <c r="E29">
        <v>13.2</v>
      </c>
      <c r="F29">
        <v>14.75</v>
      </c>
      <c r="G29">
        <v>1.54</v>
      </c>
      <c r="H29">
        <v>5.1100000000000003</v>
      </c>
      <c r="I29">
        <v>5.51</v>
      </c>
      <c r="J29">
        <v>5.61</v>
      </c>
      <c r="K29">
        <v>3.87</v>
      </c>
      <c r="L29">
        <v>5.35</v>
      </c>
      <c r="M29">
        <v>3.28</v>
      </c>
      <c r="N29">
        <v>4.6100000000000003</v>
      </c>
      <c r="O29">
        <v>0.83</v>
      </c>
      <c r="P29">
        <v>3.84</v>
      </c>
      <c r="Q29">
        <v>3.48</v>
      </c>
      <c r="R29">
        <v>2.14</v>
      </c>
      <c r="S29">
        <v>2.94</v>
      </c>
      <c r="T29">
        <v>0.36</v>
      </c>
      <c r="U29">
        <v>3.86</v>
      </c>
      <c r="V29">
        <v>3.47</v>
      </c>
      <c r="W29">
        <v>2.93</v>
      </c>
      <c r="X29">
        <v>2.5499999999999998</v>
      </c>
      <c r="Y29">
        <v>2.81</v>
      </c>
      <c r="Z29">
        <v>2.1</v>
      </c>
      <c r="AA29">
        <v>2.5</v>
      </c>
      <c r="AB29">
        <v>0.77</v>
      </c>
      <c r="AC29">
        <v>1.57</v>
      </c>
      <c r="AD29">
        <v>0.81</v>
      </c>
      <c r="AE29">
        <v>1.02</v>
      </c>
      <c r="AG29" s="410">
        <v>2025</v>
      </c>
      <c r="AH29" s="411">
        <f>($B$6/$C$6)-1</f>
        <v>-2.6452179642033613E-2</v>
      </c>
      <c r="AJ29" s="410">
        <v>2025</v>
      </c>
      <c r="AK29" s="411">
        <f>(B16/C16)-1</f>
        <v>-7.0973075106282479E-2</v>
      </c>
      <c r="AM29" s="410">
        <v>2025</v>
      </c>
      <c r="AN29" s="411">
        <f>(B28/C28)-1</f>
        <v>-2.8148148148148255E-2</v>
      </c>
      <c r="AQ29">
        <v>2024</v>
      </c>
      <c r="AR29">
        <f>C6</f>
        <v>91070</v>
      </c>
      <c r="AS29">
        <f t="shared" si="0"/>
        <v>11.419383720561864</v>
      </c>
    </row>
    <row r="30" spans="1:45">
      <c r="A30" t="s">
        <v>1982</v>
      </c>
      <c r="B30">
        <v>7.64</v>
      </c>
      <c r="C30">
        <v>7.29</v>
      </c>
      <c r="D30">
        <v>8.42</v>
      </c>
      <c r="E30">
        <v>13.44</v>
      </c>
      <c r="F30">
        <v>15.15</v>
      </c>
      <c r="G30">
        <v>3.01</v>
      </c>
      <c r="H30">
        <v>5.58</v>
      </c>
      <c r="I30">
        <v>5.85</v>
      </c>
      <c r="J30">
        <v>5.32</v>
      </c>
      <c r="K30">
        <v>3.87</v>
      </c>
      <c r="L30">
        <v>5.35</v>
      </c>
      <c r="M30">
        <v>3.28</v>
      </c>
      <c r="N30">
        <v>4.6100000000000003</v>
      </c>
      <c r="O30">
        <v>0.83</v>
      </c>
      <c r="P30">
        <v>3.82</v>
      </c>
      <c r="Q30">
        <v>3.46</v>
      </c>
      <c r="R30">
        <v>2.2599999999999998</v>
      </c>
      <c r="S30">
        <v>3.28</v>
      </c>
      <c r="T30">
        <v>5.45</v>
      </c>
      <c r="U30">
        <v>3.86</v>
      </c>
      <c r="V30">
        <v>3.47</v>
      </c>
      <c r="W30">
        <v>2.93</v>
      </c>
      <c r="X30">
        <v>2.54</v>
      </c>
      <c r="Y30">
        <v>2.93</v>
      </c>
      <c r="Z30">
        <v>2.12</v>
      </c>
      <c r="AA30">
        <v>2.5</v>
      </c>
      <c r="AB30">
        <v>0.77</v>
      </c>
      <c r="AC30">
        <v>1.57</v>
      </c>
      <c r="AD30">
        <v>0.81</v>
      </c>
      <c r="AE30">
        <v>1.02</v>
      </c>
      <c r="AQ30">
        <v>2025</v>
      </c>
      <c r="AR30">
        <f>B6</f>
        <v>88661</v>
      </c>
      <c r="AS30">
        <f>LN(AR30)</f>
        <v>11.392575387278974</v>
      </c>
    </row>
    <row r="31" spans="1:45">
      <c r="A31" t="s">
        <v>1981</v>
      </c>
      <c r="B31">
        <v>850</v>
      </c>
      <c r="C31">
        <v>856</v>
      </c>
      <c r="D31">
        <v>860</v>
      </c>
      <c r="E31">
        <v>875</v>
      </c>
      <c r="F31">
        <v>874</v>
      </c>
      <c r="G31">
        <v>871</v>
      </c>
      <c r="H31">
        <v>869</v>
      </c>
      <c r="I31">
        <v>870</v>
      </c>
      <c r="J31">
        <v>875</v>
      </c>
      <c r="K31">
        <v>887</v>
      </c>
      <c r="L31">
        <v>906</v>
      </c>
      <c r="M31">
        <v>924</v>
      </c>
      <c r="N31">
        <v>948</v>
      </c>
      <c r="O31">
        <v>969</v>
      </c>
      <c r="P31">
        <v>991</v>
      </c>
      <c r="Q31">
        <v>1003</v>
      </c>
      <c r="R31">
        <v>1004</v>
      </c>
      <c r="S31">
        <v>1022</v>
      </c>
      <c r="T31">
        <v>1063</v>
      </c>
      <c r="U31">
        <v>1089</v>
      </c>
      <c r="V31">
        <v>1116</v>
      </c>
      <c r="W31">
        <v>1137</v>
      </c>
      <c r="X31">
        <v>1138</v>
      </c>
      <c r="Y31">
        <v>1134</v>
      </c>
      <c r="Z31">
        <v>1144</v>
      </c>
      <c r="AA31">
        <v>1175</v>
      </c>
      <c r="AB31">
        <v>1141</v>
      </c>
      <c r="AC31">
        <v>1108</v>
      </c>
      <c r="AD31">
        <v>1116</v>
      </c>
      <c r="AE31">
        <v>1128</v>
      </c>
    </row>
    <row r="32" spans="1:45">
      <c r="A32" t="s">
        <v>1980</v>
      </c>
      <c r="B32">
        <v>6.56</v>
      </c>
      <c r="C32">
        <v>6.52</v>
      </c>
      <c r="D32">
        <v>6.48</v>
      </c>
      <c r="E32">
        <v>6.08</v>
      </c>
      <c r="F32">
        <v>4.08</v>
      </c>
      <c r="G32">
        <v>4.04</v>
      </c>
      <c r="H32">
        <v>3.84</v>
      </c>
      <c r="I32">
        <v>3.64</v>
      </c>
      <c r="J32">
        <v>3.32</v>
      </c>
      <c r="K32">
        <v>3.12</v>
      </c>
      <c r="L32">
        <v>2.92</v>
      </c>
      <c r="M32">
        <v>2.68</v>
      </c>
      <c r="N32">
        <v>2.48</v>
      </c>
      <c r="O32">
        <v>2.2799999999999998</v>
      </c>
      <c r="P32">
        <v>2.08</v>
      </c>
      <c r="Q32">
        <v>1.88</v>
      </c>
      <c r="R32">
        <v>1.8</v>
      </c>
      <c r="S32">
        <v>1.8</v>
      </c>
      <c r="T32">
        <v>1.68</v>
      </c>
      <c r="U32">
        <v>1.52</v>
      </c>
      <c r="V32">
        <v>1.32</v>
      </c>
      <c r="W32">
        <v>1.1200000000000001</v>
      </c>
      <c r="X32">
        <v>0.92</v>
      </c>
      <c r="Y32">
        <v>0.76</v>
      </c>
      <c r="Z32">
        <v>0.76</v>
      </c>
      <c r="AA32">
        <v>0.68</v>
      </c>
      <c r="AB32">
        <v>0</v>
      </c>
      <c r="AC32">
        <v>0</v>
      </c>
      <c r="AD32">
        <v>0</v>
      </c>
      <c r="AE32">
        <v>0</v>
      </c>
    </row>
    <row r="33" spans="1:29">
      <c r="A33" t="s">
        <v>1979</v>
      </c>
      <c r="B33">
        <v>490000</v>
      </c>
      <c r="C33">
        <v>490000</v>
      </c>
      <c r="D33">
        <v>500000</v>
      </c>
      <c r="E33">
        <v>536000</v>
      </c>
      <c r="F33">
        <v>534000</v>
      </c>
      <c r="G33">
        <v>543000</v>
      </c>
      <c r="H33">
        <v>495000</v>
      </c>
      <c r="I33">
        <v>481000</v>
      </c>
      <c r="J33">
        <v>454000</v>
      </c>
      <c r="K33">
        <v>434000</v>
      </c>
      <c r="L33">
        <v>444000</v>
      </c>
      <c r="M33">
        <v>435000</v>
      </c>
      <c r="N33">
        <v>395000</v>
      </c>
      <c r="O33">
        <v>399000</v>
      </c>
      <c r="P33">
        <v>398000</v>
      </c>
      <c r="Q33">
        <v>400600</v>
      </c>
      <c r="R33">
        <v>408000</v>
      </c>
      <c r="S33">
        <v>426000</v>
      </c>
      <c r="T33">
        <v>425300</v>
      </c>
      <c r="U33">
        <v>428000</v>
      </c>
      <c r="V33">
        <v>407000</v>
      </c>
      <c r="W33">
        <v>384000</v>
      </c>
      <c r="X33">
        <v>355000</v>
      </c>
      <c r="Y33">
        <v>360000</v>
      </c>
      <c r="Z33">
        <v>371000</v>
      </c>
      <c r="AA33">
        <v>359000</v>
      </c>
      <c r="AB33">
        <v>344000</v>
      </c>
      <c r="AC33">
        <v>330000</v>
      </c>
    </row>
  </sheetData>
  <sortState xmlns:xlrd2="http://schemas.microsoft.com/office/spreadsheetml/2017/richdata2" ref="AG5:AH29">
    <sortCondition ref="AG5:AG29"/>
  </sortState>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6A7B5-054F-A14F-8D62-E11ED93A5464}">
  <dimension ref="A1:AD49"/>
  <sheetViews>
    <sheetView topLeftCell="A26" workbookViewId="0">
      <selection activeCell="E3" sqref="E3"/>
    </sheetView>
  </sheetViews>
  <sheetFormatPr baseColWidth="10" defaultColWidth="11" defaultRowHeight="16"/>
  <cols>
    <col min="1" max="1" width="39.83203125" bestFit="1" customWidth="1"/>
  </cols>
  <sheetData>
    <row r="1" spans="1:30">
      <c r="A1" t="s">
        <v>2011</v>
      </c>
    </row>
    <row r="2" spans="1:30">
      <c r="A2" t="s">
        <v>2049</v>
      </c>
    </row>
    <row r="3" spans="1:30">
      <c r="A3" t="s">
        <v>2009</v>
      </c>
      <c r="B3" s="332">
        <v>46022</v>
      </c>
      <c r="C3" s="332">
        <v>45657</v>
      </c>
      <c r="D3" s="332">
        <v>45291</v>
      </c>
      <c r="E3" s="332">
        <v>44926</v>
      </c>
      <c r="F3" s="332">
        <v>44561</v>
      </c>
      <c r="G3" s="332">
        <v>44196</v>
      </c>
      <c r="H3" s="332">
        <v>43830</v>
      </c>
      <c r="I3" s="332">
        <v>43465</v>
      </c>
      <c r="J3" s="332">
        <v>43100</v>
      </c>
      <c r="K3" s="332">
        <v>42735</v>
      </c>
      <c r="L3" s="332">
        <v>42369</v>
      </c>
      <c r="M3" s="332">
        <v>42004</v>
      </c>
      <c r="N3" s="332">
        <v>41639</v>
      </c>
      <c r="O3" s="332">
        <v>41274</v>
      </c>
      <c r="P3" s="332">
        <v>40908</v>
      </c>
      <c r="Q3" s="332">
        <v>40543</v>
      </c>
      <c r="R3" s="332">
        <v>40178</v>
      </c>
      <c r="S3" s="332">
        <v>39813</v>
      </c>
      <c r="T3" s="332">
        <v>39447</v>
      </c>
      <c r="U3" s="332">
        <v>39082</v>
      </c>
      <c r="V3" s="332">
        <v>38717</v>
      </c>
      <c r="W3" s="332">
        <v>38352</v>
      </c>
      <c r="X3" s="332">
        <v>37986</v>
      </c>
      <c r="Y3" s="332">
        <v>37621</v>
      </c>
      <c r="Z3" s="332">
        <v>37256</v>
      </c>
      <c r="AA3" s="332">
        <v>36891</v>
      </c>
      <c r="AB3" s="332">
        <v>36525</v>
      </c>
      <c r="AC3" s="332">
        <v>36160</v>
      </c>
      <c r="AD3" s="332">
        <v>36160</v>
      </c>
    </row>
    <row r="4" spans="1:30">
      <c r="A4" t="s">
        <v>2008</v>
      </c>
      <c r="B4" t="s">
        <v>2007</v>
      </c>
      <c r="C4" t="s">
        <v>2007</v>
      </c>
      <c r="D4" t="s">
        <v>2007</v>
      </c>
      <c r="E4" t="s">
        <v>2007</v>
      </c>
      <c r="F4" t="s">
        <v>2007</v>
      </c>
      <c r="G4" t="s">
        <v>2007</v>
      </c>
      <c r="H4" t="s">
        <v>2007</v>
      </c>
      <c r="I4" t="s">
        <v>2007</v>
      </c>
      <c r="J4" t="s">
        <v>2007</v>
      </c>
      <c r="K4" t="s">
        <v>2007</v>
      </c>
      <c r="L4" t="s">
        <v>2007</v>
      </c>
      <c r="M4" t="s">
        <v>2007</v>
      </c>
      <c r="N4" t="s">
        <v>2007</v>
      </c>
      <c r="O4" t="s">
        <v>2007</v>
      </c>
      <c r="P4" t="s">
        <v>2007</v>
      </c>
      <c r="Q4" t="s">
        <v>2007</v>
      </c>
      <c r="R4" t="s">
        <v>2007</v>
      </c>
      <c r="S4" t="s">
        <v>2007</v>
      </c>
      <c r="T4" t="s">
        <v>2007</v>
      </c>
      <c r="U4" t="s">
        <v>2007</v>
      </c>
      <c r="V4" t="s">
        <v>2007</v>
      </c>
      <c r="W4" t="s">
        <v>2007</v>
      </c>
      <c r="X4" t="s">
        <v>2007</v>
      </c>
      <c r="Y4" t="s">
        <v>2007</v>
      </c>
      <c r="Z4" t="s">
        <v>2007</v>
      </c>
      <c r="AA4" t="s">
        <v>2007</v>
      </c>
      <c r="AB4" t="s">
        <v>2007</v>
      </c>
      <c r="AC4" t="s">
        <v>2007</v>
      </c>
      <c r="AD4" t="s">
        <v>2007</v>
      </c>
    </row>
    <row r="5" spans="1:30">
      <c r="A5" t="s">
        <v>2006</v>
      </c>
      <c r="B5" t="s">
        <v>2005</v>
      </c>
      <c r="C5" t="s">
        <v>2005</v>
      </c>
      <c r="D5" t="s">
        <v>2005</v>
      </c>
      <c r="E5" t="s">
        <v>2005</v>
      </c>
      <c r="F5" t="s">
        <v>2005</v>
      </c>
      <c r="G5" t="s">
        <v>2005</v>
      </c>
      <c r="H5" t="s">
        <v>2005</v>
      </c>
      <c r="I5" t="s">
        <v>2005</v>
      </c>
      <c r="J5" t="s">
        <v>2005</v>
      </c>
      <c r="K5" t="s">
        <v>2005</v>
      </c>
      <c r="L5" t="s">
        <v>2005</v>
      </c>
      <c r="M5" t="s">
        <v>2005</v>
      </c>
      <c r="N5" t="s">
        <v>2005</v>
      </c>
      <c r="O5" t="s">
        <v>2005</v>
      </c>
      <c r="P5" t="s">
        <v>2005</v>
      </c>
      <c r="Q5" t="s">
        <v>2005</v>
      </c>
      <c r="R5" t="s">
        <v>2005</v>
      </c>
      <c r="S5" t="s">
        <v>2005</v>
      </c>
      <c r="T5" t="s">
        <v>2005</v>
      </c>
      <c r="U5" t="s">
        <v>2005</v>
      </c>
      <c r="V5" t="s">
        <v>2005</v>
      </c>
      <c r="W5" t="s">
        <v>2005</v>
      </c>
      <c r="X5" t="s">
        <v>2005</v>
      </c>
      <c r="Y5" t="s">
        <v>2005</v>
      </c>
      <c r="Z5" t="s">
        <v>2005</v>
      </c>
      <c r="AA5" t="s">
        <v>2005</v>
      </c>
      <c r="AB5" t="s">
        <v>2005</v>
      </c>
      <c r="AC5" t="s">
        <v>2005</v>
      </c>
      <c r="AD5" t="s">
        <v>2005</v>
      </c>
    </row>
    <row r="6" spans="1:30">
      <c r="A6" t="s">
        <v>2048</v>
      </c>
      <c r="B6">
        <v>5887</v>
      </c>
      <c r="C6">
        <v>6112</v>
      </c>
      <c r="D6">
        <v>3206</v>
      </c>
      <c r="E6">
        <v>5602</v>
      </c>
      <c r="F6">
        <v>10255</v>
      </c>
      <c r="G6">
        <v>5910</v>
      </c>
      <c r="H6">
        <v>5238</v>
      </c>
      <c r="I6">
        <v>4225</v>
      </c>
      <c r="J6">
        <v>3320</v>
      </c>
      <c r="K6">
        <v>3476</v>
      </c>
      <c r="L6">
        <v>2730</v>
      </c>
      <c r="M6">
        <v>2291</v>
      </c>
      <c r="N6">
        <v>4665</v>
      </c>
      <c r="O6">
        <v>7327</v>
      </c>
      <c r="P6">
        <v>3034</v>
      </c>
      <c r="Q6">
        <v>3370</v>
      </c>
      <c r="R6">
        <v>1542</v>
      </c>
      <c r="S6">
        <v>507</v>
      </c>
      <c r="T6">
        <v>2027</v>
      </c>
      <c r="U6">
        <v>794</v>
      </c>
      <c r="V6">
        <v>1369</v>
      </c>
      <c r="W6">
        <v>739</v>
      </c>
      <c r="X6">
        <v>2951</v>
      </c>
      <c r="Y6">
        <v>2211</v>
      </c>
      <c r="Z6">
        <v>858</v>
      </c>
      <c r="AA6">
        <v>879</v>
      </c>
      <c r="AB6">
        <v>4204</v>
      </c>
      <c r="AC6">
        <v>1240</v>
      </c>
      <c r="AD6">
        <v>460</v>
      </c>
    </row>
    <row r="7" spans="1:30">
      <c r="A7" t="s">
        <v>2047</v>
      </c>
      <c r="B7">
        <v>5887</v>
      </c>
      <c r="C7">
        <v>6318</v>
      </c>
      <c r="D7">
        <v>6072</v>
      </c>
      <c r="E7">
        <v>7595</v>
      </c>
      <c r="F7">
        <v>10593</v>
      </c>
      <c r="G7">
        <v>6316</v>
      </c>
      <c r="H7">
        <v>5741</v>
      </c>
      <c r="I7">
        <v>5035</v>
      </c>
      <c r="J7">
        <v>4069</v>
      </c>
      <c r="K7">
        <v>4567</v>
      </c>
      <c r="L7">
        <v>4726</v>
      </c>
      <c r="M7">
        <v>3283</v>
      </c>
      <c r="N7">
        <v>5245</v>
      </c>
      <c r="O7">
        <v>7924</v>
      </c>
      <c r="P7">
        <v>4275</v>
      </c>
      <c r="Q7">
        <v>4081</v>
      </c>
      <c r="R7">
        <v>2100</v>
      </c>
      <c r="S7">
        <v>1049</v>
      </c>
      <c r="T7">
        <v>2604</v>
      </c>
      <c r="U7">
        <v>1983</v>
      </c>
      <c r="V7">
        <v>3041</v>
      </c>
      <c r="W7">
        <v>5197</v>
      </c>
      <c r="X7">
        <v>3952</v>
      </c>
      <c r="Y7">
        <v>3014</v>
      </c>
      <c r="Z7">
        <v>1616</v>
      </c>
      <c r="AA7">
        <v>1952</v>
      </c>
      <c r="AB7">
        <v>6278</v>
      </c>
      <c r="AC7">
        <v>1629</v>
      </c>
      <c r="AD7">
        <v>460</v>
      </c>
    </row>
    <row r="8" spans="1:30">
      <c r="A8" t="s">
        <v>2046</v>
      </c>
      <c r="B8">
        <v>11209</v>
      </c>
      <c r="C8">
        <v>10871</v>
      </c>
      <c r="D8">
        <v>11216</v>
      </c>
      <c r="E8">
        <v>12583</v>
      </c>
      <c r="F8">
        <v>12541</v>
      </c>
      <c r="G8">
        <v>10750</v>
      </c>
      <c r="H8">
        <v>9934</v>
      </c>
      <c r="I8">
        <v>9898</v>
      </c>
      <c r="J8">
        <v>10346</v>
      </c>
      <c r="K8">
        <v>7695</v>
      </c>
      <c r="L8">
        <v>7134</v>
      </c>
      <c r="M8">
        <v>6661</v>
      </c>
      <c r="N8">
        <v>6502</v>
      </c>
      <c r="O8">
        <v>6111</v>
      </c>
      <c r="P8">
        <v>6246</v>
      </c>
      <c r="Q8">
        <v>6117</v>
      </c>
      <c r="R8">
        <v>5922</v>
      </c>
      <c r="S8">
        <v>6194</v>
      </c>
      <c r="T8">
        <v>7808</v>
      </c>
      <c r="U8">
        <v>6220</v>
      </c>
      <c r="V8">
        <v>6361</v>
      </c>
      <c r="W8">
        <v>6051</v>
      </c>
      <c r="X8">
        <v>4844</v>
      </c>
      <c r="Y8">
        <v>4624</v>
      </c>
      <c r="Z8">
        <v>4786</v>
      </c>
      <c r="AA8">
        <v>4140</v>
      </c>
      <c r="AB8">
        <v>3167</v>
      </c>
      <c r="AC8">
        <v>2713</v>
      </c>
      <c r="AD8">
        <v>2405</v>
      </c>
    </row>
    <row r="9" spans="1:30">
      <c r="A9" t="s">
        <v>2045</v>
      </c>
      <c r="N9">
        <v>403</v>
      </c>
      <c r="O9">
        <v>393</v>
      </c>
      <c r="P9">
        <v>345</v>
      </c>
      <c r="Q9">
        <v>319</v>
      </c>
      <c r="R9">
        <v>281</v>
      </c>
      <c r="AA9">
        <v>624</v>
      </c>
      <c r="AB9">
        <v>366</v>
      </c>
      <c r="AC9">
        <v>380</v>
      </c>
      <c r="AD9">
        <v>417</v>
      </c>
    </row>
    <row r="10" spans="1:30">
      <c r="A10" t="s">
        <v>2044</v>
      </c>
      <c r="Z10">
        <v>446</v>
      </c>
      <c r="AA10">
        <v>408</v>
      </c>
      <c r="AB10">
        <v>1327</v>
      </c>
      <c r="AC10">
        <v>703</v>
      </c>
      <c r="AD10">
        <v>669</v>
      </c>
    </row>
    <row r="11" spans="1:30">
      <c r="A11" t="s">
        <v>2043</v>
      </c>
      <c r="B11">
        <v>1949</v>
      </c>
      <c r="C11">
        <v>2121</v>
      </c>
      <c r="D11">
        <v>2125</v>
      </c>
      <c r="E11">
        <v>2039</v>
      </c>
      <c r="F11">
        <v>1800</v>
      </c>
      <c r="G11">
        <v>3150</v>
      </c>
      <c r="H11">
        <v>1428</v>
      </c>
      <c r="I11">
        <v>1277</v>
      </c>
      <c r="J11">
        <v>1133</v>
      </c>
      <c r="K11">
        <v>1587</v>
      </c>
      <c r="L11">
        <v>1348</v>
      </c>
      <c r="M11">
        <v>1864</v>
      </c>
      <c r="N11">
        <v>1237</v>
      </c>
      <c r="O11">
        <v>1163</v>
      </c>
      <c r="P11">
        <v>1418</v>
      </c>
      <c r="Q11">
        <v>1052</v>
      </c>
      <c r="R11">
        <v>972</v>
      </c>
      <c r="S11">
        <v>1602</v>
      </c>
      <c r="T11">
        <v>1348</v>
      </c>
      <c r="U11">
        <v>1174</v>
      </c>
      <c r="V11">
        <v>1601</v>
      </c>
      <c r="W11">
        <v>1357</v>
      </c>
      <c r="X11">
        <v>1057</v>
      </c>
      <c r="Y11">
        <v>1100</v>
      </c>
      <c r="Z11">
        <v>749</v>
      </c>
      <c r="AC11">
        <v>0</v>
      </c>
      <c r="AD11">
        <v>526</v>
      </c>
    </row>
    <row r="12" spans="1:30">
      <c r="A12" t="s">
        <v>86</v>
      </c>
      <c r="B12">
        <v>19045</v>
      </c>
      <c r="C12">
        <v>19310</v>
      </c>
      <c r="D12">
        <v>19413</v>
      </c>
      <c r="E12">
        <v>22217</v>
      </c>
      <c r="F12">
        <v>24934</v>
      </c>
      <c r="G12">
        <v>20216</v>
      </c>
      <c r="H12">
        <v>17103</v>
      </c>
      <c r="I12">
        <v>16210</v>
      </c>
      <c r="J12">
        <v>15548</v>
      </c>
      <c r="K12">
        <v>13849</v>
      </c>
      <c r="L12">
        <v>13208</v>
      </c>
      <c r="M12">
        <v>11808</v>
      </c>
      <c r="N12">
        <v>13387</v>
      </c>
      <c r="O12">
        <v>15591</v>
      </c>
      <c r="P12">
        <v>12284</v>
      </c>
      <c r="Q12">
        <v>11569</v>
      </c>
      <c r="R12">
        <v>9275</v>
      </c>
      <c r="S12">
        <v>8845</v>
      </c>
      <c r="T12">
        <v>11760</v>
      </c>
      <c r="U12">
        <v>9377</v>
      </c>
      <c r="V12">
        <v>11003</v>
      </c>
      <c r="W12">
        <v>12605</v>
      </c>
      <c r="X12">
        <v>9853</v>
      </c>
      <c r="Y12">
        <v>8738</v>
      </c>
      <c r="Z12">
        <v>7597</v>
      </c>
      <c r="AA12">
        <v>7124</v>
      </c>
      <c r="AB12">
        <v>11138</v>
      </c>
      <c r="AC12">
        <v>5425</v>
      </c>
      <c r="AD12">
        <v>4477</v>
      </c>
    </row>
    <row r="13" spans="1:30">
      <c r="A13" t="s">
        <v>2042</v>
      </c>
      <c r="C13">
        <v>77445</v>
      </c>
      <c r="D13">
        <v>75823</v>
      </c>
      <c r="E13">
        <v>71185</v>
      </c>
      <c r="F13">
        <v>68371</v>
      </c>
      <c r="G13">
        <v>65164</v>
      </c>
      <c r="H13">
        <v>62583</v>
      </c>
      <c r="I13">
        <v>54488</v>
      </c>
      <c r="J13">
        <v>48726</v>
      </c>
      <c r="K13">
        <v>43674</v>
      </c>
      <c r="L13">
        <v>41918</v>
      </c>
      <c r="M13">
        <v>40620</v>
      </c>
      <c r="N13">
        <v>39151</v>
      </c>
      <c r="O13">
        <v>38041</v>
      </c>
      <c r="P13">
        <v>36541</v>
      </c>
      <c r="Q13">
        <v>35220</v>
      </c>
      <c r="R13">
        <v>34807</v>
      </c>
      <c r="S13">
        <v>35098</v>
      </c>
      <c r="T13">
        <v>33611</v>
      </c>
      <c r="U13">
        <v>32081</v>
      </c>
      <c r="V13">
        <v>29557</v>
      </c>
      <c r="W13">
        <v>27478</v>
      </c>
      <c r="X13">
        <v>26915</v>
      </c>
      <c r="Y13">
        <v>25361</v>
      </c>
      <c r="Z13">
        <v>24058</v>
      </c>
      <c r="AA13">
        <v>21994</v>
      </c>
      <c r="AB13">
        <v>20470</v>
      </c>
      <c r="AC13">
        <v>19554</v>
      </c>
      <c r="AD13">
        <v>18502</v>
      </c>
    </row>
    <row r="14" spans="1:30">
      <c r="A14" t="s">
        <v>2041</v>
      </c>
      <c r="C14">
        <v>-36117</v>
      </c>
      <c r="D14">
        <v>-34570</v>
      </c>
      <c r="E14">
        <v>-32711</v>
      </c>
      <c r="F14">
        <v>-31334</v>
      </c>
      <c r="G14">
        <v>-29837</v>
      </c>
      <c r="H14">
        <v>-29245</v>
      </c>
      <c r="I14">
        <v>-27912</v>
      </c>
      <c r="J14">
        <v>-26608</v>
      </c>
      <c r="K14">
        <v>-24874</v>
      </c>
      <c r="L14">
        <v>-23566</v>
      </c>
      <c r="M14">
        <v>-22339</v>
      </c>
      <c r="N14">
        <v>-21190</v>
      </c>
      <c r="O14">
        <v>-20147</v>
      </c>
      <c r="P14">
        <v>-18920</v>
      </c>
      <c r="Q14">
        <v>-17833</v>
      </c>
      <c r="R14">
        <v>-16828</v>
      </c>
      <c r="S14">
        <v>-16833</v>
      </c>
      <c r="T14">
        <v>-15948</v>
      </c>
      <c r="U14">
        <v>-15302</v>
      </c>
      <c r="V14">
        <v>-14268</v>
      </c>
      <c r="W14">
        <v>-13505</v>
      </c>
      <c r="X14">
        <v>-13007</v>
      </c>
      <c r="Y14">
        <v>-11749</v>
      </c>
      <c r="Z14">
        <v>-10620</v>
      </c>
      <c r="AA14">
        <v>-9665</v>
      </c>
      <c r="AB14">
        <v>-8891</v>
      </c>
      <c r="AC14">
        <v>-8170</v>
      </c>
      <c r="AD14">
        <v>-7495</v>
      </c>
    </row>
    <row r="15" spans="1:30">
      <c r="A15" t="s">
        <v>2040</v>
      </c>
      <c r="B15">
        <v>41994</v>
      </c>
      <c r="C15">
        <v>41328</v>
      </c>
      <c r="D15">
        <v>41253</v>
      </c>
      <c r="E15">
        <v>38474</v>
      </c>
      <c r="F15">
        <v>37037</v>
      </c>
      <c r="G15">
        <v>35327</v>
      </c>
      <c r="H15">
        <v>33338</v>
      </c>
      <c r="I15">
        <v>26576</v>
      </c>
      <c r="J15">
        <v>22118</v>
      </c>
      <c r="K15">
        <v>18800</v>
      </c>
      <c r="L15">
        <v>18352</v>
      </c>
      <c r="M15">
        <v>18281</v>
      </c>
      <c r="N15">
        <v>17961</v>
      </c>
      <c r="O15">
        <v>17894</v>
      </c>
      <c r="P15">
        <v>17621</v>
      </c>
      <c r="Q15">
        <v>17387</v>
      </c>
      <c r="R15">
        <v>17979</v>
      </c>
      <c r="S15">
        <v>18265</v>
      </c>
      <c r="T15">
        <v>17663</v>
      </c>
      <c r="U15">
        <v>16779</v>
      </c>
      <c r="V15">
        <v>15289</v>
      </c>
      <c r="W15">
        <v>13973</v>
      </c>
      <c r="X15">
        <v>13908</v>
      </c>
      <c r="Y15">
        <v>13612</v>
      </c>
      <c r="Z15">
        <v>13438</v>
      </c>
      <c r="AA15">
        <v>12329</v>
      </c>
      <c r="AB15">
        <v>11579</v>
      </c>
      <c r="AC15">
        <v>11384</v>
      </c>
      <c r="AD15">
        <v>11007</v>
      </c>
    </row>
    <row r="16" spans="1:30">
      <c r="A16" t="s">
        <v>2039</v>
      </c>
      <c r="B16">
        <v>5837</v>
      </c>
      <c r="C16">
        <v>4300</v>
      </c>
      <c r="D16">
        <v>4872</v>
      </c>
      <c r="E16">
        <v>4223</v>
      </c>
      <c r="F16">
        <v>3692</v>
      </c>
      <c r="G16">
        <v>3367</v>
      </c>
      <c r="H16">
        <v>3813</v>
      </c>
      <c r="I16">
        <v>3811</v>
      </c>
      <c r="J16">
        <v>3872</v>
      </c>
      <c r="K16">
        <v>3757</v>
      </c>
      <c r="L16">
        <v>3419</v>
      </c>
      <c r="M16">
        <v>2184</v>
      </c>
      <c r="N16">
        <v>2190</v>
      </c>
      <c r="O16">
        <v>2173</v>
      </c>
      <c r="P16">
        <v>2101</v>
      </c>
      <c r="Q16">
        <v>2081</v>
      </c>
      <c r="R16">
        <v>2089</v>
      </c>
      <c r="S16">
        <v>1986</v>
      </c>
      <c r="T16">
        <v>2577</v>
      </c>
      <c r="U16">
        <v>2533</v>
      </c>
      <c r="V16">
        <v>2549</v>
      </c>
      <c r="W16">
        <v>1924</v>
      </c>
      <c r="X16">
        <v>1173</v>
      </c>
      <c r="Y16">
        <v>1070</v>
      </c>
      <c r="Z16">
        <v>1112</v>
      </c>
      <c r="AA16">
        <v>288</v>
      </c>
    </row>
    <row r="17" spans="1:30">
      <c r="A17" t="s">
        <v>2038</v>
      </c>
      <c r="B17">
        <v>4021</v>
      </c>
      <c r="C17">
        <v>3064</v>
      </c>
      <c r="D17">
        <v>3305</v>
      </c>
      <c r="E17">
        <v>2796</v>
      </c>
      <c r="F17">
        <v>2486</v>
      </c>
      <c r="G17">
        <v>2274</v>
      </c>
      <c r="H17">
        <v>2167</v>
      </c>
      <c r="I17">
        <v>2075</v>
      </c>
      <c r="J17">
        <v>1964</v>
      </c>
      <c r="K17">
        <v>1758</v>
      </c>
      <c r="L17">
        <v>1549</v>
      </c>
      <c r="M17">
        <v>847</v>
      </c>
      <c r="N17">
        <v>775</v>
      </c>
      <c r="O17">
        <v>603</v>
      </c>
      <c r="P17">
        <v>585</v>
      </c>
      <c r="Q17">
        <v>599</v>
      </c>
      <c r="R17">
        <v>596</v>
      </c>
      <c r="S17">
        <v>511</v>
      </c>
      <c r="T17">
        <v>628</v>
      </c>
      <c r="U17">
        <v>688</v>
      </c>
      <c r="V17">
        <v>684</v>
      </c>
      <c r="X17">
        <v>100</v>
      </c>
      <c r="Y17">
        <v>110</v>
      </c>
      <c r="Z17">
        <v>107</v>
      </c>
      <c r="AA17">
        <v>106</v>
      </c>
    </row>
    <row r="18" spans="1:30">
      <c r="A18" t="s">
        <v>2037</v>
      </c>
      <c r="F18">
        <v>26</v>
      </c>
      <c r="G18">
        <v>25</v>
      </c>
      <c r="H18">
        <v>24</v>
      </c>
      <c r="I18">
        <v>170</v>
      </c>
      <c r="J18">
        <v>483</v>
      </c>
      <c r="K18">
        <v>476</v>
      </c>
      <c r="L18">
        <v>473</v>
      </c>
      <c r="M18">
        <v>489</v>
      </c>
      <c r="N18">
        <v>648</v>
      </c>
      <c r="O18">
        <v>19</v>
      </c>
      <c r="P18">
        <v>17</v>
      </c>
      <c r="Q18">
        <v>172</v>
      </c>
      <c r="R18">
        <v>247</v>
      </c>
    </row>
    <row r="19" spans="1:30">
      <c r="A19" t="s">
        <v>2036</v>
      </c>
      <c r="Q19">
        <v>288</v>
      </c>
      <c r="R19">
        <v>337</v>
      </c>
      <c r="S19">
        <v>476</v>
      </c>
      <c r="T19">
        <v>431</v>
      </c>
      <c r="U19">
        <v>374</v>
      </c>
      <c r="V19">
        <v>471</v>
      </c>
      <c r="W19">
        <v>475</v>
      </c>
      <c r="X19">
        <v>574</v>
      </c>
      <c r="Y19">
        <v>616</v>
      </c>
      <c r="Z19">
        <v>242</v>
      </c>
      <c r="AA19">
        <v>0</v>
      </c>
    </row>
    <row r="20" spans="1:30">
      <c r="A20" t="s">
        <v>2035</v>
      </c>
      <c r="B20">
        <v>2193</v>
      </c>
      <c r="C20">
        <v>2068</v>
      </c>
      <c r="D20">
        <v>2014</v>
      </c>
      <c r="E20">
        <v>3414</v>
      </c>
      <c r="F20">
        <v>1230</v>
      </c>
      <c r="G20">
        <v>1199</v>
      </c>
      <c r="H20">
        <v>1412</v>
      </c>
      <c r="I20">
        <v>1174</v>
      </c>
      <c r="J20">
        <v>1418</v>
      </c>
      <c r="K20">
        <v>1737</v>
      </c>
      <c r="L20">
        <v>1310</v>
      </c>
      <c r="M20">
        <v>1862</v>
      </c>
      <c r="N20">
        <v>1251</v>
      </c>
      <c r="O20">
        <v>2583</v>
      </c>
      <c r="P20">
        <v>2093</v>
      </c>
      <c r="Q20">
        <v>1501</v>
      </c>
      <c r="R20">
        <v>1360</v>
      </c>
      <c r="S20">
        <v>1796</v>
      </c>
      <c r="T20">
        <v>5983</v>
      </c>
      <c r="U20">
        <v>3459</v>
      </c>
      <c r="V20">
        <v>5226</v>
      </c>
      <c r="W20">
        <v>4049</v>
      </c>
      <c r="X20">
        <v>3301</v>
      </c>
      <c r="Y20">
        <v>2211</v>
      </c>
      <c r="Z20">
        <v>2140</v>
      </c>
      <c r="AA20">
        <v>1815</v>
      </c>
      <c r="AB20">
        <v>326</v>
      </c>
      <c r="AC20">
        <v>258</v>
      </c>
      <c r="AD20">
        <v>428</v>
      </c>
    </row>
    <row r="21" spans="1:30">
      <c r="A21" t="s">
        <v>2034</v>
      </c>
    </row>
    <row r="22" spans="1:30">
      <c r="A22" t="s">
        <v>107</v>
      </c>
      <c r="B22">
        <v>73090</v>
      </c>
      <c r="C22">
        <v>70070</v>
      </c>
      <c r="D22">
        <v>70857</v>
      </c>
      <c r="E22">
        <v>71124</v>
      </c>
      <c r="F22">
        <v>69405</v>
      </c>
      <c r="G22">
        <v>62408</v>
      </c>
      <c r="H22">
        <v>57857</v>
      </c>
      <c r="I22">
        <v>50016</v>
      </c>
      <c r="J22">
        <v>45403</v>
      </c>
      <c r="K22">
        <v>40377</v>
      </c>
      <c r="L22">
        <v>38311</v>
      </c>
      <c r="M22">
        <v>35471</v>
      </c>
      <c r="N22">
        <v>36212</v>
      </c>
      <c r="O22">
        <v>38863</v>
      </c>
      <c r="P22">
        <v>34701</v>
      </c>
      <c r="Q22">
        <v>33597</v>
      </c>
      <c r="R22">
        <v>31883</v>
      </c>
      <c r="S22">
        <v>31879</v>
      </c>
      <c r="T22">
        <v>39042</v>
      </c>
      <c r="U22">
        <v>33210</v>
      </c>
      <c r="V22">
        <v>35222</v>
      </c>
      <c r="W22">
        <v>33026</v>
      </c>
      <c r="X22">
        <v>28909</v>
      </c>
      <c r="Y22">
        <v>26357</v>
      </c>
      <c r="Z22">
        <v>24636</v>
      </c>
      <c r="AA22">
        <v>21662</v>
      </c>
      <c r="AB22">
        <v>23043</v>
      </c>
      <c r="AC22">
        <v>17067</v>
      </c>
      <c r="AD22">
        <v>15912</v>
      </c>
    </row>
    <row r="23" spans="1:30">
      <c r="A23" t="s">
        <v>109</v>
      </c>
      <c r="B23">
        <v>6633</v>
      </c>
      <c r="C23">
        <v>6302</v>
      </c>
      <c r="D23">
        <v>6340</v>
      </c>
      <c r="E23">
        <v>7512</v>
      </c>
      <c r="F23">
        <v>7523</v>
      </c>
      <c r="G23">
        <v>6455</v>
      </c>
      <c r="H23">
        <v>5555</v>
      </c>
      <c r="I23">
        <v>5188</v>
      </c>
      <c r="J23">
        <v>3872</v>
      </c>
      <c r="K23">
        <v>3042</v>
      </c>
      <c r="L23">
        <v>2587</v>
      </c>
      <c r="M23">
        <v>2754</v>
      </c>
      <c r="N23">
        <v>2478</v>
      </c>
      <c r="O23">
        <v>2278</v>
      </c>
      <c r="P23">
        <v>2300</v>
      </c>
      <c r="Q23">
        <v>1974</v>
      </c>
      <c r="R23">
        <v>1766</v>
      </c>
      <c r="S23">
        <v>1855</v>
      </c>
      <c r="T23">
        <v>1819</v>
      </c>
      <c r="U23">
        <v>1841</v>
      </c>
      <c r="V23">
        <v>2352</v>
      </c>
      <c r="W23">
        <v>2266</v>
      </c>
      <c r="X23">
        <v>2003</v>
      </c>
      <c r="Y23">
        <v>1908</v>
      </c>
      <c r="Z23">
        <v>1742</v>
      </c>
      <c r="AA23">
        <v>1674</v>
      </c>
      <c r="AB23">
        <v>1295</v>
      </c>
      <c r="AC23">
        <v>1322</v>
      </c>
      <c r="AD23">
        <v>1207</v>
      </c>
    </row>
    <row r="24" spans="1:30">
      <c r="A24" t="s">
        <v>2033</v>
      </c>
    </row>
    <row r="25" spans="1:30">
      <c r="A25" t="s">
        <v>2032</v>
      </c>
      <c r="B25">
        <v>5867</v>
      </c>
      <c r="C25">
        <v>5778</v>
      </c>
      <c r="D25">
        <v>5412</v>
      </c>
      <c r="E25">
        <v>5746</v>
      </c>
      <c r="F25">
        <v>5437</v>
      </c>
      <c r="G25">
        <v>5056</v>
      </c>
      <c r="H25">
        <v>3883</v>
      </c>
      <c r="I25">
        <v>3762</v>
      </c>
      <c r="J25">
        <v>3198</v>
      </c>
      <c r="K25">
        <v>2915</v>
      </c>
      <c r="L25">
        <v>2253</v>
      </c>
      <c r="M25">
        <v>2373</v>
      </c>
      <c r="N25">
        <v>2325</v>
      </c>
      <c r="O25">
        <v>1927</v>
      </c>
      <c r="P25">
        <v>1843</v>
      </c>
      <c r="Q25">
        <v>1505</v>
      </c>
      <c r="R25">
        <v>1416</v>
      </c>
      <c r="S25">
        <v>1436</v>
      </c>
      <c r="T25">
        <v>1414</v>
      </c>
      <c r="U25">
        <v>1303</v>
      </c>
      <c r="V25">
        <v>1324</v>
      </c>
      <c r="W25">
        <v>1197</v>
      </c>
      <c r="X25">
        <v>1166</v>
      </c>
      <c r="Y25">
        <v>1084</v>
      </c>
      <c r="Z25">
        <v>1169</v>
      </c>
      <c r="AA25">
        <v>1134</v>
      </c>
      <c r="AB25">
        <v>998</v>
      </c>
      <c r="AC25">
        <v>1092</v>
      </c>
      <c r="AD25">
        <v>1194</v>
      </c>
    </row>
    <row r="26" spans="1:30">
      <c r="A26" t="s">
        <v>2031</v>
      </c>
      <c r="B26">
        <v>608</v>
      </c>
      <c r="C26">
        <v>1838</v>
      </c>
      <c r="D26">
        <v>3348</v>
      </c>
      <c r="E26">
        <v>2341</v>
      </c>
      <c r="F26">
        <v>2131</v>
      </c>
      <c r="G26">
        <v>2608</v>
      </c>
      <c r="H26">
        <v>177</v>
      </c>
      <c r="I26">
        <v>143</v>
      </c>
      <c r="J26">
        <v>808</v>
      </c>
      <c r="K26">
        <v>431</v>
      </c>
      <c r="L26">
        <v>53</v>
      </c>
      <c r="M26">
        <v>151</v>
      </c>
      <c r="N26">
        <v>48</v>
      </c>
      <c r="O26">
        <v>1781</v>
      </c>
      <c r="P26">
        <v>33</v>
      </c>
      <c r="Q26">
        <v>355</v>
      </c>
      <c r="R26">
        <v>853</v>
      </c>
      <c r="S26">
        <v>2074</v>
      </c>
      <c r="T26">
        <v>3512</v>
      </c>
      <c r="U26">
        <v>983</v>
      </c>
      <c r="V26">
        <v>821</v>
      </c>
      <c r="W26">
        <v>1187</v>
      </c>
      <c r="X26">
        <v>674</v>
      </c>
      <c r="Y26">
        <v>1107</v>
      </c>
      <c r="Z26">
        <v>518</v>
      </c>
      <c r="AA26">
        <v>257</v>
      </c>
      <c r="AB26">
        <v>512</v>
      </c>
      <c r="AC26">
        <v>410</v>
      </c>
      <c r="AD26">
        <v>41</v>
      </c>
    </row>
    <row r="27" spans="1:30">
      <c r="A27" t="s">
        <v>2030</v>
      </c>
      <c r="B27">
        <v>0</v>
      </c>
      <c r="C27">
        <v>0</v>
      </c>
      <c r="D27">
        <v>0</v>
      </c>
      <c r="E27">
        <v>0</v>
      </c>
      <c r="F27">
        <v>0</v>
      </c>
      <c r="G27">
        <v>15</v>
      </c>
      <c r="H27">
        <v>3243</v>
      </c>
      <c r="I27">
        <v>2662</v>
      </c>
      <c r="J27">
        <v>3203</v>
      </c>
      <c r="K27">
        <v>3250</v>
      </c>
      <c r="L27">
        <v>2965</v>
      </c>
      <c r="M27">
        <v>772</v>
      </c>
      <c r="N27">
        <v>0</v>
      </c>
      <c r="O27">
        <v>0</v>
      </c>
      <c r="P27">
        <v>0</v>
      </c>
      <c r="Q27">
        <v>0</v>
      </c>
      <c r="R27">
        <v>0</v>
      </c>
      <c r="S27">
        <v>0</v>
      </c>
      <c r="T27">
        <v>0</v>
      </c>
      <c r="U27">
        <v>0</v>
      </c>
      <c r="V27">
        <v>0</v>
      </c>
      <c r="W27">
        <v>0</v>
      </c>
      <c r="X27">
        <v>0</v>
      </c>
      <c r="Y27">
        <v>0</v>
      </c>
      <c r="Z27">
        <v>0</v>
      </c>
      <c r="AA27">
        <v>366</v>
      </c>
      <c r="AB27">
        <v>0</v>
      </c>
      <c r="AC27">
        <v>0</v>
      </c>
      <c r="AD27">
        <v>0</v>
      </c>
    </row>
    <row r="28" spans="1:30">
      <c r="A28" t="s">
        <v>2029</v>
      </c>
      <c r="B28">
        <v>2512</v>
      </c>
      <c r="C28">
        <v>2523</v>
      </c>
      <c r="D28">
        <v>2576</v>
      </c>
      <c r="E28">
        <v>2541</v>
      </c>
      <c r="F28">
        <v>2478</v>
      </c>
      <c r="G28">
        <v>2882</v>
      </c>
      <c r="H28">
        <v>2555</v>
      </c>
      <c r="I28">
        <v>2332</v>
      </c>
      <c r="J28">
        <v>1627</v>
      </c>
      <c r="K28">
        <v>2092</v>
      </c>
      <c r="L28">
        <v>2838</v>
      </c>
      <c r="M28">
        <v>2589</v>
      </c>
      <c r="N28">
        <v>2280</v>
      </c>
      <c r="O28">
        <v>2404</v>
      </c>
      <c r="P28">
        <v>2338</v>
      </c>
      <c r="Q28">
        <v>2068</v>
      </c>
      <c r="R28">
        <v>2204</v>
      </c>
      <c r="S28">
        <v>2452</v>
      </c>
      <c r="T28">
        <v>3095</v>
      </c>
      <c r="U28">
        <v>2592</v>
      </c>
      <c r="V28">
        <v>2296</v>
      </c>
      <c r="W28">
        <v>1833</v>
      </c>
      <c r="X28">
        <v>1675</v>
      </c>
      <c r="Y28">
        <v>1456</v>
      </c>
      <c r="Z28">
        <v>1200</v>
      </c>
      <c r="AA28">
        <v>1070</v>
      </c>
      <c r="AB28">
        <v>1393</v>
      </c>
      <c r="AC28">
        <v>893</v>
      </c>
      <c r="AD28">
        <v>956</v>
      </c>
    </row>
    <row r="29" spans="1:30">
      <c r="A29" t="s">
        <v>113</v>
      </c>
      <c r="B29">
        <v>15620</v>
      </c>
      <c r="C29">
        <v>16441</v>
      </c>
      <c r="D29">
        <v>17676</v>
      </c>
      <c r="E29">
        <v>18140</v>
      </c>
      <c r="F29">
        <v>17569</v>
      </c>
      <c r="G29">
        <v>17016</v>
      </c>
      <c r="H29">
        <v>15413</v>
      </c>
      <c r="I29">
        <v>14087</v>
      </c>
      <c r="J29">
        <v>12708</v>
      </c>
      <c r="K29">
        <v>11730</v>
      </c>
      <c r="L29">
        <v>10696</v>
      </c>
      <c r="M29">
        <v>8639</v>
      </c>
      <c r="N29">
        <v>7131</v>
      </c>
      <c r="O29">
        <v>8390</v>
      </c>
      <c r="P29">
        <v>6514</v>
      </c>
      <c r="Q29">
        <v>5902</v>
      </c>
      <c r="R29">
        <v>6239</v>
      </c>
      <c r="S29">
        <v>7817</v>
      </c>
      <c r="T29">
        <v>9840</v>
      </c>
      <c r="U29">
        <v>6719</v>
      </c>
      <c r="V29">
        <v>6793</v>
      </c>
      <c r="W29">
        <v>6483</v>
      </c>
      <c r="X29">
        <v>5518</v>
      </c>
      <c r="Y29">
        <v>5555</v>
      </c>
      <c r="Z29">
        <v>4629</v>
      </c>
      <c r="AA29">
        <v>4501</v>
      </c>
      <c r="AB29">
        <v>4198</v>
      </c>
      <c r="AC29">
        <v>3717</v>
      </c>
      <c r="AD29">
        <v>3398</v>
      </c>
    </row>
    <row r="30" spans="1:30">
      <c r="A30" t="s">
        <v>2028</v>
      </c>
      <c r="B30">
        <v>23519</v>
      </c>
      <c r="C30">
        <v>19095</v>
      </c>
      <c r="D30">
        <v>18548</v>
      </c>
      <c r="E30">
        <v>17023</v>
      </c>
      <c r="F30">
        <v>19505</v>
      </c>
      <c r="G30">
        <v>21745</v>
      </c>
      <c r="H30">
        <v>21501</v>
      </c>
      <c r="I30">
        <v>19537</v>
      </c>
      <c r="J30">
        <v>19829</v>
      </c>
      <c r="K30">
        <v>11993</v>
      </c>
      <c r="L30">
        <v>10887</v>
      </c>
      <c r="M30">
        <v>9406</v>
      </c>
      <c r="N30">
        <v>10390</v>
      </c>
      <c r="O30">
        <v>11089</v>
      </c>
      <c r="P30">
        <v>11095</v>
      </c>
      <c r="Q30">
        <v>10491</v>
      </c>
      <c r="R30">
        <v>8668</v>
      </c>
      <c r="S30">
        <v>7797</v>
      </c>
      <c r="T30">
        <v>7506</v>
      </c>
      <c r="U30">
        <v>3133</v>
      </c>
      <c r="V30">
        <v>3159</v>
      </c>
      <c r="W30">
        <v>3261</v>
      </c>
      <c r="X30">
        <v>3149</v>
      </c>
      <c r="Y30">
        <v>3495</v>
      </c>
      <c r="Z30">
        <v>4648</v>
      </c>
      <c r="AA30">
        <v>2981</v>
      </c>
      <c r="AB30">
        <v>1912</v>
      </c>
      <c r="AC30">
        <v>2191</v>
      </c>
      <c r="AD30">
        <v>2583</v>
      </c>
    </row>
    <row r="31" spans="1:30">
      <c r="A31" t="s">
        <v>2027</v>
      </c>
      <c r="C31">
        <v>351</v>
      </c>
      <c r="D31">
        <v>368</v>
      </c>
      <c r="E31">
        <v>298</v>
      </c>
      <c r="F31">
        <v>279</v>
      </c>
      <c r="G31">
        <v>286</v>
      </c>
      <c r="H31">
        <v>317</v>
      </c>
      <c r="I31">
        <v>394</v>
      </c>
      <c r="J31">
        <v>449</v>
      </c>
      <c r="K31">
        <v>401</v>
      </c>
      <c r="L31">
        <v>429</v>
      </c>
      <c r="M31">
        <v>458</v>
      </c>
      <c r="N31">
        <v>434</v>
      </c>
    </row>
    <row r="32" spans="1:30">
      <c r="A32" t="s">
        <v>2026</v>
      </c>
      <c r="B32">
        <v>23519</v>
      </c>
      <c r="C32">
        <v>19446</v>
      </c>
      <c r="D32">
        <v>18916</v>
      </c>
      <c r="E32">
        <v>17321</v>
      </c>
      <c r="F32">
        <v>19784</v>
      </c>
      <c r="G32">
        <v>22031</v>
      </c>
      <c r="H32">
        <v>21818</v>
      </c>
      <c r="I32">
        <v>19931</v>
      </c>
      <c r="J32">
        <v>20278</v>
      </c>
      <c r="K32">
        <v>12394</v>
      </c>
      <c r="L32">
        <v>11316</v>
      </c>
      <c r="M32">
        <v>9864</v>
      </c>
      <c r="N32">
        <v>10824</v>
      </c>
      <c r="O32">
        <v>11089</v>
      </c>
      <c r="P32">
        <v>11095</v>
      </c>
      <c r="Q32">
        <v>10491</v>
      </c>
      <c r="R32">
        <v>8668</v>
      </c>
      <c r="S32">
        <v>7797</v>
      </c>
      <c r="T32">
        <v>7506</v>
      </c>
      <c r="U32">
        <v>3133</v>
      </c>
      <c r="V32">
        <v>3159</v>
      </c>
      <c r="W32">
        <v>3261</v>
      </c>
      <c r="X32">
        <v>3149</v>
      </c>
      <c r="Y32">
        <v>3495</v>
      </c>
      <c r="Z32">
        <v>4648</v>
      </c>
      <c r="AA32">
        <v>2981</v>
      </c>
      <c r="AB32">
        <v>1912</v>
      </c>
      <c r="AC32">
        <v>2191</v>
      </c>
      <c r="AD32">
        <v>2583</v>
      </c>
    </row>
    <row r="33" spans="1:30">
      <c r="A33" t="s">
        <v>2025</v>
      </c>
      <c r="B33">
        <v>3690</v>
      </c>
      <c r="C33">
        <v>3595</v>
      </c>
      <c r="D33">
        <v>3772</v>
      </c>
      <c r="E33">
        <v>4302</v>
      </c>
      <c r="F33">
        <v>3125</v>
      </c>
      <c r="G33">
        <v>488</v>
      </c>
      <c r="H33">
        <v>1632</v>
      </c>
      <c r="I33">
        <v>1619</v>
      </c>
      <c r="J33">
        <v>757</v>
      </c>
      <c r="K33">
        <v>112</v>
      </c>
      <c r="L33">
        <v>115</v>
      </c>
      <c r="M33">
        <v>83</v>
      </c>
      <c r="N33">
        <v>1244</v>
      </c>
      <c r="O33">
        <v>48</v>
      </c>
      <c r="P33">
        <v>1900</v>
      </c>
      <c r="Q33">
        <v>1870</v>
      </c>
      <c r="R33">
        <v>1293</v>
      </c>
      <c r="S33">
        <v>588</v>
      </c>
      <c r="T33">
        <v>2620</v>
      </c>
      <c r="U33">
        <v>2529</v>
      </c>
      <c r="V33">
        <v>6682</v>
      </c>
      <c r="W33">
        <v>5382</v>
      </c>
      <c r="X33">
        <v>4055</v>
      </c>
      <c r="Y33">
        <v>3601</v>
      </c>
      <c r="Z33">
        <v>3981</v>
      </c>
      <c r="AA33">
        <v>3396</v>
      </c>
      <c r="AB33">
        <v>3469</v>
      </c>
      <c r="AC33">
        <v>3017</v>
      </c>
      <c r="AD33">
        <v>2933</v>
      </c>
    </row>
    <row r="34" spans="1:30">
      <c r="A34" t="s">
        <v>2024</v>
      </c>
      <c r="B34">
        <v>14006</v>
      </c>
      <c r="C34">
        <v>13845</v>
      </c>
      <c r="D34">
        <v>13179</v>
      </c>
      <c r="E34">
        <v>11558</v>
      </c>
      <c r="F34">
        <v>14658</v>
      </c>
      <c r="G34">
        <v>22204</v>
      </c>
      <c r="H34">
        <v>15711</v>
      </c>
      <c r="I34">
        <v>11342</v>
      </c>
      <c r="J34">
        <v>10630</v>
      </c>
      <c r="K34">
        <v>15712</v>
      </c>
      <c r="L34">
        <v>13693</v>
      </c>
      <c r="M34">
        <v>14727</v>
      </c>
      <c r="N34">
        <v>10525</v>
      </c>
      <c r="O34">
        <v>14603</v>
      </c>
      <c r="P34">
        <v>8084</v>
      </c>
      <c r="Q34">
        <v>7287</v>
      </c>
      <c r="R34">
        <v>7987</v>
      </c>
      <c r="S34">
        <v>8897</v>
      </c>
      <c r="T34">
        <v>6893</v>
      </c>
      <c r="U34">
        <v>5347</v>
      </c>
      <c r="V34">
        <v>1704</v>
      </c>
      <c r="W34">
        <v>1516</v>
      </c>
      <c r="X34">
        <v>1335</v>
      </c>
      <c r="Y34">
        <v>1251</v>
      </c>
      <c r="Z34">
        <v>1130</v>
      </c>
      <c r="AA34">
        <v>1049</v>
      </c>
      <c r="AB34">
        <v>990</v>
      </c>
      <c r="AC34">
        <v>969</v>
      </c>
      <c r="AD34">
        <v>911</v>
      </c>
    </row>
    <row r="35" spans="1:30">
      <c r="A35" t="s">
        <v>2023</v>
      </c>
      <c r="B35">
        <v>28</v>
      </c>
      <c r="C35">
        <v>25</v>
      </c>
      <c r="D35">
        <v>8</v>
      </c>
      <c r="E35">
        <v>17</v>
      </c>
      <c r="F35">
        <v>16</v>
      </c>
      <c r="G35">
        <v>12</v>
      </c>
      <c r="H35">
        <v>16</v>
      </c>
      <c r="I35">
        <v>16</v>
      </c>
      <c r="J35">
        <v>30</v>
      </c>
      <c r="K35">
        <v>24</v>
      </c>
      <c r="L35">
        <v>21</v>
      </c>
      <c r="M35">
        <v>17</v>
      </c>
      <c r="N35">
        <v>14</v>
      </c>
      <c r="O35">
        <v>80</v>
      </c>
      <c r="P35">
        <v>73</v>
      </c>
      <c r="Q35">
        <v>68</v>
      </c>
      <c r="R35">
        <v>66</v>
      </c>
      <c r="S35">
        <v>0</v>
      </c>
    </row>
    <row r="36" spans="1:30">
      <c r="A36" t="s">
        <v>122</v>
      </c>
      <c r="B36">
        <v>56863</v>
      </c>
      <c r="C36">
        <v>53352</v>
      </c>
      <c r="D36">
        <v>53551</v>
      </c>
      <c r="E36">
        <v>51338</v>
      </c>
      <c r="F36">
        <v>55152</v>
      </c>
      <c r="G36">
        <v>61751</v>
      </c>
      <c r="H36">
        <v>54590</v>
      </c>
      <c r="I36">
        <v>46995</v>
      </c>
      <c r="J36">
        <v>44403</v>
      </c>
      <c r="K36">
        <v>39972</v>
      </c>
      <c r="L36">
        <v>35841</v>
      </c>
      <c r="M36">
        <v>33330</v>
      </c>
      <c r="N36">
        <v>29738</v>
      </c>
      <c r="O36">
        <v>34210</v>
      </c>
      <c r="P36">
        <v>27666</v>
      </c>
      <c r="Q36">
        <v>25618</v>
      </c>
      <c r="R36">
        <v>24253</v>
      </c>
      <c r="S36">
        <v>25099</v>
      </c>
      <c r="T36">
        <v>26859</v>
      </c>
      <c r="U36">
        <v>17728</v>
      </c>
      <c r="V36">
        <v>18338</v>
      </c>
      <c r="W36">
        <v>16642</v>
      </c>
      <c r="X36">
        <v>14057</v>
      </c>
      <c r="Y36">
        <v>13902</v>
      </c>
      <c r="Z36">
        <v>14388</v>
      </c>
      <c r="AA36">
        <v>11927</v>
      </c>
      <c r="AB36">
        <v>10569</v>
      </c>
      <c r="AC36">
        <v>9894</v>
      </c>
      <c r="AD36">
        <v>9825</v>
      </c>
    </row>
    <row r="37" spans="1:30">
      <c r="A37" t="s">
        <v>2022</v>
      </c>
    </row>
    <row r="38" spans="1:30">
      <c r="A38" t="s">
        <v>2021</v>
      </c>
    </row>
    <row r="39" spans="1:30">
      <c r="A39" t="s">
        <v>2020</v>
      </c>
    </row>
    <row r="40" spans="1:30">
      <c r="A40" t="s">
        <v>2019</v>
      </c>
      <c r="B40">
        <v>9</v>
      </c>
      <c r="C40">
        <v>9</v>
      </c>
      <c r="D40">
        <v>9</v>
      </c>
      <c r="E40">
        <v>9</v>
      </c>
      <c r="F40">
        <v>9</v>
      </c>
      <c r="G40">
        <v>9</v>
      </c>
      <c r="H40">
        <v>9</v>
      </c>
      <c r="I40">
        <v>9</v>
      </c>
      <c r="J40">
        <v>9</v>
      </c>
      <c r="K40">
        <v>9</v>
      </c>
      <c r="L40">
        <v>9</v>
      </c>
      <c r="M40">
        <v>9</v>
      </c>
      <c r="N40">
        <v>9</v>
      </c>
      <c r="O40">
        <v>10</v>
      </c>
      <c r="P40">
        <v>10</v>
      </c>
      <c r="Q40">
        <v>10</v>
      </c>
      <c r="R40">
        <v>10</v>
      </c>
      <c r="S40">
        <v>10</v>
      </c>
      <c r="T40">
        <v>10</v>
      </c>
      <c r="U40">
        <v>11</v>
      </c>
      <c r="V40">
        <v>11</v>
      </c>
      <c r="W40">
        <v>11</v>
      </c>
      <c r="X40">
        <v>11</v>
      </c>
      <c r="Y40">
        <v>11</v>
      </c>
      <c r="Z40">
        <v>11</v>
      </c>
      <c r="AA40">
        <v>11</v>
      </c>
      <c r="AB40">
        <v>12</v>
      </c>
      <c r="AC40">
        <v>11</v>
      </c>
      <c r="AD40">
        <v>56</v>
      </c>
    </row>
    <row r="41" spans="1:30">
      <c r="A41" t="s">
        <v>2018</v>
      </c>
      <c r="B41">
        <v>275</v>
      </c>
      <c r="C41">
        <v>136</v>
      </c>
      <c r="D41">
        <v>0</v>
      </c>
      <c r="E41">
        <v>0</v>
      </c>
      <c r="F41">
        <v>1343</v>
      </c>
      <c r="G41">
        <v>865</v>
      </c>
      <c r="H41">
        <v>150</v>
      </c>
      <c r="I41">
        <v>0</v>
      </c>
      <c r="J41">
        <v>0</v>
      </c>
      <c r="K41">
        <v>0</v>
      </c>
      <c r="L41">
        <v>0</v>
      </c>
      <c r="M41">
        <v>0</v>
      </c>
      <c r="N41">
        <v>0</v>
      </c>
      <c r="O41">
        <v>0</v>
      </c>
      <c r="P41">
        <v>0</v>
      </c>
      <c r="Q41">
        <v>0</v>
      </c>
      <c r="R41">
        <v>2</v>
      </c>
      <c r="S41">
        <v>0</v>
      </c>
      <c r="T41">
        <v>0</v>
      </c>
      <c r="U41">
        <v>0</v>
      </c>
      <c r="V41">
        <v>0</v>
      </c>
      <c r="W41">
        <v>417</v>
      </c>
      <c r="X41">
        <v>662</v>
      </c>
      <c r="Y41">
        <v>387</v>
      </c>
      <c r="Z41">
        <v>414</v>
      </c>
      <c r="AA41">
        <v>267</v>
      </c>
      <c r="AB41">
        <v>5096</v>
      </c>
      <c r="AC41">
        <v>325</v>
      </c>
      <c r="AD41">
        <v>0</v>
      </c>
    </row>
    <row r="42" spans="1:30">
      <c r="A42" t="s">
        <v>2017</v>
      </c>
      <c r="B42">
        <v>20151</v>
      </c>
      <c r="C42">
        <v>20882</v>
      </c>
      <c r="D42">
        <v>21055</v>
      </c>
      <c r="E42">
        <v>21326</v>
      </c>
      <c r="F42">
        <v>16179</v>
      </c>
      <c r="G42">
        <v>6896</v>
      </c>
      <c r="H42">
        <v>9105</v>
      </c>
      <c r="I42">
        <v>8006</v>
      </c>
      <c r="J42">
        <v>5858</v>
      </c>
      <c r="K42">
        <v>4879</v>
      </c>
      <c r="L42">
        <v>6001</v>
      </c>
      <c r="M42">
        <v>5726</v>
      </c>
      <c r="N42">
        <v>6925</v>
      </c>
      <c r="O42">
        <v>7997</v>
      </c>
      <c r="P42">
        <v>10128</v>
      </c>
      <c r="Q42">
        <v>14164</v>
      </c>
      <c r="R42">
        <v>12745</v>
      </c>
      <c r="S42">
        <v>12412</v>
      </c>
      <c r="T42">
        <v>14186</v>
      </c>
      <c r="U42">
        <v>17676</v>
      </c>
      <c r="V42">
        <v>17037</v>
      </c>
      <c r="W42">
        <v>16192</v>
      </c>
      <c r="X42">
        <v>14356</v>
      </c>
      <c r="Y42">
        <v>12495</v>
      </c>
      <c r="Z42">
        <v>10162</v>
      </c>
      <c r="AA42">
        <v>9684</v>
      </c>
      <c r="AB42">
        <v>7536</v>
      </c>
      <c r="AC42">
        <v>7325</v>
      </c>
      <c r="AD42">
        <v>6112</v>
      </c>
    </row>
    <row r="43" spans="1:30">
      <c r="A43" t="s">
        <v>2016</v>
      </c>
      <c r="B43">
        <v>-5</v>
      </c>
      <c r="C43">
        <v>-7</v>
      </c>
      <c r="D43">
        <v>-9</v>
      </c>
      <c r="E43">
        <v>-13</v>
      </c>
      <c r="F43">
        <v>-16</v>
      </c>
      <c r="G43">
        <v>-20</v>
      </c>
      <c r="H43">
        <v>-26</v>
      </c>
      <c r="I43">
        <v>-32</v>
      </c>
      <c r="J43">
        <v>-37</v>
      </c>
      <c r="K43">
        <v>-45</v>
      </c>
      <c r="L43">
        <v>-51</v>
      </c>
      <c r="M43">
        <v>-59</v>
      </c>
      <c r="N43">
        <v>-69</v>
      </c>
      <c r="O43">
        <v>-78</v>
      </c>
      <c r="P43">
        <v>-88</v>
      </c>
      <c r="Q43">
        <v>-103</v>
      </c>
      <c r="R43">
        <v>-108</v>
      </c>
      <c r="S43">
        <v>-121</v>
      </c>
      <c r="T43">
        <v>-137</v>
      </c>
      <c r="U43">
        <v>-147</v>
      </c>
      <c r="V43">
        <v>-161</v>
      </c>
      <c r="W43">
        <v>-169</v>
      </c>
      <c r="X43">
        <v>-136</v>
      </c>
      <c r="Y43">
        <v>-84</v>
      </c>
      <c r="Z43">
        <v>-47</v>
      </c>
      <c r="AA43">
        <v>0</v>
      </c>
      <c r="AB43">
        <v>0</v>
      </c>
      <c r="AC43">
        <v>-425</v>
      </c>
      <c r="AD43">
        <v>0</v>
      </c>
    </row>
    <row r="44" spans="1:30">
      <c r="A44" t="s">
        <v>2015</v>
      </c>
    </row>
    <row r="45" spans="1:30">
      <c r="A45" t="s">
        <v>2014</v>
      </c>
      <c r="C45">
        <v>-1</v>
      </c>
      <c r="D45">
        <v>-2</v>
      </c>
      <c r="E45">
        <v>-11</v>
      </c>
      <c r="F45">
        <v>0</v>
      </c>
      <c r="G45">
        <v>7</v>
      </c>
      <c r="H45">
        <v>5</v>
      </c>
      <c r="I45">
        <v>-1</v>
      </c>
      <c r="J45">
        <v>-1</v>
      </c>
      <c r="K45">
        <v>0</v>
      </c>
      <c r="L45">
        <v>0</v>
      </c>
      <c r="M45">
        <v>0</v>
      </c>
      <c r="N45">
        <v>-1</v>
      </c>
      <c r="O45">
        <v>6</v>
      </c>
      <c r="P45">
        <v>6</v>
      </c>
      <c r="AC45">
        <v>-1</v>
      </c>
      <c r="AD45">
        <v>0</v>
      </c>
    </row>
    <row r="46" spans="1:30">
      <c r="A46" t="s">
        <v>2013</v>
      </c>
      <c r="B46">
        <v>-4203</v>
      </c>
      <c r="C46">
        <v>-4301</v>
      </c>
      <c r="D46">
        <v>-3747</v>
      </c>
      <c r="E46">
        <v>-1525</v>
      </c>
      <c r="F46">
        <v>-3262</v>
      </c>
      <c r="G46">
        <v>-7100</v>
      </c>
      <c r="H46">
        <v>-5976</v>
      </c>
      <c r="I46">
        <v>-4961</v>
      </c>
      <c r="J46">
        <v>-4829</v>
      </c>
      <c r="K46">
        <v>-4438</v>
      </c>
      <c r="L46">
        <v>-3489</v>
      </c>
      <c r="M46">
        <v>-3535</v>
      </c>
      <c r="N46">
        <v>-390</v>
      </c>
      <c r="O46">
        <v>-3282</v>
      </c>
      <c r="P46">
        <v>-3021</v>
      </c>
      <c r="Q46">
        <v>-6092</v>
      </c>
      <c r="R46">
        <v>-5019</v>
      </c>
      <c r="S46">
        <v>-5521</v>
      </c>
      <c r="T46">
        <v>-1876</v>
      </c>
      <c r="U46">
        <v>-2058</v>
      </c>
      <c r="V46">
        <v>-3</v>
      </c>
      <c r="W46">
        <v>-67</v>
      </c>
      <c r="X46">
        <v>-41</v>
      </c>
      <c r="Y46">
        <v>-354</v>
      </c>
      <c r="Z46">
        <v>-292</v>
      </c>
      <c r="AA46">
        <v>-227</v>
      </c>
      <c r="AB46">
        <v>-170</v>
      </c>
      <c r="AC46">
        <v>-62</v>
      </c>
      <c r="AD46">
        <v>-81</v>
      </c>
    </row>
    <row r="47" spans="1:30">
      <c r="A47" t="s">
        <v>133</v>
      </c>
      <c r="B47">
        <v>16227</v>
      </c>
      <c r="C47">
        <v>16718</v>
      </c>
      <c r="D47">
        <v>17306</v>
      </c>
      <c r="E47">
        <v>19786</v>
      </c>
      <c r="F47">
        <v>14253</v>
      </c>
      <c r="G47">
        <v>657</v>
      </c>
      <c r="H47">
        <v>3267</v>
      </c>
      <c r="I47">
        <v>3021</v>
      </c>
      <c r="J47">
        <v>1000</v>
      </c>
      <c r="K47">
        <v>405</v>
      </c>
      <c r="L47">
        <v>2470</v>
      </c>
      <c r="M47">
        <v>2141</v>
      </c>
      <c r="N47">
        <v>6474</v>
      </c>
      <c r="O47">
        <v>4653</v>
      </c>
      <c r="P47">
        <v>7035</v>
      </c>
      <c r="Q47">
        <v>7979</v>
      </c>
      <c r="R47">
        <v>7630</v>
      </c>
      <c r="S47">
        <v>6780</v>
      </c>
      <c r="T47">
        <v>12183</v>
      </c>
      <c r="U47">
        <v>15482</v>
      </c>
      <c r="V47">
        <v>16884</v>
      </c>
      <c r="W47">
        <v>16384</v>
      </c>
      <c r="X47">
        <v>14852</v>
      </c>
      <c r="Y47">
        <v>12455</v>
      </c>
      <c r="Z47">
        <v>10248</v>
      </c>
      <c r="AA47">
        <v>9735</v>
      </c>
      <c r="AB47">
        <v>12474</v>
      </c>
      <c r="AC47">
        <v>7173</v>
      </c>
      <c r="AD47">
        <v>6087</v>
      </c>
    </row>
    <row r="48" spans="1:30">
      <c r="A48" t="s">
        <v>134</v>
      </c>
      <c r="B48">
        <v>73090</v>
      </c>
      <c r="C48">
        <v>70070</v>
      </c>
      <c r="D48">
        <v>70857</v>
      </c>
      <c r="E48">
        <v>71124</v>
      </c>
      <c r="F48">
        <v>69405</v>
      </c>
      <c r="G48">
        <v>62408</v>
      </c>
      <c r="H48">
        <v>57857</v>
      </c>
      <c r="I48">
        <v>50016</v>
      </c>
      <c r="J48">
        <v>45403</v>
      </c>
      <c r="K48">
        <v>40377</v>
      </c>
      <c r="L48">
        <v>38311</v>
      </c>
      <c r="M48">
        <v>35471</v>
      </c>
      <c r="N48">
        <v>36212</v>
      </c>
      <c r="O48">
        <v>38863</v>
      </c>
      <c r="P48">
        <v>34701</v>
      </c>
      <c r="Q48">
        <v>33597</v>
      </c>
      <c r="R48">
        <v>31883</v>
      </c>
      <c r="S48">
        <v>31879</v>
      </c>
      <c r="T48">
        <v>39042</v>
      </c>
      <c r="U48">
        <v>33210</v>
      </c>
      <c r="V48">
        <v>35222</v>
      </c>
      <c r="W48">
        <v>33026</v>
      </c>
      <c r="X48">
        <v>28909</v>
      </c>
      <c r="Y48">
        <v>26357</v>
      </c>
      <c r="Z48">
        <v>24636</v>
      </c>
      <c r="AA48">
        <v>21662</v>
      </c>
      <c r="AB48">
        <v>23043</v>
      </c>
      <c r="AC48">
        <v>17067</v>
      </c>
      <c r="AD48">
        <v>15912</v>
      </c>
    </row>
    <row r="49" spans="1:30">
      <c r="A49" t="s">
        <v>2012</v>
      </c>
      <c r="B49">
        <v>848</v>
      </c>
      <c r="C49">
        <v>854</v>
      </c>
      <c r="D49">
        <v>853</v>
      </c>
      <c r="E49">
        <v>859</v>
      </c>
      <c r="F49">
        <v>870</v>
      </c>
      <c r="G49">
        <v>865</v>
      </c>
      <c r="H49">
        <v>857</v>
      </c>
      <c r="I49">
        <v>858</v>
      </c>
      <c r="J49">
        <v>859</v>
      </c>
      <c r="K49">
        <v>868</v>
      </c>
      <c r="L49">
        <v>886</v>
      </c>
      <c r="M49">
        <v>905</v>
      </c>
      <c r="N49">
        <v>923</v>
      </c>
      <c r="O49">
        <v>953</v>
      </c>
      <c r="P49">
        <v>963</v>
      </c>
      <c r="Q49">
        <v>991</v>
      </c>
      <c r="R49">
        <v>994</v>
      </c>
      <c r="S49">
        <v>996</v>
      </c>
      <c r="T49">
        <v>1041</v>
      </c>
      <c r="U49">
        <v>1070</v>
      </c>
      <c r="V49">
        <v>1097</v>
      </c>
      <c r="W49">
        <v>1126</v>
      </c>
      <c r="X49">
        <v>1129</v>
      </c>
      <c r="Y49">
        <v>1123</v>
      </c>
      <c r="Z49">
        <v>1121</v>
      </c>
      <c r="AA49">
        <v>1135</v>
      </c>
      <c r="AB49">
        <v>1211</v>
      </c>
      <c r="AC49">
        <v>1095</v>
      </c>
      <c r="AD49">
        <v>1124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0F6DF-B313-B547-A119-FF98809EA07F}">
  <dimension ref="A1"/>
  <sheetViews>
    <sheetView workbookViewId="0">
      <selection activeCell="L41" sqref="L41"/>
    </sheetView>
  </sheetViews>
  <sheetFormatPr baseColWidth="10" defaultColWidth="11" defaultRowHeight="16"/>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Workshop #1</vt:lpstr>
      <vt:lpstr>Workshop #2</vt:lpstr>
      <vt:lpstr>Workshop #3</vt:lpstr>
      <vt:lpstr>Workshop #4</vt:lpstr>
      <vt:lpstr>Workshop #5</vt:lpstr>
      <vt:lpstr>Workshop #6</vt:lpstr>
      <vt:lpstr>Workshop #7</vt:lpstr>
      <vt:lpstr>Workshop #8</vt:lpstr>
      <vt:lpstr>WS8 Work</vt:lpstr>
      <vt:lpstr>WS6 Work</vt:lpstr>
      <vt:lpstr>Comparable Firms</vt:lpstr>
      <vt:lpstr>Selective Comparable Firms</vt:lpstr>
      <vt:lpstr>Financials</vt:lpstr>
      <vt:lpstr>Stock</vt:lpstr>
      <vt:lpstr>CF Multiples Final</vt:lpstr>
      <vt:lpstr>CF Multiples</vt:lpstr>
      <vt:lpstr>UPS - Income Statement - Annual</vt:lpstr>
      <vt:lpstr>UPS - Balance Sheet - Annual</vt:lpstr>
      <vt:lpstr>Work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Mathilde Elise Dunbar Sison</dc:creator>
  <cp:keywords/>
  <dc:description/>
  <cp:lastModifiedBy>Mathilde Elise Dunbar Sison</cp:lastModifiedBy>
  <cp:revision/>
  <dcterms:created xsi:type="dcterms:W3CDTF">2026-01-11T02:32:10Z</dcterms:created>
  <dcterms:modified xsi:type="dcterms:W3CDTF">2026-06-16T17:50:53Z</dcterms:modified>
  <cp:category/>
  <cp:contentStatus/>
</cp:coreProperties>
</file>